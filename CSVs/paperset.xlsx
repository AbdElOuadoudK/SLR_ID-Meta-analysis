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data" sheetId="1" r:id="rId4"/>
    <sheet state="visible" name="Metrics (computed)" sheetId="2" r:id="rId5"/>
    <sheet state="visible" name="Papers" sheetId="3" r:id="rId6"/>
    <sheet state="visible" name="Entrypoint1" sheetId="4" r:id="rId7"/>
    <sheet state="visible" name="Entrypoint2" sheetId="5" r:id="rId8"/>
    <sheet state="visible" name="Papers (included)" sheetId="6" r:id="rId9"/>
    <sheet state="visible" name="failures_summary" sheetId="7" r:id="rId10"/>
  </sheets>
  <definedNames>
    <definedName hidden="1" localSheetId="2" name="Z_9D27F889_C91C_4AF2_8AA1_17A5835C59E9_.wvu.FilterData">Papers!$A$1:$AE$520</definedName>
  </definedNames>
  <calcPr/>
  <customWorkbookViews>
    <customWorkbookView activeSheetId="0" maximized="1" windowHeight="0" windowWidth="0" guid="{9D27F889-C91C-4AF2-8AA1-17A5835C59E9}" name="phase2_passed"/>
  </customWorkbookViews>
</workbook>
</file>

<file path=xl/sharedStrings.xml><?xml version="1.0" encoding="utf-8"?>
<sst xmlns="http://schemas.openxmlformats.org/spreadsheetml/2006/main" count="23402" uniqueCount="4541">
  <si>
    <t>mode</t>
  </si>
  <si>
    <t>paperId</t>
  </si>
  <si>
    <t>title</t>
  </si>
  <si>
    <t>publication_date</t>
  </si>
  <si>
    <t>year</t>
  </si>
  <si>
    <t>publication_types</t>
  </si>
  <si>
    <t>fields_of_study</t>
  </si>
  <si>
    <t>influential_citation_count</t>
  </si>
  <si>
    <t>citation_count</t>
  </si>
  <si>
    <t>abstract</t>
  </si>
  <si>
    <t>external_ids</t>
  </si>
  <si>
    <t>doi</t>
  </si>
  <si>
    <t>is_open_access</t>
  </si>
  <si>
    <t>open_access_pdf_url</t>
  </si>
  <si>
    <t>journal_pages_range</t>
  </si>
  <si>
    <t>pages_total</t>
  </si>
  <si>
    <t>references_pages</t>
  </si>
  <si>
    <t>references_count</t>
  </si>
  <si>
    <t>_max_cited_year</t>
  </si>
  <si>
    <t>authors_hindex_list</t>
  </si>
  <si>
    <t>mean_author_hindex</t>
  </si>
  <si>
    <t>PRECISE</t>
  </si>
  <si>
    <t>d7d9107de19eba8228bc599f53f013245760caee</t>
  </si>
  <si>
    <t>A Survey of Data Mining and Machine Learning Methods for Cyber Security Intrusion Detection</t>
  </si>
  <si>
    <t>2017-04-13</t>
  </si>
  <si>
    <t>2017</t>
  </si>
  <si>
    <t>Review</t>
  </si>
  <si>
    <t>Engineering</t>
  </si>
  <si>
    <t>106</t>
  </si>
  <si>
    <t>1461</t>
  </si>
  <si>
    <t>{"CorpusId": 44606951, "MAG": "2605388774"}</t>
  </si>
  <si>
    <t>FALSE</t>
  </si>
  <si>
    <t>406-412</t>
  </si>
  <si>
    <t>7</t>
  </si>
  <si>
    <t>14</t>
  </si>
  <si>
    <t>1; 2; 1; 2</t>
  </si>
  <si>
    <t>1.5</t>
  </si>
  <si>
    <t>dab11c890b9924c8bfcb09bf8a9b1fbd1e2bbffc</t>
  </si>
  <si>
    <t>Processing flows of information: From data stream to complex event processing</t>
  </si>
  <si>
    <t>2012-06-01</t>
  </si>
  <si>
    <t>2012</t>
  </si>
  <si>
    <t>JournalArticle; Review</t>
  </si>
  <si>
    <t>Computer Science</t>
  </si>
  <si>
    <t>84</t>
  </si>
  <si>
    <t>995</t>
  </si>
  <si>
    <t>{"CorpusId": 8728283, "DBLP": "journals/csur/CugolaM12", "DOI": "10.1145/2187671.2187677", "MAG": "1973026225"}</t>
  </si>
  <si>
    <t>10.1145/2187671.2187677</t>
  </si>
  <si>
    <t>15:1-15:62</t>
  </si>
  <si>
    <t>181</t>
  </si>
  <si>
    <t>35; 24</t>
  </si>
  <si>
    <t>29.5</t>
  </si>
  <si>
    <t>1dc23940f830a1aede366ac9654b5d499c14bcef</t>
  </si>
  <si>
    <t>A Survey of Defense Mechanisms Against Distributed Denial of Service (DDoS) Flooding Attacks</t>
  </si>
  <si>
    <t>2013-03-28</t>
  </si>
  <si>
    <t>2013</t>
  </si>
  <si>
    <t>77</t>
  </si>
  <si>
    <t>1307</t>
  </si>
  <si>
    <t>{"CorpusId": 206584087, "DBLP": "journals/comsur/ZargarJT13", "DOI": "10.1109/SURV.2013.031413.00127", "MAG": "2162969618"}</t>
  </si>
  <si>
    <t>10.1109/surv.2013.031413.00127</t>
  </si>
  <si>
    <t>TRUE</t>
  </si>
  <si>
    <t>http://d-scholarship.pitt.edu/19225/1/FinalVersion.pdf</t>
  </si>
  <si>
    <t>2046-2069</t>
  </si>
  <si>
    <t>24</t>
  </si>
  <si>
    <t>147</t>
  </si>
  <si>
    <t>9; 39; 33</t>
  </si>
  <si>
    <t>27</t>
  </si>
  <si>
    <t>4db2f23a5ad2259b90aa9b0545d27cd44337515a</t>
  </si>
  <si>
    <t>Intrusion detection system: A comprehensive review</t>
  </si>
  <si>
    <t>71</t>
  </si>
  <si>
    <t>1426</t>
  </si>
  <si>
    <t>{"CorpusId": 18434328, "DBLP": "journals/jnca/LiaoLLT13", "DOI": "10.1016/j.jnca.2012.09.004", "MAG": "433644524"}</t>
  </si>
  <si>
    <t>10.1016/j.jnca.2012.09.004</t>
  </si>
  <si>
    <t>16-24</t>
  </si>
  <si>
    <t>9</t>
  </si>
  <si>
    <t>2; 15; 4; 4</t>
  </si>
  <si>
    <t>6.25</t>
  </si>
  <si>
    <t>e467ff1ea3a0c535a0cef87f7e0daa414d524d9d</t>
  </si>
  <si>
    <t>Network Anomaly Detection: Methods, Systems and Tools</t>
  </si>
  <si>
    <t>2014-01-21</t>
  </si>
  <si>
    <t>2014</t>
  </si>
  <si>
    <t>1184</t>
  </si>
  <si>
    <t>{"CorpusId": 4937576, "DBLP": "journals/comsur/BhuyanBK14", "DOI": "10.1109/SURV.2013.052213.00046", "MAG": "1966809779"}</t>
  </si>
  <si>
    <t>10.1109/surv.2013.052213.00046</t>
  </si>
  <si>
    <t>303-336</t>
  </si>
  <si>
    <t>34</t>
  </si>
  <si>
    <t>227</t>
  </si>
  <si>
    <t>21; 39; 44</t>
  </si>
  <si>
    <t>34.66666666666666</t>
  </si>
  <si>
    <t>38e81867da601ae6877dd9ce2c1e1aa085852ecb</t>
  </si>
  <si>
    <t>Survey of intrusion detection systems: techniques, datasets and challenges</t>
  </si>
  <si>
    <t>2019-07-01</t>
  </si>
  <si>
    <t>2019</t>
  </si>
  <si>
    <t>63</t>
  </si>
  <si>
    <t>1287</t>
  </si>
  <si>
    <t>Cyber-attacks are becoming more sophisticated and thereby presenting increasing challenges in accurately detecting intrusions. Failure to prevent the intrusions could degrade the credibility of security services, e.g. data confidentiality, integrity, and availability. Numerous intrusion detection methods have been proposed in the literature to tackle computer security threats, which can be broadly classified into Signature-based Intrusion Detection Systems (SIDS) and Anomaly-based Intrusion Detection Systems (AIDS). This survey paper presents a taxonomy of contemporary IDS, a comprehensive review of notable recent works, and an overview of the datasets commonly used for evaluation purposes. It also presents evasion techniques used by attackers to avoid detection and discusses future research challenges to counter such techniques so as to make computer systems more secure.</t>
  </si>
  <si>
    <t>{"CorpusId": 197645932, "DBLP": "journals/cybersec/KhraisatGVK19", "DOI": "10.1186/s42400-019-0038-7", "MAG": "2958285686"}</t>
  </si>
  <si>
    <t>10.1186/s42400-019-0038-7</t>
  </si>
  <si>
    <t>https://cybersecurity.springeropen.com/track/pdf/10.1186/s42400-019-0038-7</t>
  </si>
  <si>
    <t>124</t>
  </si>
  <si>
    <t>2018</t>
  </si>
  <si>
    <t>14; 27; 27; 36</t>
  </si>
  <si>
    <t>26</t>
  </si>
  <si>
    <t>1c65649ffb61144f867aa1dc526ddaac19b3cecd</t>
  </si>
  <si>
    <t>A survey of intrusion detection in Internet of Things</t>
  </si>
  <si>
    <t>2017-04-15</t>
  </si>
  <si>
    <t>47</t>
  </si>
  <si>
    <t>891</t>
  </si>
  <si>
    <t>{"CorpusId": 31714, "DBLP": "journals/jnca/ZarpelaoMKA17", "DOI": "10.1016/j.jnca.2017.02.009", "MAG": "2590373591"}</t>
  </si>
  <si>
    <t>10.1016/j.jnca.2017.02.009</t>
  </si>
  <si>
    <t>25-37</t>
  </si>
  <si>
    <t>13</t>
  </si>
  <si>
    <t>90</t>
  </si>
  <si>
    <t>16; 11; 3; 3</t>
  </si>
  <si>
    <t>8.25</t>
  </si>
  <si>
    <t>2eea41136efeea6e1426c631fa1ac0a221fe6978</t>
  </si>
  <si>
    <t>Deep learning approach for Network Intrusion Detection in Software Defined Networking</t>
  </si>
  <si>
    <t>2016-10-01</t>
  </si>
  <si>
    <t>2016</t>
  </si>
  <si>
    <t>Conference; JournalArticle; Review</t>
  </si>
  <si>
    <t>635</t>
  </si>
  <si>
    <t>{"CorpusId": 15987982, "DBLP": "conf/wincom/TangMMZG16", "DOI": "10.1109/WINCOM.2016.7777224", "MAG": "2560162835"}</t>
  </si>
  <si>
    <t>10.1109/wincom.2016.7777224</t>
  </si>
  <si>
    <t>http://eprints.whiterose.ac.uk/106836/8/Tuan%20Tang_WINCOM16.pdf</t>
  </si>
  <si>
    <t>258-263</t>
  </si>
  <si>
    <t>6</t>
  </si>
  <si>
    <t>20</t>
  </si>
  <si>
    <t>5; 17; 28; 25; 39</t>
  </si>
  <si>
    <t>22.8</t>
  </si>
  <si>
    <t>8e2527113c652a25dad5a8af72a67f2d0bbb2706</t>
  </si>
  <si>
    <t>A Survey of Intrusion Detection Systems in Wireless Sensor Networks</t>
  </si>
  <si>
    <t>41</t>
  </si>
  <si>
    <t>922</t>
  </si>
  <si>
    <t>{"CorpusId": 14636557, "DBLP": "journals/comsur/ButunMS14", "DOI": "10.1109/SURV.2013.050113.00191", "MAG": "2011778831"}</t>
  </si>
  <si>
    <t>10.1109/surv.2013.050113.00191</t>
  </si>
  <si>
    <t>266-282</t>
  </si>
  <si>
    <t>17</t>
  </si>
  <si>
    <t>73</t>
  </si>
  <si>
    <t>22; 23; 23</t>
  </si>
  <si>
    <t>22.66666666666667</t>
  </si>
  <si>
    <t>971766088dfaf63fb55e6f0190b14f28f2c98ad0</t>
  </si>
  <si>
    <t>2016-01-22</t>
  </si>
  <si>
    <t>38</t>
  </si>
  <si>
    <t>1021</t>
  </si>
  <si>
    <t>{"CorpusId": 206577177, "DBLP": "journals/comsur/BuczakG16", "DOI": "10.1109/COMST.2015.2494502", "MAG": "2342408547"}</t>
  </si>
  <si>
    <t>10.1109/comst.2015.2494502</t>
  </si>
  <si>
    <t>https://doi.org/10.1109/comst.2015.2494502</t>
  </si>
  <si>
    <t>1153-1176</t>
  </si>
  <si>
    <t>110</t>
  </si>
  <si>
    <t>20; 6</t>
  </si>
  <si>
    <t>c9dbf8068d03b9ac6c5f02d40b75af182ca69699</t>
  </si>
  <si>
    <t>A survey of intrusion detection techniques in Cloud</t>
  </si>
  <si>
    <t>918</t>
  </si>
  <si>
    <t>{"CorpusId": 12815020, "DBLP": "journals/jnca/ModiPBPPR13", "DOI": "10.1016/j.jnca.2012.05.003", "MAG": "1489073918"}</t>
  </si>
  <si>
    <t>10.1016/j.jnca.2012.05.003</t>
  </si>
  <si>
    <t>https://openaccess.city.ac.uk/id/eprint/1737/1/A%20survey%20of%20intrusion%20detection%20techniques%20in%20Cloud.pdf</t>
  </si>
  <si>
    <t>42-57</t>
  </si>
  <si>
    <t>16</t>
  </si>
  <si>
    <t>75</t>
  </si>
  <si>
    <t>21; 19; 10; 6; 8; 41</t>
  </si>
  <si>
    <t>17.5</t>
  </si>
  <si>
    <t>6bd85cfce9eeee059b1ee73851711e9ec847a31b</t>
  </si>
  <si>
    <t>The Evolution of MAC Protocols in Wireless Sensor Networks: A Survey</t>
  </si>
  <si>
    <t>2013-01-21</t>
  </si>
  <si>
    <t>37</t>
  </si>
  <si>
    <t>602</t>
  </si>
  <si>
    <t>{"CorpusId": 25576812, "DBLP": "journals/comsur/HuangXSMX13", "DOI": "10.1109/SURV.2012.040412.00105", "MAG": "2170044052"}</t>
  </si>
  <si>
    <t>10.1109/surv.2012.040412.00105</t>
  </si>
  <si>
    <t>101-120</t>
  </si>
  <si>
    <t>78</t>
  </si>
  <si>
    <t>14; 39; 5; 32; 42</t>
  </si>
  <si>
    <t>26.4</t>
  </si>
  <si>
    <t>c42c29c793f3b8518a313d03fa101b1201a8ad14</t>
  </si>
  <si>
    <t>Network intrusion detection system: A systematic study of machine learning and deep learning approaches</t>
  </si>
  <si>
    <t>2020-10-16</t>
  </si>
  <si>
    <t>2020</t>
  </si>
  <si>
    <t>832</t>
  </si>
  <si>
    <t>The rapid advances in the internet and communication fields have resulted in a huge increase in the network size and the corresponding data. As a result, many novel attacks are being generated and have posed challenges for network security to accurately detect intrusions. Furthermore, the presence of the intruders with the aim to launch various attacks within the network cannot be ignored. An intrusion detection system (IDS) is one such tool that prevents the network from possible intrusions by inspecting the network traffic, to ensure its confidentiality, integrity, and availability. Despite enormous efforts by the researchers, IDS still faces challenges in improving detection accuracy while reducing false alarm rates and in detecting novel intrusions. Recently, machine learning (ML) and deep learning (DL)‐based IDS systems are being deployed as potential solutions to detect intrusions across the network in an efficient manner. This article first clarifies the concept of IDS and then provides the taxonomy based on the notable ML and DL techniques adopted in designing network‐based IDS (NIDS) systems. A comprehensive review of the recent NIDS‐based articles is provided by discussing the strengths and limitations of the proposed solutions. Then, recent trends and advancements of ML and DL‐based NIDS are provided in terms of the proposed methodology, evaluation metrics, and dataset selection. Using the shortcomings of the proposed methods, we highlighted various research challenges and provided the future scope for the research in improving ML and DL‐based NIDS.</t>
  </si>
  <si>
    <t>{"CorpusId": 225153435, "DBLP": "journals/ett/AhmadKSAA21", "DOI": "10.1002/ett.4150", "MAG": "3093410479"}</t>
  </si>
  <si>
    <t>10.1002/ett.4150</t>
  </si>
  <si>
    <t>https://onlinelibrary.wiley.com/doi/pdfdirect/10.1002/ett.4150</t>
  </si>
  <si>
    <t>150</t>
  </si>
  <si>
    <t>11; 16; 8; 14; 6</t>
  </si>
  <si>
    <t>11</t>
  </si>
  <si>
    <t>67f3df0846e89da5dfc7c25980d9189c7df50292</t>
  </si>
  <si>
    <t>CoSDEO 2016 Keynote: A decade later — Challenges: Device-free passive localization for wireless environments</t>
  </si>
  <si>
    <t>2016-03-14</t>
  </si>
  <si>
    <t>417</t>
  </si>
  <si>
    <t>{"CorpusId": 34643949, "DBLP": "conf/percom/Youssef16", "DOI": "10.1109/PERCOMW.2016.7457113", "MAG": "2337900948"}</t>
  </si>
  <si>
    <t>10.1109/percomw.2016.7457113</t>
  </si>
  <si>
    <t>1-2</t>
  </si>
  <si>
    <t>2</t>
  </si>
  <si>
    <t>45</t>
  </si>
  <si>
    <t>43</t>
  </si>
  <si>
    <t>cbe3fda28a29052fb82dcaca66be1edf549180d4</t>
  </si>
  <si>
    <t>A Survey of Network-based Intrusion Detection Data Sets</t>
  </si>
  <si>
    <t>2019-03-06</t>
  </si>
  <si>
    <t>33</t>
  </si>
  <si>
    <t>586</t>
  </si>
  <si>
    <t>{"ArXiv": "1903.02460", "CorpusId": 70349997, "DBLP": "journals/compsec/RingWSLH19", "DOI": "10.1016/j.cose.2019.06.005", "MAG": "2950955939"}</t>
  </si>
  <si>
    <t>10.1016/j.cose.2019.06.005</t>
  </si>
  <si>
    <t>http://arxiv.org/pdf/1903.02460</t>
  </si>
  <si>
    <t>147-167</t>
  </si>
  <si>
    <t>21</t>
  </si>
  <si>
    <t>101</t>
  </si>
  <si>
    <t>11; 5; 1; 19; 53</t>
  </si>
  <si>
    <t>17.8</t>
  </si>
  <si>
    <t>22b56df45e2ff1aafca278253c24c6abafd0d0c7</t>
  </si>
  <si>
    <t>A survey of intrusion detection techniques for cyber-physical systems</t>
  </si>
  <si>
    <t>2014-03-01</t>
  </si>
  <si>
    <t>30</t>
  </si>
  <si>
    <t>645</t>
  </si>
  <si>
    <t>{"CorpusId": 207209718, "DBLP": "journals/csur/MitchellC13", "DOI": "10.1145/2542049", "MAG": "2161630727"}</t>
  </si>
  <si>
    <t>10.1145/2542049</t>
  </si>
  <si>
    <t>http://people.cs.vt.edu/~irchen/ps/Mitchell-CSUR14.pdf</t>
  </si>
  <si>
    <t>1 - 29</t>
  </si>
  <si>
    <t>29</t>
  </si>
  <si>
    <t>95</t>
  </si>
  <si>
    <t>12; 46</t>
  </si>
  <si>
    <t>236dfdeb4511754cf71ba220ac569b11973502cd</t>
  </si>
  <si>
    <t>Machine Learning and Deep Learning Methods for Intrusion Detection Systems: A Survey</t>
  </si>
  <si>
    <t>2019-10-17</t>
  </si>
  <si>
    <t>776</t>
  </si>
  <si>
    <t>Networks play important roles in modern life, and cyber security has become a vital research area. An intrusion detection system (IDS) which is an important cyber security technique, monitors the state of software and hardware running in the network. Despite decades of development, existing IDSs still face challenges in improving the detection accuracy, reducing the false alarm rate and detecting unknown attacks. To solve the above problems, many researchers have focused on developing IDSs that capitalize on machine learning methods. Machine learning methods can automatically discover the essential differences between normal data and abnormal data with high accuracy. In addition, machine learning methods have strong generalizability, so they are also able to detect unknown attacks. Deep learning is a branch of machine learning, whose performance is remarkable and has become a research hotspot. This survey proposes a taxonomy of IDS that takes data objects as the main dimension to classify and summarize machine learning-based and deep learning-based IDS literature. We believe that this type of taxonomy framework is fit for cyber security researchers. The survey first clarifies the concept and taxonomy of IDSs. Then, the machine learning algorithms frequently used in IDSs, metrics, and benchmark datasets are introduced. Next, combined with the representative literature, we take the proposed taxonomic system as a baseline and explain how to solve key IDS issues with machine learning and deep learning techniques. Finally, challenges and future developments are discussed by reviewing recent representative studies.</t>
  </si>
  <si>
    <t>{"CorpusId": 208843362, "DOI": "10.3390/app9204396", "MAG": "2980576170"}</t>
  </si>
  <si>
    <t>10.3390/app9204396</t>
  </si>
  <si>
    <t>https://www.mdpi.com/2076-3417/9/20/4396/pdf?version=1571308126</t>
  </si>
  <si>
    <t>91</t>
  </si>
  <si>
    <t>8; 8</t>
  </si>
  <si>
    <t>8</t>
  </si>
  <si>
    <t>cead00c7b3384653ce8013139a5d4543d96fcd07</t>
  </si>
  <si>
    <t>Fault Injection Attacks on Cryptographic Devices: Theory, Practice, and Countermeasures</t>
  </si>
  <si>
    <t>2012-04-05</t>
  </si>
  <si>
    <t>Computer Science; Engineering</t>
  </si>
  <si>
    <t>553</t>
  </si>
  <si>
    <t>{"CorpusId": 1762526, "DBLP": "journals/pieee/BarenghiBKN12", "DOI": "10.1109/JPROC.2012.2188769", "MAG": "2085992264"}</t>
  </si>
  <si>
    <t>10.1109/jproc.2012.2188769</t>
  </si>
  <si>
    <t>http://euler.ecs.umass.edu/research/bbkn-IEEEP-2012.pdf</t>
  </si>
  <si>
    <t>3056-3076</t>
  </si>
  <si>
    <t>94</t>
  </si>
  <si>
    <t>26; 27; 44; 39</t>
  </si>
  <si>
    <t>25cd96cc105927efa772f690426e955f080f72ff</t>
  </si>
  <si>
    <t>A Scheme for Generating a Dataset for Anomalous Activity Detection in IoT Networks</t>
  </si>
  <si>
    <t>2020-05-13</t>
  </si>
  <si>
    <t>218</t>
  </si>
  <si>
    <t>{"CorpusId": 218539986, "DBLP": "conf/ai/UllahM20", "DOI": "10.1007/978-3-030-47358-7_52", "MAG": "3022604549"}</t>
  </si>
  <si>
    <t>10.1007/978-3-030-47358-7_52</t>
  </si>
  <si>
    <t>508-520</t>
  </si>
  <si>
    <t>15</t>
  </si>
  <si>
    <t>13; 38</t>
  </si>
  <si>
    <t>25.5</t>
  </si>
  <si>
    <t>f4ba147e57beee5e57cc4548feb130cbe16c9192</t>
  </si>
  <si>
    <t>Network Intrusion Detection for IoT Security Based on Learning Techniques</t>
  </si>
  <si>
    <t>2019-01-30</t>
  </si>
  <si>
    <t>666</t>
  </si>
  <si>
    <t>Pervasive growth of Internet of Things (IoT) is visible across the globe. The 2016 Dyn cyberattack exposed the critical fault-lines among smart networks. Security of IoT has become a critical concern. The danger exposed by infested Internet-connected Things not only affects the security of IoT but also threatens the complete Internet eco-system which can possibly exploit the vulnerable Things (smart devices) deployed as botnets. Mirai malware compromised the video surveillance devices and paralyzed Internet via distributed denial of service attacks. In the recent past, security attack vectors have evolved bothways, in terms of complexity and diversity. Hence, to identify and prevent or detect novel attacks, it is important to analyze techniques in IoT context. This survey classifies the IoT security threats and challenges for IoT networks by evaluating existing defense techniques. Our main focus is on network intrusion detection systems (NIDSs); hence, this paper reviews existing NIDS implementation tools and datasets as well as free and open-source network sniffing software. Then, it surveys, analyzes, and compares state-of-the-art NIDS proposals in the IoT context in terms of architecture, detection methodologies, validation strategies, treated threats, and algorithm deployments. The review deals with both traditional and machine learning (ML) NIDS techniques and discusses future directions. In this survey, our focus is on IoT NIDS deployed via ML since learning algorithms have a good success rate in security and privacy. The survey provides a comprehensive review of NIDSs deploying different aspects of learning techniques for IoT, unlike other top surveys targeting the traditional systems. We believe that, this paper will be useful for academia and industry research, first, to identify IoT threats and challenges, second, to implement their own NIDS and finally to propose new smart techniques in IoT context considering IoT limitations. Moreover, the survey will enable security individuals differentiate IoT NIDS from traditional ones.</t>
  </si>
  <si>
    <t>{"CorpusId": 86720272, "DBLP": "journals/comsur/ChaabouniMZSF19", "DOI": "10.1109/COMST.2019.2896380", "MAG": "2911505293"}</t>
  </si>
  <si>
    <t>10.1109/comst.2019.2896380</t>
  </si>
  <si>
    <t>2671-2701</t>
  </si>
  <si>
    <t>31</t>
  </si>
  <si>
    <t>134</t>
  </si>
  <si>
    <t>3; 21; 16; 3; 16</t>
  </si>
  <si>
    <t>11.8</t>
  </si>
  <si>
    <t>39361b3507c9f8b0a97780568b645f80a208d78a</t>
  </si>
  <si>
    <t>Machine Learning and Deep Learning Methods for Cybersecurity</t>
  </si>
  <si>
    <t>2018-05-15</t>
  </si>
  <si>
    <t>826</t>
  </si>
  <si>
    <t>With the development of the Internet, cyber-attacks are changing rapidly and the cyber security situation is not optimistic. This survey report describes key literature surveys on machine learning (ML) and deep learning (DL) methods for network analysis of intrusion detection and provides a brief tutorial description of each ML/DL method. Papers representing each method were indexed, read, and summarized based on their temporal or thermal correlations. Because data are so important in ML/DL methods, we describe some of the commonly used network datasets used in ML/DL, discuss the challenges of using ML/DL for cybersecurity and provide suggestions for research directions.</t>
  </si>
  <si>
    <t>{"CorpusId": 49866160, "DBLP": "journals/access/XinK0CLZGHW18", "DOI": "10.1109/ACCESS.2018.2836950", "MAG": "2803881474"}</t>
  </si>
  <si>
    <t>10.1109/access.2018.2836950</t>
  </si>
  <si>
    <t>https://doi.org/10.1109/access.2018.2836950</t>
  </si>
  <si>
    <t>35365-35381</t>
  </si>
  <si>
    <t>76</t>
  </si>
  <si>
    <t>7; 3; 15; 17; 5; 11; 6; 7; 2</t>
  </si>
  <si>
    <t>8.11111111111111</t>
  </si>
  <si>
    <t>6083bd8cdb810ce3d4f4bb9a004cac2a58b424eb</t>
  </si>
  <si>
    <t>Demystifying IoT Security: An Exhaustive Survey on IoT Vulnerabilities and a First Empirical Look on Internet-Scale IoT Exploitations</t>
  </si>
  <si>
    <t>2019-04-11</t>
  </si>
  <si>
    <t>592</t>
  </si>
  <si>
    <t>The security issue impacting the Internet-of-Things (IoT) paradigm has recently attracted significant attention from the research community. To this end, several surveys were put forward addressing various IoT-centric topics, including intrusion detection systems, threat modeling, and emerging technologies. In contrast, in this paper, we exclusively focus on the ever-evolving IoT vulnerabilities. In this context, we initially provide a comprehensive classification of state-of-the-art surveys, which address various dimensions of the IoT paradigm. This aims at facilitating IoT research endeavors by amalgamating, comparing, and contrasting dispersed research contributions. Subsequently, we provide a unique taxonomy, which sheds the light on IoT vulnerabilities, their attack vectors, impacts on numerous security objectives, attacks which exploit such vulnerabilities, corresponding remediation methodologies and currently offered operational cyber security capabilities to infer and monitor such weaknesses. This aims at providing the reader with a multidimensional research perspective related to IoT vulnerabilities, including their technical details and consequences, which is postulated to be leveraged for remediation objectives. Additionally, motivated by the lack of empirical (and malicious) data related to the IoT paradigm, this paper also presents a first look on Internet-scale IoT exploitations by drawing upon more than 1.2 GB of macroscopic, passive measurements’ data. This aims at practically highlighting the severity of the IoT problem, while providing operational situational awareness capabilities, which undoubtedly would aid in the mitigation task, at large. Insightful findings, inferences and outcomes in addition to open challenges and research problems are also disclosed in this paper, which we hope would pave the way for future research endeavors addressing theoretical and empirical aspects related to the imperative topic of IoT security.</t>
  </si>
  <si>
    <t>{"CorpusId": 201741566, "DBLP": "journals/comsur/NeshenkoBCKG19", "DOI": "10.1109/COMST.2019.2910750", "MAG": "2969468102"}</t>
  </si>
  <si>
    <t>10.1109/comst.2019.2910750</t>
  </si>
  <si>
    <t>https://doi.org/10.1109/comst.2019.2910750</t>
  </si>
  <si>
    <t>2702-2733</t>
  </si>
  <si>
    <t>32</t>
  </si>
  <si>
    <t>206</t>
  </si>
  <si>
    <t>8; 30; 19; 56; 29</t>
  </si>
  <si>
    <t>28.4</t>
  </si>
  <si>
    <t>cf003fbb1609c1457701cb7d698a5361be1d16b1</t>
  </si>
  <si>
    <t>An intrusion detection and prevention system in cloud computing: A systematic review</t>
  </si>
  <si>
    <t>443</t>
  </si>
  <si>
    <t>{"CorpusId": 34668439, "DBLP": "journals/jnca/PatelTBJ13", "DOI": "10.1016/j.jnca.2012.08.007", "MAG": "2139836766"}</t>
  </si>
  <si>
    <t>10.1016/j.jnca.2012.08.007</t>
  </si>
  <si>
    <t>25-41</t>
  </si>
  <si>
    <t>22; 14; 14; 16</t>
  </si>
  <si>
    <t>16.5</t>
  </si>
  <si>
    <t>2313d55f4e7739de529e966521018c9043c3fe45</t>
  </si>
  <si>
    <t>Survey on Misbehavior Detection in Cooperative Intelligent Transportation Systems</t>
  </si>
  <si>
    <t>2016-10-21</t>
  </si>
  <si>
    <t>23</t>
  </si>
  <si>
    <t>Cooperative intelligent transportation systems (cITS) are a promising technology to enhance driving safety and efficiency. Vehicles communicate wirelessly with other vehicles and infrastructure, thereby creating a highly dynamic and heterogeneously managed ad-hoc network. It is these network properties that make it a challenging task to protect integrity of the data and guarantee its correctness. A major component is the problem that traditional security mechanisms like public key infrastructure (PKI)-based asymmetric cryptography only exclude outsider attackers that do not possess key material. However, because attackers can be insiders within the network (i.e., possess valid key material), this approach cannot detect all possible attacks. In this survey, we present misbehavior detection mechanisms that can detect such insider attacks based on attacker behavior and information analysis. In contrast to well-known intrusion detection for classical IT systems, these misbehavior detection mechanisms analyze information semantics to detect attacks, which aligns better with highly application-tailored communication protocols foreseen for cITS. In our survey, we provide an extensive introduction to the cITS ecosystem and discuss shortcomings of PKI-based security. We derive and discuss a classification for misbehavior detection mechanisms, provide an in-depth overview of seminal papers on the topic, and highlight open issues and possible future research trends.</t>
  </si>
  <si>
    <t>{"ArXiv": "1610.06810", "CorpusId": 8876979, "DBLP": "journals/comsur/HeijdenDLK19", "DOI": "10.1109/COMST.2018.2873088", "MAG": "2963030364"}</t>
  </si>
  <si>
    <t>10.1109/comst.2018.2873088</t>
  </si>
  <si>
    <t>https://arxiv.org/pdf/1610.06810</t>
  </si>
  <si>
    <t>779-811</t>
  </si>
  <si>
    <t>138</t>
  </si>
  <si>
    <t>3; 15; 21; 47</t>
  </si>
  <si>
    <t>21.5</t>
  </si>
  <si>
    <t>4a8c332b09bb99333a8bce6a4640a20c1352aa63</t>
  </si>
  <si>
    <t>A Survey on Security Threats and Defensive Techniques of Machine Learning: A Data Driven View</t>
  </si>
  <si>
    <t>2018-02-13</t>
  </si>
  <si>
    <t>357</t>
  </si>
  <si>
    <t>Machine learning is one of the most prevailing techniques in computer science, and it has been widely applied in image processing, natural language processing, pattern recognition, cybersecurity, and other fields. Regardless of successful applications of machine learning algorithms in many scenarios, e.g., facial recognition, malware detection, automatic driving, and intrusion detection, these algorithms and corresponding training data are vulnerable to a variety of security threats, inducing a significant performance decrease. Hence, it is vital to call for further attention regarding security threats and corresponding defensive techniques of machine learning, which motivates a comprehensive survey in this paper. Until now, researchers from academia and industry have found out many security threats against a variety of learning algorithms, including naive Bayes, logistic regression, decision tree, support vector machine (SVM), principle component analysis, clustering, and prevailing deep neural networks. Thus, we revisit existing security threats and give a systematic survey on them from two aspects, the training phase and the testing/inferring phase. After that, we categorize current defensive techniques of machine learning into four groups: security assessment mechanisms, countermeasures in the training phase, those in the testing or inferring phase, data security, and privacy. Finally, we provide five notable trends in the research on security threats and defensive techniques of machine learning, which are worth doing in-depth studies in future.</t>
  </si>
  <si>
    <t>{"CorpusId": 4111957, "DBLP": "journals/access/LiuLZCYL18", "DOI": "10.1109/ACCESS.2018.2805680", "MAG": "2791319131"}</t>
  </si>
  <si>
    <t>10.1109/access.2018.2805680</t>
  </si>
  <si>
    <t>https://doi.org/10.1109/access.2018.2805680</t>
  </si>
  <si>
    <t>12103-12117</t>
  </si>
  <si>
    <t>20; 6; 13; 20; 56; 99</t>
  </si>
  <si>
    <t>35.66666666666666</t>
  </si>
  <si>
    <t>922b6fb164f5b9d774d16cb14c31f5cb68a02046</t>
  </si>
  <si>
    <t>Game theory meets network security and privacy</t>
  </si>
  <si>
    <t>2013-06-01</t>
  </si>
  <si>
    <t>797</t>
  </si>
  <si>
    <t>{"CorpusId": 207203993, "DBLP": "journals/csur/ManshaeiZABH13", "DOI": "10.1145/2480741.2480742", "MAG": "2067064328"}</t>
  </si>
  <si>
    <t>10.1145/2480741.2480742</t>
  </si>
  <si>
    <t>http://infoscience.epfl.ch/record/151965/files/Game%20Sec-ACM%20Survey.pdf</t>
  </si>
  <si>
    <t>25:1-25:39</t>
  </si>
  <si>
    <t>136</t>
  </si>
  <si>
    <t>24; 51; 48; 96; 87</t>
  </si>
  <si>
    <t>61.2</t>
  </si>
  <si>
    <t>de3ddfdb3c8c995cff057e010db6ac70e06ef5b5</t>
  </si>
  <si>
    <t>Data stream clustering: A survey</t>
  </si>
  <si>
    <t>2013-10-01</t>
  </si>
  <si>
    <t>547</t>
  </si>
  <si>
    <t>{"CorpusId": 3346652, "DBLP": "journals/csur/SilvaFBHCG13", "DOI": "10.1145/2522968.2522981", "MAG": "2088340225"}</t>
  </si>
  <si>
    <t>10.1145/2522968.2522981</t>
  </si>
  <si>
    <t>http://repositorio.inesctec.pt/bitstreams/5cd9346a-c309-4fdb-b2b2-20148318a05c/download</t>
  </si>
  <si>
    <t>13:1-13:31</t>
  </si>
  <si>
    <t>15; 10; 29; 33; 47; 61</t>
  </si>
  <si>
    <t>32.5</t>
  </si>
  <si>
    <t>246ba747471461dd30f8d3491d711c54ca515eb3</t>
  </si>
  <si>
    <t>Routing Attacks and Mitigation Methods for RPL-Based Internet of Things</t>
  </si>
  <si>
    <t>188</t>
  </si>
  <si>
    <t>The recent bloom of Internet of Things (IoT) and its prevalence in many security-sensitive environments made the security of these networks a crucial requirement. Routing in many of IoT networks has been performed using the routing protocol for low power and lossy networks (RPL), due to its energy-efficient mechanisms, secure modes availability, and its adaptivity to work in various environments; hence, RPL security has been the focus of many researchers. This paper presents a comprehensive study of RPL, its known attacks, and the mitigation methods proposed to counter these attacks. We conducted a detailed review of the RPL standard, including a recently proposed modification. Also, we investigated all recently published attacks on RPL and their mitigation methods through the literature. Based on this investigation, and to the best of our knowledge, we introduced a first-of-its-kind classification scheme for the mitigation methods that is based on the techniques used for the mitigation. Furthermore, we thoroughly discussed RPL-based intrusion detection systems (IDSs) and their classifications, highlighting the most recently proposed IDSs.</t>
  </si>
  <si>
    <t>{"CorpusId": 69422280, "DBLP": "journals/comsur/RaoofML19", "DOI": "10.1109/COMST.2018.2885894", "MAG": "2904959125"}</t>
  </si>
  <si>
    <t>10.1109/comst.2018.2885894</t>
  </si>
  <si>
    <t>1582-1606</t>
  </si>
  <si>
    <t>25</t>
  </si>
  <si>
    <t>7; 23; 35</t>
  </si>
  <si>
    <t>21.66666666666667</t>
  </si>
  <si>
    <t>e11d5a4edec55f5d5dc8ea25621ecbf89e9bccb7</t>
  </si>
  <si>
    <t>Taxonomy and Survey of Collaborative Intrusion Detection</t>
  </si>
  <si>
    <t>2015-05-11</t>
  </si>
  <si>
    <t>2015</t>
  </si>
  <si>
    <t>299</t>
  </si>
  <si>
    <t>{"CorpusId": 207223163, "DBLP": "journals/csur/Vasilomanolakis15", "DOI": "10.1145/2716260", "MAG": "1772700132"}</t>
  </si>
  <si>
    <t>10.1145/2716260</t>
  </si>
  <si>
    <t>1 - 33</t>
  </si>
  <si>
    <t>93</t>
  </si>
  <si>
    <t>17; 17; 48; 18</t>
  </si>
  <si>
    <t>36cf949aca4d0b93383ec2756717404b37ef3852</t>
  </si>
  <si>
    <t>A Survey of MANET Intrusion Detection &amp; Prevention Approaches for Network Layer Attacks</t>
  </si>
  <si>
    <t>19</t>
  </si>
  <si>
    <t>263</t>
  </si>
  <si>
    <t>{"CorpusId": 18189153, "DBLP": "journals/comsur/NadeemH13", "DOI": "10.1109/SURV.2013.030713.00201", "MAG": "2036584242"}</t>
  </si>
  <si>
    <t>10.1109/surv.2013.030713.00201</t>
  </si>
  <si>
    <t>https://openresearch.surrey.ac.uk/view/delivery/44SUR_INST/12139983090002346/13140370410002346</t>
  </si>
  <si>
    <t>2027-2045</t>
  </si>
  <si>
    <t>98</t>
  </si>
  <si>
    <t>17; 19</t>
  </si>
  <si>
    <t>18</t>
  </si>
  <si>
    <t>6edf7ed0e68bcf98ebcb600343c1e08f27c1c62f</t>
  </si>
  <si>
    <t>Deep Learning for Encrypted Traffic Classification: An Overview</t>
  </si>
  <si>
    <t>2018-10-18</t>
  </si>
  <si>
    <t>435</t>
  </si>
  <si>
    <t>Traffic classification has been studied for two decades and applied to a wide range of applications from QoS provisioning and billing in ISPs to security-related applications in firewalls and intrusion detection systems. Port-based, data packet inspection, and classical machine learning methods have been used extensively in the past, but their accuracy has declined due to the dramatic changes in Internet traffic, particularly the increase in encrypted traffic. With the proliferation of deep learning methods, researchers have recently investigated these methods for traffic classification and reported high accuracy. In this article, we introduce a general framework for deep-learning-based traffic classification. We present commonly used deep learning methods and their application in traffic classification tasks. Then we discuss open problems, challenges, and opportunities for traffic classification.</t>
  </si>
  <si>
    <t>{"ArXiv": "1810.07906", "CorpusId": 53016938, "DBLP": "journals/corr/abs-1810-07906", "DOI": "10.1109/MCOM.2019.1800819", "MAG": "2897202622"}</t>
  </si>
  <si>
    <t>10.1109/mcom.2019.1800819</t>
  </si>
  <si>
    <t>https://arxiv.org/pdf/1810.07906</t>
  </si>
  <si>
    <t>76-81</t>
  </si>
  <si>
    <t>10; 9</t>
  </si>
  <si>
    <t>9.5</t>
  </si>
  <si>
    <t>d3703f5faf73869110dea101109f60b4c1566c76</t>
  </si>
  <si>
    <t>A Survey on Industrial Control System Testbeds and Datasets for Security Research</t>
  </si>
  <si>
    <t>2021-02-10</t>
  </si>
  <si>
    <t>2021</t>
  </si>
  <si>
    <t>154</t>
  </si>
  <si>
    <t>The increasing digitization and interconnection of legacy Industrial Control Systems (ICSs) open new vulnerability surfaces, exposing such systems to malicious attackers. Furthermore, since ICSs are often employed in critical infrastructures (e.g., nuclear plants) and manufacturing companies (e.g., chemical industries), attacks can lead to devastating physical damages. In dealing with this security requirement, the research community focuses on developing new security mechanisms such as Intrusion Detection Systems (IDSs), facilitated by leveraging modern machine learning techniques. However, these algorithms require a testing platform and a considerable amount of data to be trained and tested accurately. To satisfy this prerequisite, Academia, Industry, and Government are increasingly proposing testbed (i.e., scaled-down versions of ICSs or simulations) to test the performances of the IDSs. Furthermore, to enable researchers to cross-validate security systems (e.g., security-by-design concepts or anomaly detectors), several datasets have been collected from testbeds and shared with the community. In this paper, we provide a deep and comprehensive overview of ICSs, presenting the architecture design, the employed devices, and the security protocols implemented. We then collect, compare, and describe testbeds and datasets in the literature, highlighting key challenges and design guidelines to keep in mind in the design phases. Furthermore, we enrich our work by reporting the best performing IDS algorithms tested on every dataset to create a baseline in state of the art for this field. Finally, driven by knowledge accumulated during this survey’s development, we report advice and good practices on the development, the choice, and the utilization of testbeds, datasets, and IDSs.</t>
  </si>
  <si>
    <t>{"ArXiv": "2102.05631", "CorpusId": 231861910, "DBLP": "journals/corr/abs-2102-05631", "DOI": "10.1109/COMST.2021.3094360"}</t>
  </si>
  <si>
    <t>10.1109/comst.2021.3094360</t>
  </si>
  <si>
    <t>https://arxiv.org/pdf/2102.05631</t>
  </si>
  <si>
    <t>2248-2294</t>
  </si>
  <si>
    <t>234</t>
  </si>
  <si>
    <t>73; 6; 10</t>
  </si>
  <si>
    <t>29.66666666666667</t>
  </si>
  <si>
    <t>3ef1e8599ea27cafb9ccbc44619ce18729a86801</t>
  </si>
  <si>
    <t>Toward Proactive, Adaptive Defense: A Survey on Moving Target Defense</t>
  </si>
  <si>
    <t>2019-09-12</t>
  </si>
  <si>
    <t>237</t>
  </si>
  <si>
    <t>Reactive defense mechanisms, such as intrusion detection systems, have made significant efforts to secure a system or network for the last several decades. However, the nature of reactive security mechanisms has limitations because potential attackers cannot be prevented in advance. We are facing a reality with the proliferation of persistent, advanced, intelligent attacks while defenders are often way behind attackers in taking appropriate actions to thwart potential attackers. The concept of moving target defense (MTD) has emerged as a proactive defense mechanism aiming to prevent attacks. In this work, we conducted a comprehensive, in-depth survey to discuss the following aspects of MTD: key roles, design principles, classifications, common attacks, key methodologies, important algorithms, metrics, evaluation methods, and application domains. We discuss the pros and cons of all aspects of MTD surveyed in this work. Lastly, we highlight insights and lessons learned from this study and suggest future work directions. The aim of this paper is to provide the overall trends of MTD research in terms of critical aspects of defense systems for researchers who seek to develop proactive, adaptive MTD mechanisms.</t>
  </si>
  <si>
    <t>{"ArXiv": "1909.08092", "CorpusId": 202660686, "DBLP": "journals/corr/abs-1909-08092", "DOI": "10.1109/COMST.2019.2963791", "MAG": "2996903041"}</t>
  </si>
  <si>
    <t>10.1109/comst.2019.2963791</t>
  </si>
  <si>
    <t>http://arxiv.org/pdf/1909.08092</t>
  </si>
  <si>
    <t>709-745</t>
  </si>
  <si>
    <t>195</t>
  </si>
  <si>
    <t>32; 6; 12; 10; 16; 18; 35; 27; 3</t>
  </si>
  <si>
    <t>17.66666666666667</t>
  </si>
  <si>
    <t>8b6e8d71d17a1fb5a7172c5d44ebba1cf06a7dd4</t>
  </si>
  <si>
    <t>Shallow and Deep Networks Intrusion Detection System: A Taxonomy and Survey</t>
  </si>
  <si>
    <t>2017-01-09</t>
  </si>
  <si>
    <t>239</t>
  </si>
  <si>
    <t>Intrusion detection has attracted a considerable interest from researchers and industries. The community, after many years of research, still faces the problem of building reliable and efficient IDS that are capable of handling large quantities of data, with changing patterns in real time situations. The work presented in this manuscript classifies intrusion detection systems (IDS). Moreover, a taxonomy and survey of shallow and deep networks intrusion detection systems is presented based on previous and current works. This taxonomy and survey reviews machine learning techniques and their performance in detecting anomalies. Feature selection which influences the effectiveness of machine learning (ML) IDS is discussed to explain the role of feature selection in the classification and training phase of ML IDS. Finally, a discussion of the false and true positive alarm rates is presented to help researchers model reliable and efficient machine learning based intrusion detection systems.</t>
  </si>
  <si>
    <t>{"ArXiv": "1701.02145", "CorpusId": 11381530, "DBLP": "journals/corr/HodoBHTA17", "MAG": "2576897537"}</t>
  </si>
  <si>
    <t>157</t>
  </si>
  <si>
    <t>4; 19; 9; 22; 16</t>
  </si>
  <si>
    <t>a9b901fcd68a3715d5ef186a398476bc1e762b0e</t>
  </si>
  <si>
    <t>Deep Reinforcement Learning for Cyber Security</t>
  </si>
  <si>
    <t>2019-06-13</t>
  </si>
  <si>
    <t>Computer Science; Mathematics; Medicine</t>
  </si>
  <si>
    <t>360</t>
  </si>
  <si>
    <t>The scale of Internet-connected systems has increased considerably, and these systems are being exposed to cyberattacks more than ever. The complexity and dynamics of cyberattacks require protecting mechanisms to be responsive, adaptive, and scalable. Machine learning, or more specifically deep reinforcement learning (DRL), methods have been proposed widely to address these issues. By incorporating deep learning into traditional RL, DRL is highly capable of solving complex, dynamic, and especially high-dimensional cyber defense problems. This article presents a survey of DRL approaches developed for cyber security. We touch on different vital aspects, including DRL-based security methods for cyber–physical systems, autonomous intrusion detection techniques, and multiagent DRL-based game theory simulations for defense strategies against cyberattacks. Extensive discussions and future research directions on DRL-based cyber security are also given. We expect that this comprehensive review provides the foundations for and facilitates future studies on exploring the potential of emerging DRL to cope with increasingly complex cyber security problems.</t>
  </si>
  <si>
    <t>{"ArXiv": "1906.05799", "CorpusId": 189762438, "DBLP": "journals/corr/abs-1906-05799", "DOI": "10.1109/TNNLS.2021.3121870", "MAG": "2952298682", "PubMed": "34723814"}</t>
  </si>
  <si>
    <t>10.1109/tnnls.2021.3121870</t>
  </si>
  <si>
    <t>https://arxiv.org/pdf/1906.05799</t>
  </si>
  <si>
    <t>3779-3795</t>
  </si>
  <si>
    <t>217</t>
  </si>
  <si>
    <t>30; 44</t>
  </si>
  <si>
    <t>be71e47e3247d60398d5a8dfa7d343dc4a7c27d1</t>
  </si>
  <si>
    <t>Security aspects of the in-vehicle network in the connected car</t>
  </si>
  <si>
    <t>2011-06-05</t>
  </si>
  <si>
    <t>2011</t>
  </si>
  <si>
    <t>244</t>
  </si>
  <si>
    <t>{"CorpusId": 5900712, "DBLP": "conf/ivs/KlebergerOJ11", "DOI": "10.1109/IVS.2011.5940525", "MAG": "2096279841"}</t>
  </si>
  <si>
    <t>10.1109/ivs.2011.5940525</t>
  </si>
  <si>
    <t>528-533</t>
  </si>
  <si>
    <t>7; 18; 25</t>
  </si>
  <si>
    <t>16.66666666666667</t>
  </si>
  <si>
    <t>13f5588e5a745e15e4176fd6c47c8f5befc19605</t>
  </si>
  <si>
    <t>Intrusion detection and Big Heterogeneous Data: a Survey</t>
  </si>
  <si>
    <t>2015-02-27</t>
  </si>
  <si>
    <t>294</t>
  </si>
  <si>
    <t>Intrusion Detection has been heavily studied in both industry and academia, but cybersecurity analysts still desire much more alert accuracy and overall threat analysis in order to secure their systems within cyberspace. Improvements to Intrusion Detection could be achieved by embracing a more comprehensive approach in monitoring security events from many different heterogeneous sources. Correlating security events from heterogeneous sources can grant a more holistic view and greater situational awareness of cyber threats. One problem with this approach is that currently, even a single event source (e.g., network traffic) can experience Big Data challenges when considered alone. Attempts to use more heterogeneous data sources pose an even greater Big Data challenge. Big Data technologies for Intrusion Detection can help solve these Big Heterogeneous Data challenges. In this paper, we review the scope of works considering the problem of heterogeneous data and in particular Big Heterogeneous Data. We discuss the specific issues of Data Fusion, Heterogeneous Intrusion Detection Architectures, and Security Information and Event Management (SIEM) systems, as well as presenting areas where more research opportunities exist. Overall, both cyber threat analysis and cyber intelligence could be enhanced by correlating security events across many diverse heterogeneous sources.</t>
  </si>
  <si>
    <t>{"CorpusId": 12595430, "DBLP": "journals/jbd/ZuechKW15", "DOI": "10.1186/s40537-015-0013-4", "MAG": "2108142795"}</t>
  </si>
  <si>
    <t>10.1186/s40537-015-0013-4</t>
  </si>
  <si>
    <t>https://journalofbigdata.springeropen.com/counter/pdf/10.1186/s40537-015-0013-4</t>
  </si>
  <si>
    <t>1-41</t>
  </si>
  <si>
    <t>86</t>
  </si>
  <si>
    <t>8; 80; 22</t>
  </si>
  <si>
    <t>36.66666666666666</t>
  </si>
  <si>
    <t>260a8c49efed69f969327f4151237a38e184270b</t>
  </si>
  <si>
    <t>A Review of Intrusion Detection Systems Using Machine and Deep Learning in Internet of Things: Challenges, Solutions and Future Directions</t>
  </si>
  <si>
    <t>2020-07-20</t>
  </si>
  <si>
    <t>The Internet of Things (IoT) is poised to impact several aspects of our lives with its fast proliferation in many areas such as wearable devices, smart sensors and home appliances. IoT devices are characterized by their connectivity, pervasiveness and limited processing capability. The number of IoT devices in the world is increasing rapidly and it is expected that there will be 50 billion devices connected to the Internet by the end of the year 2020. This explosion of IoT devices, which can be easily increased compared to desktop computers, has led to a spike in IoT-based cyber-attack incidents. To alleviate this challenge, there is a requirement to develop new techniques for detecting attacks initiated from compromised IoT devices. Machine and deep learning techniques are in this context the most appropriate detective control approach against attacks generated from IoT devices. This study aims to present a comprehensive review of IoT systems-related technologies, protocols, architecture and threats emerging from compromised IoT devices along with providing an overview of intrusion detection models. This work also covers the analysis of various machine learning and deep learning-based techniques suitable to detect IoT systems related to cyber-attacks.</t>
  </si>
  <si>
    <t>{"CorpusId": 225563015, "DOI": "10.3390/electronics9071177", "MAG": "3043799819"}</t>
  </si>
  <si>
    <t>10.3390/electronics9071177</t>
  </si>
  <si>
    <t>https://www.mdpi.com/2079-9292/9/7/1177/pdf</t>
  </si>
  <si>
    <t>213</t>
  </si>
  <si>
    <t>1; 50; 4; 13; 12; 4</t>
  </si>
  <si>
    <t>0fd2596df662912e293ff5efb21392581ecf0d65</t>
  </si>
  <si>
    <t>On the Vital Areas of Intrusion Detection Systems in Wireless Sensor Networks</t>
  </si>
  <si>
    <t>2013-01-09</t>
  </si>
  <si>
    <t>230</t>
  </si>
  <si>
    <t>{"CorpusId": 7170677, "DBLP": "journals/comsur/AbduvaliyevPZRW13", "DOI": "10.1109/SURV.2012.121912.00006", "MAG": "2121720842"}</t>
  </si>
  <si>
    <t>10.1109/surv.2012.121912.00006</t>
  </si>
  <si>
    <t>1223-1237</t>
  </si>
  <si>
    <t>2; 30; 52; 30; 24</t>
  </si>
  <si>
    <t>27.6</t>
  </si>
  <si>
    <t>274a0c1b9bbf1f7e3f4ba3fc63b1061c2f709b85</t>
  </si>
  <si>
    <t>Machine Learning-Based Network Vulnerability Analysis of Industrial Internet of Things</t>
  </si>
  <si>
    <t>2019-04-18</t>
  </si>
  <si>
    <t>323</t>
  </si>
  <si>
    <t>It is critical to secure the Industrial Internet of Things (IIoT) devices because of potentially devastating consequences in case of an attack. Machine learning (ML) and big data analytics are the two powerful leverages for analyzing and securing the Internet of Things (IoT) technology. By extension, these techniques can help improve the security of the IIoT systems as well. In this paper, we first present common IIoT protocols and their associated vulnerabilities. Then, we run a cyber-vulnerability assessment and discuss the utilization of ML in countering these susceptibilities. Following that, a literature review of the available intrusion detection solutions using ML models is presented. Finally, we discuss our case study, which includes details of a real-world testbed that we have built to conduct cyber-attacks and to design an intrusion detection system (IDS). We deploy backdoor, command injection, and Structured Query Language (SQL) injection attacks against the system and demonstrate how a ML-based anomaly detection system can perform well in detecting these attacks. We have evaluated the performance through representative metrics to have a fair point of view on the effectiveness of the methods.</t>
  </si>
  <si>
    <t>{"ArXiv": "1911.05771", "CorpusId": 149841214, "DBLP": "journals/corr/abs-1911-05771", "DOI": "10.1109/JIOT.2019.2912022", "MAG": "2987845355"}</t>
  </si>
  <si>
    <t>10.1109/jiot.2019.2912022</t>
  </si>
  <si>
    <t>https://ieeexplore.ieee.org/ielx7/6488907/8784345/08693904.pdf</t>
  </si>
  <si>
    <t>6822-6834</t>
  </si>
  <si>
    <t>40</t>
  </si>
  <si>
    <t>12; 8; 14; 15; 60</t>
  </si>
  <si>
    <t>21.8</t>
  </si>
  <si>
    <t>662b2e2497b55bc6c14ffe96f1fcf2430b1bc7f6</t>
  </si>
  <si>
    <t>Adversarial Machine Learning for Network Intrusion Detection Systems: A Comprehensive Survey</t>
  </si>
  <si>
    <t>216</t>
  </si>
  <si>
    <t>Network-based Intrusion Detection System (NIDS) forms the frontline defence against network attacks that compromise the security of the data, systems, and networks. In recent years, Deep Neural Networks (DNNs) have been increasingly used in NIDS to detect malicious traffic due to their high detection accuracy. However, DNNs are vulnerable to adversarial attacks that modify an input example with imperceivable perturbation, which causes a misclassification by the DNN. In security-sensitive domains, such as NIDS, adversarial attacks pose a severe threat to network security. However, existing studies in adversarial learning against NIDS directly implement adversarial attacks designed for Computer Vision (CV) tasks, ignoring the fundamental differences in the detection pipeline and feature spaces between CV and NIDS. It remains a major research challenge to launch and detect adversarial attacks against NIDS. This article surveys the recent literature on NIDS, adversarial attacks, and network defences since 2015 to examine the differences in adversarial learning against deep neural networks in CV and NIDS. It provides the reader with a thorough understanding of DL-based NIDS, adversarial attacks and defences, and research trends in this field. We first present a taxonomy of DL-based NIDS and discuss the impact of taxonomy on adversarial learning. Next, we review existing white-box and black-box adversarial attacks on DNNs and their applicability in the NIDS domain. Finally, we review existing defence mechanisms against adversarial examples and their characteristics.</t>
  </si>
  <si>
    <t>{"CorpusId": 255718190, "DBLP": "journals/comsur/HeKA23", "DOI": "10.1109/COMST.2022.3233793"}</t>
  </si>
  <si>
    <t>10.1109/comst.2022.3233793</t>
  </si>
  <si>
    <t>538-566</t>
  </si>
  <si>
    <t>165</t>
  </si>
  <si>
    <t>11; 3; 22</t>
  </si>
  <si>
    <t>12</t>
  </si>
  <si>
    <t>8ec4b08a83faf5622fea30888a7fe14b7b0baf9b</t>
  </si>
  <si>
    <t>Internet of Things: A survey on machine learning-based intrusion detection approaches</t>
  </si>
  <si>
    <t>2019-03-14</t>
  </si>
  <si>
    <t>422</t>
  </si>
  <si>
    <t>{"CorpusId": 86773526, "DBLP": "journals/cn/CostaPLMA19", "DOI": "10.1016/J.COMNET.2019.01.023", "MAG": "2913497771"}</t>
  </si>
  <si>
    <t>10.1016/j.comnet.2019.01.023</t>
  </si>
  <si>
    <t>147-157</t>
  </si>
  <si>
    <t>102</t>
  </si>
  <si>
    <t>14; 53; 1; 15; 55</t>
  </si>
  <si>
    <t>a0574a8958e9cfc5fc49bb40bc95cbfd0c190eb1</t>
  </si>
  <si>
    <t>Intrusion Detection Systems in Wireless Sensor Networks: A Review</t>
  </si>
  <si>
    <t>2013-05-01</t>
  </si>
  <si>
    <t>189</t>
  </si>
  <si>
    <t>Wireless Sensor Networks (WSNs) consist of sensor nodes deployed in a manner to collect information about surrounding environment. Their distributed nature, multihop data forwarding, and open wireless medium are the factors that make WSNs highly vulnerable to security attacks at various levels. Intrusion Detection Systems (IDSs) can play an important role in detecting and preventing security attacks. This paper presents current Intrusion Detection Systems and some open research problems related to WSN security.</t>
  </si>
  <si>
    <t>{"CorpusId": 28628245, "DBLP": "journals/ijdsn/AlrajehKS13", "DOI": "10.1155/2013/167575", "MAG": "2133140680"}</t>
  </si>
  <si>
    <t>10.1155/2013/167575</t>
  </si>
  <si>
    <t>https://journals.sagepub.com/doi/pdf/10.1155/2013/167575</t>
  </si>
  <si>
    <t>53</t>
  </si>
  <si>
    <t>38; 22; 28</t>
  </si>
  <si>
    <t>29.33333333333333</t>
  </si>
  <si>
    <t>a30b4b52b1e7b0aff4a5085cdc43ace30ca66f5e</t>
  </si>
  <si>
    <t>When Intrusion Detection Meets Blockchain Technology: A Review</t>
  </si>
  <si>
    <t>2018-01-30</t>
  </si>
  <si>
    <t>405</t>
  </si>
  <si>
    <t>With the purpose of identifying cyber threats and possible incidents, intrusion detection systems (IDSs) are widely deployed in various computer networks. In order to enhance the detection capability of a single IDS, collaborative intrusion detection networks (or collaborative IDSs) have been developed, which allow IDS nodes to exchange data with each other. However, data and trust management still remain two challenges for current detection architectures, which may degrade the effectiveness of such detection systems. In recent years, blockchain technology has shown its adaptability in many fields, such as supply chain management, international payment, interbanking, and so on. As blockchain can protect the integrity of data storage and ensure process transparency, it has a potential to be applied to intrusion detection domain. Motivated by this, this paper provides a review regarding the intersection of IDSs and blockchains. In particular, we introduce the background of intrusion detection and blockchain, discuss the applicability of blockchain to intrusion detection, and identify open challenges in this direction.</t>
  </si>
  <si>
    <t>{"CorpusId": 3932531, "DBLP": "journals/access/MengTWWH18", "DOI": "10.1109/ACCESS.2018.2799854", "MAG": "2792850657"}</t>
  </si>
  <si>
    <t>10.1109/access.2018.2799854</t>
  </si>
  <si>
    <t>https://doi.org/10.1109/access.2018.2799854</t>
  </si>
  <si>
    <t>10179-10188</t>
  </si>
  <si>
    <t>10</t>
  </si>
  <si>
    <t>36; 16; 16; 13; 23</t>
  </si>
  <si>
    <t>20.8</t>
  </si>
  <si>
    <t>ab200f31fe7c50f8b468cb3ed9274883140167d9</t>
  </si>
  <si>
    <t>Feature selection for high-dimensional data</t>
  </si>
  <si>
    <t>2016-02-15</t>
  </si>
  <si>
    <t>340</t>
  </si>
  <si>
    <t>{"CorpusId": 15703962, "DBLP": "journals/pai/Bolon-CanedoSA16", "DOI": "10.1007/s13748-015-0080-y"}</t>
  </si>
  <si>
    <t>10.1007/s13748-015-0080-y</t>
  </si>
  <si>
    <t>https://link.springer.com/content/pdf/10.1007/s13748-015-0080-y.pdf</t>
  </si>
  <si>
    <t>65 - 75</t>
  </si>
  <si>
    <t>35; 21; 36</t>
  </si>
  <si>
    <t>30.66666666666667</t>
  </si>
  <si>
    <t>cffaf4cddfc4b2715b4c7900d4694d2f455530b6</t>
  </si>
  <si>
    <t>6LoWPAN: a study on QoS security threats and countermeasures using intrusion detection system approach</t>
  </si>
  <si>
    <t>2012-09-01</t>
  </si>
  <si>
    <t>{"CorpusId": 205738992, "DBLP": "journals/ijcomsys/LeLLAL12", "DOI": "10.1002/dac.2356", "MAG": "1816889752"}</t>
  </si>
  <si>
    <t>10.1002/dac.2356</t>
  </si>
  <si>
    <t>59</t>
  </si>
  <si>
    <t>9; 30; 16; 17; 3</t>
  </si>
  <si>
    <t>f97424b7026d344ccab301da4da81ef292a89aee</t>
  </si>
  <si>
    <t>A Survey of Intrusion Detection for In-Vehicle Networks</t>
  </si>
  <si>
    <t>2020-03-01</t>
  </si>
  <si>
    <t>260</t>
  </si>
  <si>
    <t>The development of the complexity and connectivity of modern automobiles has caused a massive rise in the security risks of in-vehicle networks (IVNs). Nevertheless, existing IVN designs (e.g., controller area network) lack cybersecurity consideration. Intrusion detection, an effective method for defending against cyberattacks on IVNs while providing functional safety and real-time communication guarantees, aims to address this issue. Therefore, the necessity of its research has risen. In this paper, an IVN environment is introduced, and the constraints and characteristics of an intrusion detection system (IDS) design for IVNs are presented. A survey of the proposed IDS designs for the IVNs is conducted, and the corresponding drawbacks are highlighted. Various optimization objectives are considered and comprehensively compared. Lastly, the trend, open issues, and emerging research directions are described.</t>
  </si>
  <si>
    <t>{"CorpusId": 181378262, "DBLP": "journals/tits/WuLXABZL20", "DOI": "10.1109/TITS.2019.2908074", "MAG": "2945012921"}</t>
  </si>
  <si>
    <t>10.1109/tits.2019.2908074</t>
  </si>
  <si>
    <t>919-933</t>
  </si>
  <si>
    <t>99</t>
  </si>
  <si>
    <t>5; 37; 32; 10; 7; 6; 63</t>
  </si>
  <si>
    <t>22.85714285714286</t>
  </si>
  <si>
    <t>182df25859a1e1c7ad84e846e2255f797f2b5fbd</t>
  </si>
  <si>
    <t>Cyberattacks and Countermeasures for In-Vehicle Networks</t>
  </si>
  <si>
    <t>2020-04-22</t>
  </si>
  <si>
    <t>156</t>
  </si>
  <si>
    <t>As connectivity between and within vehicles increases, so does concern about safety and security. Various automotive serial protocols are used inside vehicles such as Controller Area Network (CAN), Local Interconnect Network (LIN), and FlexRay. CAN Bus is the most used in-vehicle network protocol to support exchange of vehicle parameters between Electronic Control Units (ECUs). This protocol lacks security mechanisms by design and is therefore vulnerable to various attacks. Furthermore, connectivity of vehicles has made the CAN Bus vulnerable not only from within the vehicle but also from outside. With the rise of connected cars, more entry points and interfaces have been introduced on board vehicles, thereby also leading to a wider potential attack surface. Existing security mechanisms focus on the use of encryption, authentication, and vehicle Intrusion Detection Systems (IDS), which operate under various constraints such as low bandwidth, small frame size (e.g., in the CAN protocol), limited availability of computational resources, and real-time sensitivity. We survey and classify current cryptographic and IDS approaches and compare these approaches based on criteria such as real-time constraints, types of hardware used, changes in CAN Bus behaviour, types of attack mitigation, and software/ hardware used to validate these approaches. We conclude with mitigation strategies limitations and research challenges for the future.</t>
  </si>
  <si>
    <t>{"ArXiv": "2004.10781", "CorpusId": 216080590, "DBLP": "journals/corr/abs-2004-10781", "DOI": "10.1145/3431233", "MAG": "3020635636"}</t>
  </si>
  <si>
    <t>10.1145/3431233</t>
  </si>
  <si>
    <t>https://arxiv.org/pdf/2004.10781</t>
  </si>
  <si>
    <t>1 - 37</t>
  </si>
  <si>
    <t>176</t>
  </si>
  <si>
    <t>1; 57; 35; 42</t>
  </si>
  <si>
    <t>33.75</t>
  </si>
  <si>
    <t>18ca24000345036ce084e33a74f86693809f98a3</t>
  </si>
  <si>
    <t>Deep learning methods in network intrusion detection: A survey and an objective comparison</t>
  </si>
  <si>
    <t>2020-11-01</t>
  </si>
  <si>
    <t>287</t>
  </si>
  <si>
    <t>{"CorpusId": 222137305, "DBLP": "journals/jnca/GamageS20", "DOI": "10.1016/j.jnca.2020.102767", "MAG": "3047132966"}</t>
  </si>
  <si>
    <t>10.1016/j.jnca.2020.102767</t>
  </si>
  <si>
    <t>102767</t>
  </si>
  <si>
    <t>3; 25</t>
  </si>
  <si>
    <t>a7eea1d6dfbcee9a434e9ab6c9a7f67f1506d3db</t>
  </si>
  <si>
    <t>Intrusion detection systems for IoT-based smart environments: a survey</t>
  </si>
  <si>
    <t>2018-12-01</t>
  </si>
  <si>
    <t>350</t>
  </si>
  <si>
    <t>One of the goals of smart environments is to improve the quality of human life in terms of comfort and efficiency. The Internet of Things (IoT) paradigm has recently evolved into a technology for building smart environments. Security and privacy are considered key issues in any real-world smart environment based on the IoT model. The security vulnerabilities in IoT-based systems create security threats that affect smart environment applications. Thus, there is a crucial need for intrusion detection systems (IDSs) designed for IoT environments to mitigate IoT-related security attacks that exploit some of these security vulnerabilities. Due to the limited computing and storage capabilities of IoT devices and the specific protocols used, conventional IDSs may not be an option for IoT environments. This article presents a comprehensive survey of the latest IDSs designed for the IoT model, with a focus on the corresponding methods, features, and mechanisms. This article also provides deep insight into the IoT architecture, emerging security vulnerabilities, and their relation to the layers of the IoT architecture. This work demonstrates that despite previous studies regarding the design and implementation of IDSs for the IoT paradigm, developing efficient, reliable and robust IDSs for IoT-based smart environments is still a crucial task. Key considerations for the development of such IDSs are introduced as a future outlook at the end of this survey.</t>
  </si>
  <si>
    <t>{"CorpusId": 54444519, "DBLP": "journals/jcloudc/ElrawyAH18", "DOI": "10.1186/s13677-018-0123-6", "MAG": "2902106343"}</t>
  </si>
  <si>
    <t>10.1186/s13677-018-0123-6</t>
  </si>
  <si>
    <t>https://journalofcloudcomputing.springeropen.com/track/pdf/10.1186/s13677-018-0123-6</t>
  </si>
  <si>
    <t>5; 26; 20</t>
  </si>
  <si>
    <t>f38a103da4bfc281a811b03099e1c39751722a8c</t>
  </si>
  <si>
    <t>A comprehensive survey on network anomaly detection</t>
  </si>
  <si>
    <t>2018-07-02</t>
  </si>
  <si>
    <t>318</t>
  </si>
  <si>
    <t>{"CorpusId": 67868677, "DBLP": "journals/telsys/FernandesRCAP19", "DOI": "10.1007/s11235-018-0475-8", "MAG": "2810550035"}</t>
  </si>
  <si>
    <t>10.1007/s11235-018-0475-8</t>
  </si>
  <si>
    <t>447 - 489</t>
  </si>
  <si>
    <t>174</t>
  </si>
  <si>
    <t>7; 46; 16; 34; 24</t>
  </si>
  <si>
    <t>25.4</t>
  </si>
  <si>
    <t>f4179593b4b47d8be8cd97e0caced755e16fefbb</t>
  </si>
  <si>
    <t>A Review of Anomaly based Intrusion Detection Systems</t>
  </si>
  <si>
    <t>2011-08-31</t>
  </si>
  <si>
    <t>{"CorpusId": 18977370, "DOI": "10.5120/3399-4730", "MAG": "2133590498"}</t>
  </si>
  <si>
    <t>10.5120/3399-4730</t>
  </si>
  <si>
    <t>http://www.ijcaonline.org/volume28/number7/pxc3874730.pdf</t>
  </si>
  <si>
    <t>26-35</t>
  </si>
  <si>
    <t>60</t>
  </si>
  <si>
    <t>5; 4; 4; 4; 1; 1; 1; 1; 1; 1; 1</t>
  </si>
  <si>
    <t>2.181818181818182</t>
  </si>
  <si>
    <t>7a43726fe88a102e187e39493801524e7f66ce5e</t>
  </si>
  <si>
    <t>Artificial intelligence, cyber-threats and Industry 4.0: challenges and opportunities</t>
  </si>
  <si>
    <t>2021-02-04</t>
  </si>
  <si>
    <t>221</t>
  </si>
  <si>
    <t>{"CorpusId": 234041800, "DBLP": "journals/air/BecuePG21", "DOI": "10.1007/s10462-020-09942-2", "MAG": "3128172745"}</t>
  </si>
  <si>
    <t>10.1007/s10462-020-09942-2</t>
  </si>
  <si>
    <t>3849 - 3886</t>
  </si>
  <si>
    <t>6; 27; 11</t>
  </si>
  <si>
    <t>14.66666666666667</t>
  </si>
  <si>
    <t>82f305d3cb1a82fb6d4a5fcabb4fda40cb2b05e0</t>
  </si>
  <si>
    <t>Federated Deep Learning for Cyber Security in the Internet of Things: Concepts, Applications, and Experimental Analysis</t>
  </si>
  <si>
    <t>199</t>
  </si>
  <si>
    <t>In this article, we present a comprehensive study with an experimental analysis of federated deep learning approaches for cyber security in the Internet of Things (IoT) applications. Specifically, we first provide a review of the federated learning-based security and privacy systems for several types of IoT applications, including, Industrial IoT, Edge Computing, Internet of Drones, Internet of Healthcare Things, Internet of Vehicles, etc. Second, the use of federated learning with blockchain and malware/intrusion detection systems for IoT applications is discussed. Then, we review the vulnerabilities in federated learning-based security and privacy systems. Finally, we provide an experimental analysis of federated deep learning with three deep learning approaches, namely, Recurrent Neural Network (RNN), Convolutional Neural Network (CNN), and Deep Neural Network (DNN). For each deep learning model, we study the performance of centralized and federated learning under three new real IoT traffic datasets, namely, the Bot-IoT dataset, the MQTTset dataset, and the TON_IoT dataset. The goal of this article is to provide important information on federated deep learning approaches with emerging technologies for cyber security. In addition, it demonstrates that federated deep learning approaches outperform the classic/centralized versions of machine learning (non-federated learning) in assuring the privacy of IoT device data and provide the higher accuracy in detecting attacks.</t>
  </si>
  <si>
    <t>{"CorpusId": 238994219, "DBLP": "journals/access/FerragFMJS21", "DOI": "10.1109/access.2021.3118642"}</t>
  </si>
  <si>
    <t>10.1109/access.2021.3118642</t>
  </si>
  <si>
    <t>https://ieeexplore.ieee.org/ielx7/6287639/6514899/09562531.pdf</t>
  </si>
  <si>
    <t>1-1</t>
  </si>
  <si>
    <t>1</t>
  </si>
  <si>
    <t>164</t>
  </si>
  <si>
    <t>2023</t>
  </si>
  <si>
    <t>41; 8; 41; 33</t>
  </si>
  <si>
    <t>30.75</t>
  </si>
  <si>
    <t>86337602a24dfdfb65f3c26a81bb3f1f417f36a4</t>
  </si>
  <si>
    <t>A review paper on IDS classification using KDD 99 and NSL KDD dataset in WEKA</t>
  </si>
  <si>
    <t>2017-07-01</t>
  </si>
  <si>
    <t>Conference; Review</t>
  </si>
  <si>
    <t>119</t>
  </si>
  <si>
    <t>{"CorpusId": 23063250, "DOI": "10.1109/COMPTELIX.2017.8004032", "MAG": "2744338514"}</t>
  </si>
  <si>
    <t>10.1109/comptelix.2017.8004032</t>
  </si>
  <si>
    <t>553-558</t>
  </si>
  <si>
    <t>16; 5</t>
  </si>
  <si>
    <t>10.5</t>
  </si>
  <si>
    <t>9196214e8f81b4a6efda6c8891a6365bccf865df</t>
  </si>
  <si>
    <t>Explainable Artificial Intelligence in CyberSecurity: A Survey</t>
  </si>
  <si>
    <t>Nowadays, Artificial Intelligence (AI) is widely applied in every area of human being’s daily life. Despite the AI benefits, its application suffers from the opacity of complex internal mechanisms and doesn’t satisfy by design the principles of Explainable Artificial Intelligence (XAI). The lack of transparency further exacerbates the problem in the field of CyberSecurity because entrusting crucial decisions to a system that cannot explain itself presents obvious dangers. There are several methods in the literature capable of providing explainability of AI results. Anyway, the application of XAI in CyberSecurity can be a double-edged sword. It substantially improves the CyberSecurity practices but simultaneously leaves the system vulnerable to adversary attacks. Therefore, there is a need to analyze the state-of-the-art of XAI methods in CyberSecurity to provide a clear vision for future research. This study presents an in-depth examination of the application of XAI in CyberSecurity. It considers more than 300 papers to comprehensively analyze the main CyberSecurity application fields, like Intrusion Detection Systems, Malware detection, Phishing and Spam detection, BotNets detection, Fraud detection, Zero-Day vulnerabilities, Digital Forensics and Crypto-Jacking. Specifically, this study focuses on the explainability methods adopted or proposed in these fields, pointing out promising works and new challenges.</t>
  </si>
  <si>
    <t>{"CorpusId": 252107164, "DBLP": "journals/access/CapuanoFLS22", "DOI": "10.1109/ACCESS.2022.3204171"}</t>
  </si>
  <si>
    <t>10.1109/access.2022.3204171</t>
  </si>
  <si>
    <t>https://ieeexplore.ieee.org/ielx7/6287639/6514899/09877919.pdf</t>
  </si>
  <si>
    <t>93575-93600</t>
  </si>
  <si>
    <t>235</t>
  </si>
  <si>
    <t>2022</t>
  </si>
  <si>
    <t>5; 23; 11; 5</t>
  </si>
  <si>
    <t>2925a374d23127cc58027b4437a3f1dea8f02844</t>
  </si>
  <si>
    <t>A Survey of Distance and Similarity Measures Used Within Network Intrusion Anomaly Detection</t>
  </si>
  <si>
    <t>192</t>
  </si>
  <si>
    <t>{"CorpusId": 26690303, "DBLP": "journals/comsur/Weller-FahyBS15", "DOI": "10.1109/COMST.2014.2336610", "MAG": "2093859880"}</t>
  </si>
  <si>
    <t>10.1109/comst.2014.2336610</t>
  </si>
  <si>
    <t>https://ieeexplore.ieee.org/ielx7/9739/7061782/06853338.pdf</t>
  </si>
  <si>
    <t>70-91</t>
  </si>
  <si>
    <t>22</t>
  </si>
  <si>
    <t>3; 14; 7</t>
  </si>
  <si>
    <t>6a0e4209529b827cd86a52a4766968001a3f187c</t>
  </si>
  <si>
    <t>Deep learning approaches for anomaly-based intrusion detection systems: A survey, taxonomy, and open issues</t>
  </si>
  <si>
    <t>2020-02-01</t>
  </si>
  <si>
    <t>465</t>
  </si>
  <si>
    <t>{"CorpusId": 208103146, "DBLP": "journals/kbs/AldweeshDE20", "DOI": "10.1016/j.knosys.2019.105124", "MAG": "2981025625"}</t>
  </si>
  <si>
    <t>10.1016/j.knosys.2019.105124</t>
  </si>
  <si>
    <t>2; 35; 15</t>
  </si>
  <si>
    <t>17.33333333333333</t>
  </si>
  <si>
    <t>b6550136304974682bde7ca9b2a8e21c2ea91982</t>
  </si>
  <si>
    <t>Evaluating Federated Learning for Intrusion Detection in Internet of Things: Review and Challenges</t>
  </si>
  <si>
    <t>2021-08-02</t>
  </si>
  <si>
    <t>177</t>
  </si>
  <si>
    <t>{"ArXiv": "2108.00974", "CorpusId": 236772273, "DBLP": "journals/corr/abs-2108-00974", "DOI": "10.1016/j.comnet.2021.108661"}</t>
  </si>
  <si>
    <t>10.1016/j.comnet.2021.108661</t>
  </si>
  <si>
    <t>https://doi.org/10.1016/j.comnet.2021.108661</t>
  </si>
  <si>
    <t>103</t>
  </si>
  <si>
    <t>3; 2; 19; 24; 26; 26; 54</t>
  </si>
  <si>
    <t>bfab9d89e492baa47b4fce6bc5d6be6e6def6842</t>
  </si>
  <si>
    <t>Performance Analysis of Machine Learning Algorithms in Intrusion Detection System: A Review</t>
  </si>
  <si>
    <t>275</t>
  </si>
  <si>
    <t>{"CorpusId": 226450892, "DOI": "10.1016/j.procs.2020.04.133", "MAG": "3033403042"}</t>
  </si>
  <si>
    <t>10.1016/j.procs.2020.04.133</t>
  </si>
  <si>
    <t>https://doi.org/10.1016/j.procs.2020.04.133</t>
  </si>
  <si>
    <t>3; 7; 9; 12; 3</t>
  </si>
  <si>
    <t>6.8</t>
  </si>
  <si>
    <t>d09c60cd3e493923b63ae170ad1daaf9f6cb1a69</t>
  </si>
  <si>
    <t>A review of KDD99 dataset usage in intrusion detection and machine learning between 2010 and 2015</t>
  </si>
  <si>
    <t>2016-04-14</t>
  </si>
  <si>
    <t>158</t>
  </si>
  <si>
    <t>{"CorpusId": 12395887, "DBLP": "journals/peerjpre/OzgurE16", "DOI": "10.7287/peerj.preprints.1954v1", "MAG": "2336023257"}</t>
  </si>
  <si>
    <t>10.7287/peerj.preprints.1954v1</t>
  </si>
  <si>
    <t>https://doi.org/10.7287/peerj.preprints.1954v1</t>
  </si>
  <si>
    <t>e1954</t>
  </si>
  <si>
    <t>7; 11</t>
  </si>
  <si>
    <t>0a9f0b436b610d4cef1a022ab6083ac2278dc7e2</t>
  </si>
  <si>
    <t>Data preprocessing for anomaly based network intrusion detection: A review</t>
  </si>
  <si>
    <t>2011-05-25</t>
  </si>
  <si>
    <t>316</t>
  </si>
  <si>
    <t>{"CorpusId": 5989195, "DBLP": "journals/compsec/DavisC11", "DOI": "10.1016/J.COSE.2011.05.008", "MAG": "1528764835"}</t>
  </si>
  <si>
    <t>10.1016/j.cose.2011.05.008</t>
  </si>
  <si>
    <t>353-375</t>
  </si>
  <si>
    <t>81</t>
  </si>
  <si>
    <t>3; 29</t>
  </si>
  <si>
    <t>310a06c774cfdef1f011a44920638ad52658c860</t>
  </si>
  <si>
    <t>AI-Based Intrusion Detection Systems for In-Vehicle Networks: A Survey</t>
  </si>
  <si>
    <t>2022-11-09</t>
  </si>
  <si>
    <t>The Controller Area Network (CAN) is the most widely used in-vehicle communication protocol, which still lacks the implementation of suitable security mechanisms such as message authentication and encryption. This makes the CAN bus vulnerable to numerous cyber attacks. Various Intrusion Detection Systems (IDSs) have been developed to detect these attacks. However, the high generalization capabilities of Artificial Intelligence (AI) make AI-based IDS an excellent countermeasure against automotive cyber attacks. This article surveys AI-based in-vehicle IDS from 2016 to 2022 (August) with a novel taxonomy. It reviews the detection techniques, attack types, features, and benchmark datasets. Furthermore, the article discusses the security of AI models, necessary steps to develop AI-based IDSs in the CAN bus, identifies the limitations of existing proposals, and gives recommendations for future research directions.</t>
  </si>
  <si>
    <t>{"CorpusId": 253399087, "DBLP": "journals/csur/RajapakshaKAPMC23", "DOI": "10.1145/3570954"}</t>
  </si>
  <si>
    <t>10.1145/3570954</t>
  </si>
  <si>
    <t>https://dl.acm.org/doi/pdf/10.1145/3570954</t>
  </si>
  <si>
    <t>1 - 40</t>
  </si>
  <si>
    <t>187</t>
  </si>
  <si>
    <t>6; 11; 11; 19; 7; 11</t>
  </si>
  <si>
    <t>10.83333333333333</t>
  </si>
  <si>
    <t>3ba55ec932c20e95f21e1fef1471ab6a5767758b</t>
  </si>
  <si>
    <t>A critical review of intrusion detection systems in the internet of things: techniques, deployment strategy, validation strategy, attacks, public datasets and challenges</t>
  </si>
  <si>
    <t>2021-03-08</t>
  </si>
  <si>
    <t>321</t>
  </si>
  <si>
    <t>The Internet of Things (IoT) has been rapidly evolving towards making a greater impact on everyday life to large industrial systems. Unfortunately, this has attracted the attention of cybercriminals who made IoT a target of malicious activities, opening the door to a possible attack on the end nodes. To this end, Numerous IoT intrusion detection Systems (IDS) have been proposed in the literature to tackle attacks on the IoT ecosystem, which can be broadly classified based on detection technique, validation strategy, and deployment strategy. This survey paper presents a comprehensive review of contemporary IoT IDS and an overview of techniques, deployment Strategy, validation strategy and datasets that are commonly applied for building IDS. We also review how existing IoT IDS detect intrusive attacks and secure communications on the IoT. It also presents the classification of IoT attacks and discusses future research challenges to counter such IoT attacks to make IoT more secure. These purposes help IoT security researchers by uniting, contrasting, and compiling scattered research efforts. Consequently, we provide a unique IoT IDS taxonomy, which sheds light on IoT IDS techniques, their advantages and disadvantages, IoT attacks that exploit IoT communication systems, corresponding advanced IDS and detection capabilities to detect IoT attacks.</t>
  </si>
  <si>
    <t>{"CorpusId": 232145452, "DBLP": "journals/cybersec/KhraisatA21", "DOI": "10.1186/s42400-021-00077-7"}</t>
  </si>
  <si>
    <t>10.1186/s42400-021-00077-7</t>
  </si>
  <si>
    <t>https://cybersecurity.springeropen.com/counter/pdf/10.1186/s42400-021-00077-7</t>
  </si>
  <si>
    <t>14; 16</t>
  </si>
  <si>
    <t>4c30d041c137948aa75e40912f14558234bf1ce2</t>
  </si>
  <si>
    <t>A Survey on Machine Learning Techniques for Cyber Security in the Last Decade</t>
  </si>
  <si>
    <t>297</t>
  </si>
  <si>
    <t>Pervasive growth and usage of the Internet and mobile applications have expanded cyberspace. The cyberspace has become more vulnerable to automated and prolonged cyberattacks. Cyber security techniques provide enhancements in security measures to detect and react against cyberattacks. The previously used security systems are no longer sufficient because cybercriminals are smart enough to evade conventional security systems. Conventional security systems lack efficiency in detecting previously unseen and polymorphic security attacks. Machine learning (ML) techniques are playing a vital role in numerous applications of cyber security. However, despite the ongoing success, there are significant challenges in ensuring the trustworthiness of ML systems. There are incentivized malicious adversaries present in the cyberspace that are willing to game and exploit such ML vulnerabilities. This paper aims to provide a comprehensive overview of the challenges that ML techniques face in protecting cyberspace against attacks, by presenting a literature on ML techniques for cyber security including intrusion detection, spam detection, and malware detection on computer networks and mobile networks in the last decade. It also provides brief descriptions of each ML method, frequently used security datasets, essential ML tools, and evaluation metrics to evaluate a classification model. It finally discusses the challenges of using ML techniques in cyber security. This paper provides the latest extensive bibliography and the current trends of ML in cyber security.</t>
  </si>
  <si>
    <t>{"CorpusId": 229375374, "DBLP": "journals/access/ShaukatLVHX20", "DOI": "10.1109/ACCESS.2020.3041951", "MAG": "3108671495"}</t>
  </si>
  <si>
    <t>10.1109/access.2020.3041951</t>
  </si>
  <si>
    <t>https://ieeexplore.ieee.org/ielx7/6287639/6514899/09277523.pdf</t>
  </si>
  <si>
    <t>222310-222354</t>
  </si>
  <si>
    <t>629</t>
  </si>
  <si>
    <t>32; 44; 44; 36; 12</t>
  </si>
  <si>
    <t>33.6</t>
  </si>
  <si>
    <t>5e2ef6abd77e9d3512e4f9ba694d7c6ad35c8db5</t>
  </si>
  <si>
    <t>Explainable Artificial Intelligence Applications in Cyber Security: State-of-the-Art in Research</t>
  </si>
  <si>
    <t>2022-08-31</t>
  </si>
  <si>
    <t>191</t>
  </si>
  <si>
    <t>This survey presents a comprehensive review of current literature on Explainable Artificial Intelligence (XAI) methods for cyber security applications. Due to the rapid development of Internet-connected systems and Artificial Intelligence in recent years, Artificial Intelligence including Machine Learning (ML) and Deep Learning (DL) has been widely utilized in the fields of cyber security including intrusion detection, malware detection, and spam filtering. However, although Artificial Intelligence-based approaches for the detection and defense of cyber attacks and threats are more advanced and efficient compared to the conventional signature-based and rule-based cyber security strategies, most ML-based techniques and DL-based techniques are deployed in the “black-box” manner, meaning that security experts and customers are unable to explain how such procedures reach particular conclusions. The deficiencies of transparencies and interpretability of existing Artificial Intelligence techniques would decrease human users’ confidence in the models utilized for the defense against cyber attacks, especially in current situations where cyber attacks become increasingly diverse and complicated. Therefore, it is essential to apply XAI in the establishment of cyber security models to create more explainable models while maintaining high accuracy and allowing human users to comprehend, trust, and manage the next generation of cyber defense mechanisms. Although there are papers reviewing Artificial Intelligence applications in cyber security areas and the vast literature on applying XAI in many fields including healthcare, financial services, and criminal justice, the surprising fact is that there are currently no survey research articles that concentrate on XAI applications in cyber security. Therefore, the motivation behind the survey is to bridge the research gap by presenting a detailed and up-to-date survey of XAI approaches applicable to issues in the cyber security field. Our work is the first to propose a clear roadmap for navigating the XAI literature in the context of applications in cyber security.</t>
  </si>
  <si>
    <t>{"ArXiv": "2208.14937", "CorpusId": 251953638, "DBLP": "journals/corr/abs-2208-14937", "DOI": "10.1109/ACCESS.2022.3204051"}</t>
  </si>
  <si>
    <t>10.1109/access.2022.3204051</t>
  </si>
  <si>
    <t>https://ieeexplore.ieee.org/ielx7/6287639/6514899/09875264.pdf</t>
  </si>
  <si>
    <t>93104-93139</t>
  </si>
  <si>
    <t>36</t>
  </si>
  <si>
    <t>279</t>
  </si>
  <si>
    <t>6; 15; 19; 34; 7</t>
  </si>
  <si>
    <t>16.2</t>
  </si>
  <si>
    <t>60913732461b3054f4a6b95869f2e14bc5137514</t>
  </si>
  <si>
    <t>A survey on Intrusion Detection Systems and Honeypot based proactive security mechanisms in VANETs and VANET Cloud</t>
  </si>
  <si>
    <t>2018-04-01</t>
  </si>
  <si>
    <t>{"CorpusId": 49326208, "DBLP": "journals/vcomm/SharmaK18a", "DOI": "10.1016/J.VEHCOM.2018.04.005", "MAG": "2801555828"}</t>
  </si>
  <si>
    <t>10.1016/j.vehcom.2018.04.005</t>
  </si>
  <si>
    <t>138-164</t>
  </si>
  <si>
    <t>67</t>
  </si>
  <si>
    <t>17; 14</t>
  </si>
  <si>
    <t>15.5</t>
  </si>
  <si>
    <t>b42590f5f9bf7802d453dbe89544f27cc3f1b058</t>
  </si>
  <si>
    <t>Wireless Sensing for Human Activity: A Survey</t>
  </si>
  <si>
    <t>2020-07-01</t>
  </si>
  <si>
    <t>306</t>
  </si>
  <si>
    <t>With the advancement of wireless technologies and sensing methodologies, many studies have shown the success of re-using wireless signals (e.g., WiFi) to sense human activities and thereby realize a set of emerging applications, ranging from intrusion detection, daily activity recognition, gesture recognition to vital signs monitoring and user identification involving even finer-grained motion sensing. These applications arguably can brace various domains for smart home and office environments, including safety protection, well-being monitoring/management, smart healthcare and smart-appliance interaction. The movements of the human body impact the wireless signal propagation (e.g., reflection, diffraction and scattering), which provide great opportunities to capture human motions by analyzing the received wireless signals. Researchers take the advantage of the existing wireless links among mobile/smart devices (e.g., laptops, smartphones, smart thermostats, smart refrigerators and virtual assistance systems) by either extracting the ready-to-use signal measurements or adopting frequency modulated signals to detect the frequency shift. Due to the low-cost and non-intrusive sensing nature, wireless-based human activity sensing has drawn considerable attention and become a prominent research field over the past decade. In this paper, we survey the existing wireless sensing systems in terms of their basic principles, techniques and system structures. Particularly, we describe how the wireless signals could be utilized to facilitate an array of applications including intrusion detection, room occupancy monitoring, daily activity recognition, gesture recognition, vital signs monitoring, user identification and indoor localization. The future research directions and limitations of using wireless signals for human activity sensing are also discussed.</t>
  </si>
  <si>
    <t>{"CorpusId": 201885338, "DBLP": "journals/comsur/LiuLCWW20", "DOI": "10.1109/COMST.2019.2934489", "MAG": "2968303571"}</t>
  </si>
  <si>
    <t>10.1109/comst.2019.2934489</t>
  </si>
  <si>
    <t>https://doi.org/10.1109/comst.2019.2934489</t>
  </si>
  <si>
    <t>1629-1645</t>
  </si>
  <si>
    <t>140</t>
  </si>
  <si>
    <t>32; 36; 63; 26; 17</t>
  </si>
  <si>
    <t>34.8</t>
  </si>
  <si>
    <t>ef9dbef4909964b78d948de321b60e43e4ea0105</t>
  </si>
  <si>
    <t>Cyber Security Intrusion Detection for Agriculture 4.0: Machine Learning-Based Solutions, Datasets, and Future Directions</t>
  </si>
  <si>
    <t>2022-03-01</t>
  </si>
  <si>
    <t>80</t>
  </si>
  <si>
    <t>In this paper, we review and analyze intrusion detection systems for Agriculture 4.0 cyber security. Specifically, we present cyber security threats and evaluation metrics used in the performance evaluation of an intrusion detection system for Agriculture 4.0. Then, we evaluate intrusion detection systems according to emerging technologies, including, Cloud computing, Fog/Edge computing, Network virtualization, Autonomous tractors, Drones, Internet of Things, Industrial agriculture, and Smart Grids. Based on the machine learning technique used, we provide a comprehensive classification of intrusion detection systems in each emerging technology. Furthermore, we present public datasets, and the implementation frameworks applied in the performance evaluation of intrusion detection systems for Agriculture 4.0. Finally, we outline challenges and future research directions in cyber security intrusion detection for Agriculture 4.0.</t>
  </si>
  <si>
    <t>{"CorpusId": 245074394, "DBLP": "journals/ieeejas/FerragSFY22", "DOI": "10.1109/jas.2021.1004344"}</t>
  </si>
  <si>
    <t>10.1109/jas.2021.1004344</t>
  </si>
  <si>
    <t>407-436</t>
  </si>
  <si>
    <t>0</t>
  </si>
  <si>
    <t>41; 2; 3; 7</t>
  </si>
  <si>
    <t>13.25</t>
  </si>
  <si>
    <t>082be2d2cef8cbc59b887680e767ffdc7bdfbda5</t>
  </si>
  <si>
    <t>A Survey of Honeypots and Honeynets for Internet of Things, Industrial Internet of Things, and Cyber-Physical Systems</t>
  </si>
  <si>
    <t>2021-08-04</t>
  </si>
  <si>
    <t>163</t>
  </si>
  <si>
    <t>The Internet of Things (IoT), the Industrial Internet of Things (IIoT), and Cyber-Physical Systems (CPS) have become essential for our daily lives in contexts such as our homes, buildings, cities, health, transportation, manufacturing, infrastructure, and agriculture. However, they have become popular targets of attacks, due to their inherent limitations which create vulnerabilities. Honeypots and honeynets can prove essential to understand and defend against attacks on IoT, IIoT, and CPS environments by attracting attackers and deceiving them into thinking that they have gained access to the real systems. Honeypots and honeynets can complement other security solutions (i.e., firewalls, Intrusion Detection Systems - IDS) to form a strong defense against malicious entities. This paper provides a comprehensive survey of the research that has been carried out on honeypots and honeynets for IoT, IIoT, and CPS. It provides a taxonomy and extensive analysis of the existing honeypots and honeynets, states key design factors for the state-of-the-art honeypot/honeynet research and outlines open issues for future honeypots and honeynets for IoT, IIoT, and CPS environments.</t>
  </si>
  <si>
    <t>{"ArXiv": "2108.02287", "CorpusId": 236924363, "DBLP": "journals/corr/abs-2108-02287", "DOI": "10.1109/comst.2021.3106669"}</t>
  </si>
  <si>
    <t>10.1109/comst.2021.3106669</t>
  </si>
  <si>
    <t>https://doi.org/10.1109/comst.2021.3106669</t>
  </si>
  <si>
    <t>2351-2383</t>
  </si>
  <si>
    <t>4; 14; 23; 30</t>
  </si>
  <si>
    <t>17.75</t>
  </si>
  <si>
    <t>26e67cf3155910f52c27846170cc7f8bbf3caf02</t>
  </si>
  <si>
    <t>Survey of Network Intrusion Detection Methods From the Perspective of the Knowledge Discovery in Databases Process</t>
  </si>
  <si>
    <t>2020-01-27</t>
  </si>
  <si>
    <t>The identification of network attacks which target information and communication systems has been a focus of the research community for years. Network intrusion detection is a complex problem which presents a diverse number of challenges. Many attacks currently remain undetected, while newer ones emerge due to the proliferation of connected devices and the evolution of communication technology. In this survey, we review the methods that have been applied to network data with the purpose of developing an intrusion detector, but contrary to previous reviews in the area, we analyze them from the perspective of the Knowledge Discovery in Databases (KDD) process. As such, we discuss the techniques used for the collecion, preprocessing and transformation of the data, as well as the data mining and evaluation methods. We also present the characteristics and motivations behind the use of each of these techniques and propose more adequate and up-to-date taxonomies and definitions for intrusion detectors based on the terminology used in the area of data mining and KDD. Special importance is given to the evaluation procedures followed to assess the detectors, discussing their applicability in current, real networks. Finally, as a result of this literature review, we investigate some open issues which will need to be considered for further research in the area of network security.</t>
  </si>
  <si>
    <t>{"ArXiv": "2001.09697", "CorpusId": 210920646, "DBLP": "journals/corr/abs-2001-09697", "DOI": "10.1109/TNSM.2020.3016246", "MAG": "3001683812"}</t>
  </si>
  <si>
    <t>10.1109/tnsm.2020.3016246</t>
  </si>
  <si>
    <t>https://arxiv.org/pdf/2001.09697</t>
  </si>
  <si>
    <t>2451-2479</t>
  </si>
  <si>
    <t>229</t>
  </si>
  <si>
    <t>3; 12; 24; 21</t>
  </si>
  <si>
    <t>422820179de6e740294f08652adef3608eb7449d</t>
  </si>
  <si>
    <t>Intrusion Detection Systems for Intra-Vehicle Networks: A Review</t>
  </si>
  <si>
    <t>2019-02-14</t>
  </si>
  <si>
    <t>145</t>
  </si>
  <si>
    <t>A modern vehicle is a complex system of sensors, electronic control units, and actuators connected through different types of intra-vehicle networks to control and monitor the state of the vehicle. In addition, modern vehicles are becoming increasingly connected to the outside world through V2X technologies. However, these provide new attack surfaces that increase the cybersecurity risk to modern vehicles. To this end, there are two distinct and key challenges that need to be addressed to ensure safety and consumer trust. While modern vehicles must be equipped with the best countermeasures against cybersecurity threats, a reliable mechanism shall be also in place to detect the potential intrusions of the system while in operation, which is termed as intrusion detection. This paper provides a structured and comprehensive review of the state of the art of the intra-vehicle intrusion detection systems (IDSs) for passenger vehicles. We first provide an overview of intra-vehicle networks before reviewing contemporary research in intra-vehicle IDSs. The approach employed is to categorize the reviewed works based on their detection technique and to examine the used feature and feature selection methods, evaluation dataset, attack type, performance metrics, and benchmark models. This paper also presents outstanding research challenges and gaps in intra-vehicle IDS research.</t>
  </si>
  <si>
    <t>{"CorpusId": 86751803, "DBLP": "journals/access/Al-JarrahMDOM19", "DOI": "10.1109/ACCESS.2019.2894183", "MAG": "2914845865"}</t>
  </si>
  <si>
    <t>10.1109/access.2019.2894183</t>
  </si>
  <si>
    <t>https://ieeexplore.ieee.org/ielx7/6287639/8600701/08642311.pdf</t>
  </si>
  <si>
    <t>21266-21289</t>
  </si>
  <si>
    <t>13; 38; 41; 7; 23</t>
  </si>
  <si>
    <t>24.4</t>
  </si>
  <si>
    <t>48f2ab8184b9d6abaafc8ee23b292ae775f72128</t>
  </si>
  <si>
    <t>Benchmarking of Machine Learning for Anomaly Based Intrusion Detection Systems in the CICIDS2017 Dataset</t>
  </si>
  <si>
    <t>2021-02-03</t>
  </si>
  <si>
    <t>264</t>
  </si>
  <si>
    <t>An intrusion detection system (IDS) is an important protection instrument for detecting complex network attacks. Various machine learning (ML) or deep learning (DL) algorithms have been proposed for implementing anomaly-based IDS (AIDS). Our review of the AIDS literature identifies some issues in related work, including the randomness of the selected algorithms, parameters, and testing criteria, the application of old datasets, or shallow analyses and validation of the results. This paper comprehensively reviews previous studies on AIDS by using a set of criteria with different datasets and types of attacks to set benchmarking outcomes that can reveal the suitable AIDS algorithms, parameters, and testing criteria. Specifically, this paper applies 10 popular supervised and unsupervised ML algorithms for identifying effective and efficient ML–AIDS of networks and computers. These supervised ML algorithms include the artificial neural network (ANN), decision tree (DT), k-nearest neighbor (k-NN), naive Bayes (NB), random forest (RF), support vector machine (SVM), and convolutional neural network (CNN) algorithms, whereas the unsupervised ML algorithms include the expectation-maximization (EM), k-means, and self-organizing maps (SOM) algorithms. Several models of these algorithms are introduced, and the turning and training parameters of each algorithm are examined to achieve an optimal classifier evaluation. Unlike previous studies, this study evaluates the performance of AIDS by measuring the true positive and negative rates, accuracy, precision, recall, and F-Score of 31 ML-AIDS models. The training and testing time for ML-AIDS models are also considered in measuring their performance efficiency given that time complexity is an important factor in AIDSs. The ML-AIDS models are tested by using a recent and highly unbalanced multiclass CICIDS2017 dataset that involves real-world network attacks. In general, the k-NN-AIDS, DT-AIDS, and NB-AIDS models obtain the best results and show a greater capability in detecting web attacks compared with other models that demonstrate irregular and inferior results.</t>
  </si>
  <si>
    <t>{"CorpusId": 231914286, "DBLP": "journals/access/MaseerYBMF21", "DOI": "10.1109/ACCESS.2021.3056614", "MAG": "3126814579"}</t>
  </si>
  <si>
    <t>10.1109/access.2021.3056614</t>
  </si>
  <si>
    <t>https://ieeexplore.ieee.org/ielx7/6287639/9312710/09345704.pdf</t>
  </si>
  <si>
    <t>22351-22370</t>
  </si>
  <si>
    <t>96</t>
  </si>
  <si>
    <t>3; 13; 6; 40; 12</t>
  </si>
  <si>
    <t>14.8</t>
  </si>
  <si>
    <t>517e3d378692bde221dda5054bbae8a483d8d4f0</t>
  </si>
  <si>
    <t>Survey of Intrusion Detection Systems towards an End to End Secure Internet of Things</t>
  </si>
  <si>
    <t>2016-08-01</t>
  </si>
  <si>
    <t>{"CorpusId": 1366247, "DBLP": "conf/ficloud/GendreauM16", "DOI": "10.1109/FiCloud.2016.20", "MAG": "2523827785"}</t>
  </si>
  <si>
    <t>10.1109/ficloud.2016.20</t>
  </si>
  <si>
    <t>84-90</t>
  </si>
  <si>
    <t>35</t>
  </si>
  <si>
    <t>3; 1</t>
  </si>
  <si>
    <t>68457bf1432b6667a8802d2d8c7ed9a145bede6a</t>
  </si>
  <si>
    <t>A Survey on Smart Agriculture: Development Modes, Technologies, and Security and Privacy Challenges</t>
  </si>
  <si>
    <t>2021-02-01</t>
  </si>
  <si>
    <t>Business; Computer Science</t>
  </si>
  <si>
    <t>With the deep combination of both modern information technology and traditional agriculture, the era of agriculture 4.0, which takes the form of smart agriculture, has come. Smart agriculture provides solutions for agricultural intelligence and automation. However, information security issues cannot be ignored with the development of agriculture brought by modern information technology. In this paper, three typical development modes of smart agriculture (precision agriculture, facility agriculture, and order agriculture) are presented. Then, 7 key technologies and 11 key applications are derived from the above modes. Based on the above technologies and applications, 6 security and privacy countermeasures (authentication and access control, privacy-preserving, blockchain-based solutions for data integrity, cryptography and key management, physical countermeasures, and intrusion detection systems) are summarized and discussed. Moreover, the security challenges of smart agriculture are analyzed and organized into two aspects: 1) agricultural production, and 2) information technology. Most current research projects have not taken agricultural equipment as potential security threats. Therefore, we did some additional experiments based on solar insecticidal lamps Internet of Things, and the results indicate that agricultural equipment has an impact on agricultural security. Finally, more technologies (5 G communication, fog computing, Internet of Everything, renewable energy management system, software defined network, virtual reality, augmented reality, and cyber security datasets for smart agriculture) are described as the future research directions of smart agriculture.</t>
  </si>
  <si>
    <t>{"CorpusId": 229624746, "DBLP": "journals/ieeejas/YangSCFWNH21", "DOI": "10.1109/JAS.2020.1003536", "MAG": "3110407708"}</t>
  </si>
  <si>
    <t>10.1109/jas.2020.1003536</t>
  </si>
  <si>
    <t>https://figshare.com/articles/journal_contribution/A_Survey_on_Smart_Agriculture_Development_Modes_Technologies_and_Security_and_Privacy_Challenges/24389191/1/files/42795154.pdf</t>
  </si>
  <si>
    <t>273-302</t>
  </si>
  <si>
    <t>168</t>
  </si>
  <si>
    <t>7; 66; 1; 41; 10; 10</t>
  </si>
  <si>
    <t>22.5</t>
  </si>
  <si>
    <t>6f5b87e38cfb4a47e3ac7988cca5612ccf0a2946</t>
  </si>
  <si>
    <t>Detecting Cybersecurity Attacks in Internet of Things Using Artificial Intelligence Methods: A Systematic Literature Review</t>
  </si>
  <si>
    <t>2022-01-10</t>
  </si>
  <si>
    <t>In recent years, technology has advanced to the fourth industrial revolution (Industry 4.0), where the Internet of things (IoTs), fog computing, computer security, and cyberattacks have evolved exponentially on a large scale. The rapid development of IoT devices and networks in various forms generate enormous amounts of data which in turn demand careful authentication and security. Artificial intelligence (AI) is considered one of the most promising methods for addressing cybersecurity threats and providing security. In this study, we present a systematic literature review (SLR) that categorize, map and survey the existing literature on AI methods used to detect cybersecurity attacks in the IoT environment. The scope of this SLR includes an in-depth investigation on most AI trending techniques in cybersecurity and state-of-art solutions. A systematic search was performed on various electronic databases (SCOPUS, Science Direct, IEEE Xplore, Web of Science, ACM, and MDPI). Out of the identified records, 80 studies published between 2016 and 2021 were selected, surveyed and carefully assessed. This review has explored deep learning (DL) and machine learning (ML) techniques used in IoT security, and their effectiveness in detecting attacks. However, several studies have proposed smart intrusion detection systems (IDS) with intelligent architectural frameworks using AI to overcome the existing security and privacy challenges. It is found that support vector machines (SVM) and random forest (RF) are among the most used methods, due to high accuracy detection another reason may be efficient memory. In addition, other methods also provide better performance such as extreme gradient boosting (XGBoost), neural networks (NN) and recurrent neural networks (RNN). This analysis also provides an insight into the AI roadmap to detect threats based on attack categories. Finally, we present recommendations for potential future investigations.</t>
  </si>
  <si>
    <t>{"CorpusId": 245858079, "DOI": "10.3390/electronics11020198"}</t>
  </si>
  <si>
    <t>10.3390/electronics11020198</t>
  </si>
  <si>
    <t>https://www.mdpi.com/2079-9292/11/2/198/pdf?version=1642487277</t>
  </si>
  <si>
    <t>7; 17; 22; 16; 11; 40; 24</t>
  </si>
  <si>
    <t>19.57142857142857</t>
  </si>
  <si>
    <t>b1754f209110eb0dd13cf2ccf35b7f113b7e65ef</t>
  </si>
  <si>
    <t>A Survey of Intrusion Detection Systems Leveraging Host Data</t>
  </si>
  <si>
    <t>2019-11-14</t>
  </si>
  <si>
    <t>121</t>
  </si>
  <si>
    <t>This survey focuses on intrusion detection systems (IDS) that leverage host-based data sources for detecting attacks on enterprise network. The host-based IDS (HIDS) literature is organized by the input data source, presenting targeted sub-surveys of HIDS research leveraging system logs, audit data, Windows Registry, file systems, and program analysis. While system calls are generally included in audit data, several publicly available system call datasets have spawned a flurry of IDS research on this topic, which merits a separate section. To accommodate current researchers, a section giving descriptions of publicly available datasets is included, outlining their characteristics and shortcomings when used for IDS evaluation. Related surveys are organized and described. All sections are accompanied by tables concisely organizing the literature and datasets discussed. Finally, challenges, trends, and broader observations are throughout the survey and in the conclusion along with future directions of IDS research. Overall, this survey was designed to allow easy access to the diverse types of data available on a host for sensing intrusion, the progressions of research using each, and the accessible datasets for prototyping in the area.</t>
  </si>
  <si>
    <t>{"CorpusId": 21690024, "DBLP": "journals/csur/BridgesGIVC20", "DOI": "10.1145/3344382", "MAG": "2988790801"}</t>
  </si>
  <si>
    <t>10.1145/3344382</t>
  </si>
  <si>
    <t>https://dl.acm.org/doi/pdf/10.1145/3344382</t>
  </si>
  <si>
    <t>1 - 35</t>
  </si>
  <si>
    <t>20; 1; 13; 2; 14</t>
  </si>
  <si>
    <t>ea530e2a2511b04bea962a72b3e4504890a2a882</t>
  </si>
  <si>
    <t>From Intrusion Detection to Attacker Attribution: A Comprehensive Survey of Unsupervised Methods</t>
  </si>
  <si>
    <t>2018-07-12</t>
  </si>
  <si>
    <t>169</t>
  </si>
  <si>
    <t>{"CorpusId": 53779029, "DBLP": "journals/comsur/NisiotiMYK18", "DOI": "10.1109/COMST.2018.2854724", "MAG": "2870670057"}</t>
  </si>
  <si>
    <t>10.1109/comst.2018.2854724</t>
  </si>
  <si>
    <t>http://eprints.bournemouth.ac.uk/30985/1/IEEE%20COMST%2018%20-%20From_intrusion_detection_to_attribution_.pdf</t>
  </si>
  <si>
    <t>3369-3388</t>
  </si>
  <si>
    <t>6; 21; 27; 20</t>
  </si>
  <si>
    <t>18.5</t>
  </si>
  <si>
    <t>05f35907dd815c9a4d5b431a8367842f19b57830</t>
  </si>
  <si>
    <t>The virtual network function placement problem</t>
  </si>
  <si>
    <t>2015-08-06</t>
  </si>
  <si>
    <t>57</t>
  </si>
  <si>
    <t>{"CorpusId": 7046406, "DBLP": "conf/infocom/LiQ15", "DOI": "10.1109/INFCOMW.2015.7179347", "MAG": "1510173822"}</t>
  </si>
  <si>
    <t>10.1109/infcomw.2015.7179347</t>
  </si>
  <si>
    <t>69-70</t>
  </si>
  <si>
    <t>15; 18</t>
  </si>
  <si>
    <t>09f3f60a63a03b11c0135cb5fa5aa82365180a4f</t>
  </si>
  <si>
    <t>Internet of Things Applications, Security Challenges, Attacks, Intrusion Detection, and Future Visions: A Systematic Review</t>
  </si>
  <si>
    <t>238</t>
  </si>
  <si>
    <t>Internet of Things (IoT) technology is prospering and entering every part of our lives, be it education, home, vehicles, or healthcare. With the increase in the number of connected devices, several challenges are also coming up with IoT technology: heterogeneity, scalability, quality of service, security requirements, and many more. Security management takes a back seat in IoT because of cost, size, and power. It poses a significant risk as lack of security makes users skeptical towards using IoT devices. This, in turn, makes IoT vulnerable to security attacks, ultimately causing enormous financial and reputational losses. It makes up for an urgent need to assess present security risks and discuss the upcoming challenges to be ready to face the same. The undertaken study is a multi-fold survey of different security issues present in IoT layers: perception layer, network layer, support layer, application layer, with further focus on Distributed Denial of Service (DDoS) attacks. DDoS attacks are significant threats for the cyber world because of their potential to bring down the victims. Different types of DDoS attacks, DDoS attacks in IoT devices, impacts of DDoS attacks, and solutions for mitigation are discussed in detail. The presented review work compares Intrusion Detection and Prevention models for mitigating DDoS attacks and focuses on Intrusion Detection models. Furthermore, the classification of Intrusion Detection Systems, different anomaly detection techniques, different Intrusion Detection System models based on datasets, various machine learning and deep learning techniques for data pre-processing and malware detection has been discussed. In the end, a broader perspective has been envisioned while discussing research challenges, its proposed solutions, and future visions.</t>
  </si>
  <si>
    <t>{"CorpusId": 233376685, "DBLP": "journals/access/MishraP21", "DOI": "10.1109/ACCESS.2021.3073408"}</t>
  </si>
  <si>
    <t>10.1109/access.2021.3073408</t>
  </si>
  <si>
    <t>https://ieeexplore.ieee.org/ielx7/6287639/9312710/09405669.pdf</t>
  </si>
  <si>
    <t>59353-59377</t>
  </si>
  <si>
    <t>172</t>
  </si>
  <si>
    <t>143a229923a60370ceb2ad55167cb12ce71d407a</t>
  </si>
  <si>
    <t>A Comprehensive Review of Cyber Security Vulnerabilities, Threats, Attacks, and Solutions</t>
  </si>
  <si>
    <t>2023-03-11</t>
  </si>
  <si>
    <t>Medicine</t>
  </si>
  <si>
    <t>399</t>
  </si>
  <si>
    <t>Internet usage has grown exponentially, with individuals and companies performing multiple daily transactions in cyberspace rather than in the real world. The coronavirus (COVID-19) pandemic has accelerated this process. As a result of the widespread usage of the digital environment, traditional crimes have also shifted to the digital space. Emerging technologies such as cloud computing, the Internet of Things (IoT), social media, wireless communication, and cryptocurrencies are raising security concerns in cyberspace. Recently, cyber criminals have started to use cyber attacks as a service to automate attacks and leverage their impact. Attackers exploit vulnerabilities that exist in hardware, software, and communication layers. Various types of cyber attacks include distributed denial of service (DDoS), phishing, man-in-the-middle, password, remote, privilege escalation, and malware. Due to new-generation attacks and evasion techniques, traditional protection systems such as firewalls, intrusion detection systems, antivirus software, access control lists, etc., are no longer effective in detecting these sophisticated attacks. Therefore, there is an urgent need to find innovative and more feasible solutions to prevent cyber attacks. The paper first extensively explains the main reasons for cyber attacks. Then, it reviews the most recent attacks, attack patterns, and detection techniques. Thirdly, the article discusses contemporary technical and nontechnical solutions for recognizing attacks in advance. Using trending technologies such as machine learning, deep learning, cloud platforms, big data, and blockchain can be a promising solution for current and future cyber attacks. These technological solutions may assist in detecting malware, intrusion detection, spam identification, DNS attack classification, fraud detection, recognizing hidden channels, and distinguishing advanced persistent threats. However, some promising solutions, especially machine learning and deep learning, are not resistant to evasion techniques, which must be considered when proposing solutions against intelligent cyber attacks.</t>
  </si>
  <si>
    <t>{"CorpusId": 257524278, "DOI": "10.3390/electronics12061333"}</t>
  </si>
  <si>
    <t>10.3390/electronics12061333</t>
  </si>
  <si>
    <t>https://www.mdpi.com/2079-9292/12/6/1333/pdf?version=1678502564</t>
  </si>
  <si>
    <t>162</t>
  </si>
  <si>
    <t>11; 2; 7; 6; 6</t>
  </si>
  <si>
    <t>6.4</t>
  </si>
  <si>
    <t>1d3273f5b7975ca41ee91008224717eb7b54966d</t>
  </si>
  <si>
    <t>Performance Comparison and Current Challenges of Using Machine Learning Techniques in Cybersecurity</t>
  </si>
  <si>
    <t>2020-05-15</t>
  </si>
  <si>
    <t>Cyberspace has become an indispensable factor for all areas of the modern world. The world is becoming more and more dependent on the internet for everyday living. The increasing dependency on the internet has also widened the risks of malicious threats. On account of growing cybersecurity risks, cybersecurity has become the most pivotal element in the cyber world to battle against all cyber threats, attacks, and frauds. The expanding cyberspace is highly exposed to the intensifying possibility of being attacked by interminable cyber threats. The objective of this survey is to bestow a brief review of different machine learning (ML) techniques to get to the bottom of all the developments made in detection methods for potential cybersecurity risks. These cybersecurity risk detection methods mainly comprise of fraud detection, intrusion detection, spam detection, and malware detection. In this review paper, we build upon the existing literature of applications of ML models in cybersecurity and provide a comprehensive review of ML techniques in cybersecurity. To the best of our knowledge, we have made the first attempt to give a comparison of the time complexity of commonly used ML models in cybersecurity. We have comprehensively compared each classifier’s performance based on frequently used datasets and sub-domains of cyber threats. This work also provides a brief introduction of machine learning models besides commonly used security datasets. Despite having all the primary precedence, cybersecurity has its constraints compromises, and challenges. This work also expounds on the enormous current challenges and limitations faced during the application of machine learning techniques in cybersecurity.</t>
  </si>
  <si>
    <t>{"CorpusId": 219434523, "DOI": "10.3390/en13102509", "MAG": "3025204993"}</t>
  </si>
  <si>
    <t>10.3390/en13102509</t>
  </si>
  <si>
    <t>https://www.mdpi.com/1996-1073/13/10/2509/pdf</t>
  </si>
  <si>
    <t>170</t>
  </si>
  <si>
    <t>32; 44; 44; 36; 4; 26; 16</t>
  </si>
  <si>
    <t>28.85714285714286</t>
  </si>
  <si>
    <t>24e1f94e0897f4ba0ae90834d589100dae5a9881</t>
  </si>
  <si>
    <t>A Critical Review of Practices and Challenges in Intrusion Detection Systems for IoT: Toward Universal and Resilient Systems</t>
  </si>
  <si>
    <t>2018-06-07</t>
  </si>
  <si>
    <t>{"CorpusId": 53740428, "DBLP": "journals/comsur/BenkhelifaWH18", "DOI": "10.1109/COMST.2018.2844742", "MAG": "2806697149"}</t>
  </si>
  <si>
    <t>10.1109/comst.2018.2844742</t>
  </si>
  <si>
    <t>https://eprints.staffs.ac.uk/4758/1/IoT_IDS_Final__Copy_%20%28002%29.pdf</t>
  </si>
  <si>
    <t>3496-3509</t>
  </si>
  <si>
    <t>28; 11; 29</t>
  </si>
  <si>
    <t>62305fede0eb655d0fcd20ba86b119cc9df09ab5</t>
  </si>
  <si>
    <t>Swarm intelligence in intrusion detection: A survey</t>
  </si>
  <si>
    <t>2011-11-01</t>
  </si>
  <si>
    <t>{"CorpusId": 17613760, "DBLP": "journals/compsec/KoliasKM11", "DOI": "10.1016/j.cose.2011.08.009", "MAG": "2034265047"}</t>
  </si>
  <si>
    <t>10.1016/j.cose.2011.08.009</t>
  </si>
  <si>
    <t>625-642</t>
  </si>
  <si>
    <t>107</t>
  </si>
  <si>
    <t>18; 43; 18</t>
  </si>
  <si>
    <t>26.33333333333333</t>
  </si>
  <si>
    <t>6a43a28fb65baa6198edc9c42bb7d6741bc9fca3</t>
  </si>
  <si>
    <t>Advanced Border Intrusion Detection and Surveillance Using Wireless Sensor Network Technology</t>
  </si>
  <si>
    <t>2013-05-15</t>
  </si>
  <si>
    <t>Wireless Sensor Network (WSN) has been emerging in the last decade as a powerful tool for connecting physical and digital world. WSN has been used in many applications such habitat monitoring, building monitoring, smart grid and pipeline monitoring. In addition, few researchers have been experimenting with WSN in many mission-critical applications such as military applications. This paper surveys the literature for experimenting work done in border surveillance and intrusion detection using the technology of WSN. The potential benefits of using WSN in border surveillance are huge; however, up to our knowledge very few attempts of solving many critical issues about this application could be found in the literature.</t>
  </si>
  <si>
    <t>{"CorpusId": 40739558, "DOI": "10.4236/IJCNS.2013.65028", "MAG": "2064909103"}</t>
  </si>
  <si>
    <t>10.4236/ijcns.2013.65028</t>
  </si>
  <si>
    <t>http://www.scirp.org/journal/PaperDownload.aspx?paperID=31336</t>
  </si>
  <si>
    <t>251-259</t>
  </si>
  <si>
    <t>85617e640bc534f3bcd6e153bdf7ad37b455df57</t>
  </si>
  <si>
    <t>Intrusion Detection Systems for Networked Unmanned Aerial Vehicles: A Survey</t>
  </si>
  <si>
    <t>2018-06-01</t>
  </si>
  <si>
    <t>Unmanned Aerial Vehicles (UAV)-based civilian or military applications become more critical to serving civilian and/or military missions. The significantly increased attention on UAV applications also has led to security concerns particularly in the context of networked UAVs. Networked UAVs are vulnerable to malicious attacks over open-air radio space and accordingly intrusion detection systems (IDSs) have been naturally derived to deal with the vulnerabilities and/or attacks. In this paper, we briefly survey the state-of-the-art IDS mechanisms that deal with vulnerabilities and attacks under networked UAV environments. In particular, we classify the existing IDS mechanisms according to information gathering sources, deployment strategies, detection methods, detection states, IDS acknowledgment, and intrusion types. We conclude this paper with research challenges, insights, and future research directions to propose a networked UAVIDS system which meets required standards of effectiveness and efficiency in terms of the goals of both security and performance.</t>
  </si>
  <si>
    <t>{"ArXiv": "1807.00435", "CorpusId": 46940087, "DBLP": "journals/corr/abs-1807-00435", "DOI": "10.1109/IWCMC.2018.8450305", "MAG": "2963270044"}</t>
  </si>
  <si>
    <t>10.1109/iwcmc.2018.8450305</t>
  </si>
  <si>
    <t>http://arxiv.org/pdf/1807.00435</t>
  </si>
  <si>
    <t>560-565</t>
  </si>
  <si>
    <t>28</t>
  </si>
  <si>
    <t>19; 40; 48; 21; 46; 32</t>
  </si>
  <si>
    <t>34.33333333333334</t>
  </si>
  <si>
    <t>8fd8fe76b3fc76adb47b1f1597e2e182a8280225</t>
  </si>
  <si>
    <t>Survey on SDN based network intrusion detection system using machine learning approaches</t>
  </si>
  <si>
    <t>2018-01-12</t>
  </si>
  <si>
    <t>421</t>
  </si>
  <si>
    <t>{"CorpusId": 67279885, "DBLP": "journals/ppna/SultanaCPA19", "DOI": "10.1007/s12083-017-0630-0", "MAG": "2782735691"}</t>
  </si>
  <si>
    <t>10.1007/s12083-017-0630-0</t>
  </si>
  <si>
    <t>493 - 501</t>
  </si>
  <si>
    <t>24; 51; 50; 5</t>
  </si>
  <si>
    <t>ad075b977c431be556c615d43159cf04a8b96419</t>
  </si>
  <si>
    <t>Intelligent feature selection and classification techniques for intrusion detection in networks: a survey</t>
  </si>
  <si>
    <t>2013-11-27</t>
  </si>
  <si>
    <t>Rapid growth in the Internet usage and diverse military applications have led researchers to think of intelligent systems that can assist the users and applications in getting the services by delivering required quality of service in networks. Some kinds of intelligent techniques are appropriate for providing security in communication pertaining to distributed environments such as mobile computing, e-commerce, telecommunication, and network management. In this paper, a survey on intelligent techniques for feature selection and classification for intrusion detection in networks based on intelligent software agents, neural networks, genetic algorithms, neuro-genetic algorithms, fuzzy techniques, rough sets, and particle swarm intelligence has been proposed. These techniques have been useful for effectively identifying and preventing network intrusions in order to provide security to the Internet and to enhance the quality of service. In addition to the survey on existing intelligent techniques for intrusion detection systems, two new algorithms namely intelligent rule-based attribute selection algorithm for effective feature selection and intelligent rule-based enhanced multiclass support vector machine have been proposed in this paper.</t>
  </si>
  <si>
    <t>{"CorpusId": 13299749, "DBLP": "journals/ejwcn/GanapathyKMVPK13", "DOI": "10.1186/1687-1499-2013-271", "MAG": "2156612354"}</t>
  </si>
  <si>
    <t>10.1186/1687-1499-2013-271</t>
  </si>
  <si>
    <t>https://jwcn-eurasipjournals.springeropen.com/counter/pdf/10.1186/1687-1499-2013-271</t>
  </si>
  <si>
    <t>28; 12; 10; 9; 13; 39</t>
  </si>
  <si>
    <t>b8a2fb97fb72725210ffd8af52446a88c88f072d</t>
  </si>
  <si>
    <t>Deep Cybersecurity: A Comprehensive Overview from Neural Network and Deep Learning Perspective</t>
  </si>
  <si>
    <t>2021-02-16</t>
  </si>
  <si>
    <t>Deep learning, which is originated from an artificial neural network (ANN), is one of the major technologies of today’s smart cybersecurity systems or policies to function in an intelligent manner. Popular deep learning techniques, such as multi-layer perceptron, convolutional neural network, recurrent neural network or long short-term memory, self-organizing map, auto-encoder, restricted Boltzmann machine, deep belief networks, generative adversarial network, deep transfer learning, as well as deep reinforcement learning, or their ensembles and hybrid approaches can be used to intelligently tackle the diverse cybersecurity issues. In this paper, we aim to present a comprehensive overview from the perspective of these neural networks and deep learning techniques according to today’s diverse needs. We also discuss the applicability of these techniques in various cybersecurity tasks such as intrusion detection, identification of malware or botnets, phishing, predicting cyberattacks, e.g. denial of service, fraud detection or cyberanomalies, etc. Finally, we highlight several research issues and future directions within the scope of our study in the field. Overall, the ultimate goal of this paper is to serve as a reference point and guidelines for the academia and professionals in the cyber industries, especially from the deep learning point of view.</t>
  </si>
  <si>
    <t>{"CorpusId": 233329707, "DBLP": "journals/sncs/Sarker21", "DOI": "10.1007/s42979-021-00535-6", "MAG": "3130145150"}</t>
  </si>
  <si>
    <t>10.1007/s42979-021-00535-6</t>
  </si>
  <si>
    <t>https://www.preprints.org/manuscript/202102.0340/v1/download</t>
  </si>
  <si>
    <t>bb1031b8fb91650e502397c69aa9ffa68341a084</t>
  </si>
  <si>
    <t>Intrusion detection techniques in cloud environment: A survey</t>
  </si>
  <si>
    <t>205</t>
  </si>
  <si>
    <t>{"CorpusId": 206259755, "DBLP": "journals/jnca/MishraPVT17", "DOI": "10.1016/j.jnca.2016.10.015", "MAG": "2531967557"}</t>
  </si>
  <si>
    <t>10.1016/j.jnca.2016.10.015</t>
  </si>
  <si>
    <t>18-47</t>
  </si>
  <si>
    <t>139</t>
  </si>
  <si>
    <t>14; 21; 44; 22</t>
  </si>
  <si>
    <t>25.25</t>
  </si>
  <si>
    <t>0278bbaf1db5df036f02393679d485260b1daeb7</t>
  </si>
  <si>
    <t>Machine Learning Techniques for Anomaly Detection: An Overview</t>
  </si>
  <si>
    <t>2013-10-18</t>
  </si>
  <si>
    <t>319</t>
  </si>
  <si>
    <t>{"CorpusId": 13287576, "DOI": "10.5120/13715-1478", "MAG": "2107528096"}</t>
  </si>
  <si>
    <t>10.5120/13715-1478</t>
  </si>
  <si>
    <t>https://doi.org/10.5120/13715-1478</t>
  </si>
  <si>
    <t>33-41</t>
  </si>
  <si>
    <t>69</t>
  </si>
  <si>
    <t>2; 8; 7</t>
  </si>
  <si>
    <t>5.666666666666667</t>
  </si>
  <si>
    <t>16cfe78c63a185575b5a1260e06f0df80c193fa3</t>
  </si>
  <si>
    <t>ROAD: The Real ORNL Automotive Dynamometer Controller Area Network Intrusion Detection Dataset (with a comprehensive CAN IDS dataset survey &amp; guide)</t>
  </si>
  <si>
    <t>{"CorpusId": 229923855, "DBLP": "journals/corr/abs-2012-14600"}</t>
  </si>
  <si>
    <t>7; 13; 20; 6; 14; 7</t>
  </si>
  <si>
    <t>11.16666666666667</t>
  </si>
  <si>
    <t>32062665fcb7e9e3825e4cc73846282155518e51</t>
  </si>
  <si>
    <t>A Taxonomy of Network Threats and the Effect of Current Datasets on Intrusion Detection Systems</t>
  </si>
  <si>
    <t>2020-06-04</t>
  </si>
  <si>
    <t>As the world moves towards being increasingly dependent on computers and automation, building secure applications, systems and networks are some of the main challenges faced in the current decade. The number of threats that individuals and businesses face is rising exponentially due to the increasing complexity of networks and services of modern networks. To alleviate the impact of these threats, researchers have proposed numerous solutions for anomaly detection; however, current tools often fail to adapt to ever-changing architectures, associated threats and zero-day attacks. This manuscript aims to pinpoint research gaps and shortcomings of current datasets, their impact on building Network Intrusion Detection Systems (NIDS) and the growing number of sophisticated threats. To this end, this manuscript provides researchers with two key pieces of information; a survey of prominent datasets, analyzing their use and impact on the development of the past decade’s Intrusion Detection Systems (IDS) and a taxonomy of network threats and associated tools to carry out these attacks. The manuscript highlights that current IDS research covers only 33.3% of our threat taxonomy. Current datasets demonstrate a clear lack of real-network threats, attack representation and include a large number of deprecated threats, which together limit the detection accuracy of current machine learning IDS approaches. The unique combination of the taxonomy and the analysis of the datasets provided in this manuscript aims to improve the creation of datasets and the collection of real-world data. As a result, this will improve the efficiency of the next generation IDS and reflect network threats more accurately within new datasets.</t>
  </si>
  <si>
    <t>{"CorpusId": 219402183, "DBLP": "journals/access/HindyBBSTAB20", "DOI": "10.1109/ACCESS.2020.3000179", "MAG": "3033213260"}</t>
  </si>
  <si>
    <t>10.1109/access.2020.3000179</t>
  </si>
  <si>
    <t>https://ieeexplore.ieee.org/ielx7/6287639/8948470/09108270.pdf</t>
  </si>
  <si>
    <t>104650-104675</t>
  </si>
  <si>
    <t>14; 15; 10; 14; 22; 16; 19</t>
  </si>
  <si>
    <t>15.71428571428571</t>
  </si>
  <si>
    <t>4abbd915b3ac89560f81324e6b7f9f8c9ee3d064</t>
  </si>
  <si>
    <t>A Survey on Regular Expression Matching for Deep Packet Inspection: Applications, Algorithms, and Hardware Platforms</t>
  </si>
  <si>
    <t>130</t>
  </si>
  <si>
    <t>{"CorpusId": 2837864, "DBLP": "journals/comsur/XuCSYH16", "DOI": "10.1109/COMST.2016.2566669", "MAG": "2393727648"}</t>
  </si>
  <si>
    <t>10.1109/comst.2016.2566669</t>
  </si>
  <si>
    <t>2991-3029</t>
  </si>
  <si>
    <t>39</t>
  </si>
  <si>
    <t>153</t>
  </si>
  <si>
    <t>8; 11; 32; 56; 31</t>
  </si>
  <si>
    <t>4bf0fdf066bc9dff6a96b92738843e266ee57873</t>
  </si>
  <si>
    <t>Taxonomy of Anomaly Based Intrusion Detection System: A Review</t>
  </si>
  <si>
    <t>62</t>
  </si>
  <si>
    <t>{"CorpusId": 8241592, "MAG": "2440677330"}</t>
  </si>
  <si>
    <t>13; 7</t>
  </si>
  <si>
    <t>721be1fbf687927f3349bdb0ca17e51951cb4a3e</t>
  </si>
  <si>
    <t>Intrusion Detection Systems</t>
  </si>
  <si>
    <t>2011-03-22</t>
  </si>
  <si>
    <t>{"CorpusId": 14156437, "DOI": "10.1007/978-0-387-47653-7_3", "MAG": "2493318994"}</t>
  </si>
  <si>
    <t>10.1007/978-0-387-47653-7_3</t>
  </si>
  <si>
    <t>https://doi.org/10.35940/ijrte.b1540.0982s1119</t>
  </si>
  <si>
    <t>7a21bfd3626420a8846803c2aa21c4f1edc72046</t>
  </si>
  <si>
    <t>A Survey of CNN-Based Network Intrusion Detection</t>
  </si>
  <si>
    <t>2022-08-15</t>
  </si>
  <si>
    <t>Over the past few years, Internet applications have become more advanced and widely used. This has increased the need for Internet networks to be secured. Intrusion detection systems (IDSs), which employ artificial intelligence (AI) methods, are vital to ensuring network security. As a branch of AI, deep learning (DL) algorithms are now effectively applied in IDSs. Among deep learning neural networks, the convolutional neural network (CNN) is a well-known structure designed to process complex data. The CNN overcomes the typical limitations of conventional machine learning approaches and is mainly used in IDSs. Several CNN-based approaches are employed in IDSs to handle privacy issues and security threats. However, there are no comprehensive surveys of IDS schemes that have utilized CNN to the best of our knowledge. Hence, in this study, our primary focus is on CNN-based IDSs so as to increase our understanding of various uses of the CNN in detecting network intrusions, anomalies, and other types of attacks. This paper innovatively organizes the studied CNN-IDS approaches into multiple categories and describes their primary capabilities and contributions. The main features of these approaches, such as the dataset, architecture, input shape, evaluated metrics, performance, feature extraction, and classifier method, are compared. Because different datasets are used in CNN-IDS research, their experimental results are not comparable. Hence, this study also conducted an empirical experiment to compare different approaches based on standard datasets, and the comparative results are presented in detail.</t>
  </si>
  <si>
    <t>{"CorpusId": 251639940, "DOI": "10.3390/app12168162"}</t>
  </si>
  <si>
    <t>10.3390/app12168162</t>
  </si>
  <si>
    <t>https://www.mdpi.com/2076-3417/12/16/8162/pdf?version=1661216967</t>
  </si>
  <si>
    <t>5; 12; 18; 7</t>
  </si>
  <si>
    <t>88cd352a02b017f8190686271594b62ca464b638</t>
  </si>
  <si>
    <t>Cyber security meets artificial intelligence: a survey</t>
  </si>
  <si>
    <t>185</t>
  </si>
  <si>
    <t>There is a wide range of interdisciplinary intersections between cyber security and artificial intelligence (AI). On one hand, AI technologies, such as deep learning, can be introduced into cyber security to construct smart models for implementing malware classification and intrusion detection and threating intelligence sensing. On the other hand, AI models will face various cyber threats, which will disturb their sample, learning, and decisions. Thus, AI models need specific cyber security defense and protection technologies to combat adversarial machine learning, preserve privacy in machine learning, secure federated learning, etc. Based on the above two aspects, we review the intersection of AI and cyber security. First, we summarize existing research efforts in terms of combating cyber attacks using AI, including adopting traditional machine learning methods and existing deep learning solutions. Then, we analyze the counterattacks from which AI itself may suffer, dissect their characteristics, and classify the corresponding defense methods. Finally, from the aspects of constructing encrypted neural network and realizing a secure federated deep learning, we expatiate the existing research on how to build a secure AI system.</t>
  </si>
  <si>
    <t>{"CorpusId": 57765528, "DBLP": "journals/jzusc/Li18", "DOI": "10.1631/FITEE.1800573", "MAG": "2908954810"}</t>
  </si>
  <si>
    <t>10.1631/fitee.1800573</t>
  </si>
  <si>
    <t>1462-1474</t>
  </si>
  <si>
    <t>68</t>
  </si>
  <si>
    <t>c3043c6b56c3871eafe08a81ecb8b82f33b322ae</t>
  </si>
  <si>
    <t>Adversarial Machine Learning Applied to Intrusion and Malware Scenarios: A Systematic Review</t>
  </si>
  <si>
    <t>2020-02-18</t>
  </si>
  <si>
    <t>148</t>
  </si>
  <si>
    <t>Cyber-security is the practice of protecting computing systems and networks from digital attacks, which are a rising concern in the Information Age. With the growing pace at which new attacks are developed, conventional signature based attack detection methods are often not enough, and machine learning poses as a potential solution. Adversarial machine learning is a research area that examines both the generation and detection of adversarial examples, which are inputs specially crafted to deceive classifiers, and has been extensively studied specifically in the area of image recognition, where minor modifications are performed on images that cause a classifier to produce incorrect predictions. However, in other fields, such as intrusion and malware detection, the exploration of such methods is still growing. The aim of this survey is to explore works that apply adversarial machine learning concepts to intrusion and malware detection scenarios. We concluded that a wide variety of attacks were tested and proven effective in malware and intrusion detection, although their practicality was not tested in intrusion scenarios. Adversarial defenses were substantially less explored, although their effectiveness was also proven at resisting adversarial attacks. We also concluded that, contrarily to malware scenarios, the variety of datasets in intrusion scenarios is still very small, with the most used dataset being greatly outdated.</t>
  </si>
  <si>
    <t>{"CorpusId": 212646620, "DBLP": "journals/access/MartinsCCA20", "DOI": "10.1109/ACCESS.2020.2974752", "MAG": "3007481080"}</t>
  </si>
  <si>
    <t>10.1109/access.2020.2974752</t>
  </si>
  <si>
    <t>https://ieeexplore.ieee.org/ielx7/6287639/8948470/09001114.pdf</t>
  </si>
  <si>
    <t>35403-35419</t>
  </si>
  <si>
    <t>2; 3; 22; 3</t>
  </si>
  <si>
    <t>7.5</t>
  </si>
  <si>
    <t>d2f7ee54b92876859dd3df53d7a1d4cf55983e02</t>
  </si>
  <si>
    <t>Ensemble based collaborative and distributed intrusion detection systems: A survey</t>
  </si>
  <si>
    <t>2016-05-01</t>
  </si>
  <si>
    <t>120</t>
  </si>
  <si>
    <t>{"CorpusId": 2821652, "DBLP": "journals/jnca/FolinoS16", "DOI": "10.1016/j.jnca.2016.03.011", "MAG": "2432038293"}</t>
  </si>
  <si>
    <t>10.1016/j.jnca.2016.03.011</t>
  </si>
  <si>
    <t>1-16</t>
  </si>
  <si>
    <t>117</t>
  </si>
  <si>
    <t>25; 4</t>
  </si>
  <si>
    <t>14.5</t>
  </si>
  <si>
    <t>d33baaa621d61bb88bfffa1966ad01052e5d4b44</t>
  </si>
  <si>
    <t>Graph Mining: Laws, Tools, and Case Studies</t>
  </si>
  <si>
    <t>2012-10-01</t>
  </si>
  <si>
    <t>What does the Web look like? How can we find patterns, communities, outliers, in a social network? Which are the most central nodes in a network? These are the questions that motivate this work. Networks and graphs appear in many diverse settings, for example in social networks, computer-communication networks (intrusion detection, traffic management), protein-protein interaction networks in biology, document-text bipartite graphs in text retrieval, person-account graphs in financial fraud detection, and others. In this work, first we list several surprising patterns that real graphs tend to follow. Then we give a detailed list of generators that try to mirror these patterns. Generators are important, because they can help with "what if" scenarios, extrapolations, and anonymization. Then we provide a list of powerful tools for graph analysis, and specifically spectral methods (Singular Value Decomposition (SVD)), tensors, and case studies like the famous "pageRank" algorithm and the "HITS" algorithm for ranking web search results. Finally, we conclude with a survey of tools and observations from related fields like sociology, which provide complementary viewpoints. Table of Contents: Introduction / Patterns in Static Graphs / Patterns in Evolving Graphs / Patterns in Weighted Graphs / Discussion: The Structure of Specific Graphs / Discussion: Power Laws and Deviations / Summary of Patterns / Graph Generators / Preferential Attachment and Variants / Incorporating Geographical Information / The RMat / Graph Generation by Kronecker Multiplication / Summary and Practitioner's Guide / SVD, Random Walks, and Tensors / Tensors / Community Detection / Influence/Virus Propagation and Immunization / Case Studies / Social Networks / Other Related Work / Conclusions</t>
  </si>
  <si>
    <t>{"CorpusId": 45441505, "DBLP": "series/synthesis/2012Chakrabarti", "DOI": "10.2200/s00449ed1v01y201209dmk006", "MAG": "2106533374"}</t>
  </si>
  <si>
    <t>10.2200/s00449ed1v01y201209dmk006</t>
  </si>
  <si>
    <t>https://link.springer.com/content/pdf/bfm:978-3-031-01903-6/1?pdf=chapter%20toc</t>
  </si>
  <si>
    <t>281</t>
  </si>
  <si>
    <t>32; 133</t>
  </si>
  <si>
    <t>82.5</t>
  </si>
  <si>
    <t>dce8d0fd2b91e00f834bf091e4fa51e03f8b83bb</t>
  </si>
  <si>
    <t>From Intrusion Detection to an Intrusion Response System: Fundamentals, Requirements, and Future Directions</t>
  </si>
  <si>
    <t>2017-03-27</t>
  </si>
  <si>
    <t>In the past few decades, the rise in attacks on communication devices in networks has resulted in a reduction of network functionality, throughput, and performance. To detect and mitigate these network attacks, researchers, academicians, and practitioners developed Intrusion Detection Systems (IDSs) with automatic response systems. The response system is considered an important component of IDS, since without a timely response IDSs may not function properly in countering various attacks, especially on a real-time basis. To respond appropriately, IDSs should select the optimal response option according to the type of network attack. This research study provides a complete survey of IDSs and Intrusion Response Systems (IRSs) on the basis of our in-depth understanding of the response option for different types of network attacks. Knowledge of the path from IDS to IRS can assist network administrators and network staffs in understanding how to tackle different attacks with state-of-the-art technologies.</t>
  </si>
  <si>
    <t>{"CorpusId": 1517537, "DBLP": "journals/algorithms/AnwarZZIKAC17", "DOI": "10.3390/a10020039", "MAG": "2600058599"}</t>
  </si>
  <si>
    <t>10.3390/a10020039</t>
  </si>
  <si>
    <t>https://www.mdpi.com/1999-4893/10/2/39/pdf?version=1490879826</t>
  </si>
  <si>
    <t>85</t>
  </si>
  <si>
    <t>11; 12; 5; 9; 31; 19; 14</t>
  </si>
  <si>
    <t>14.42857142857143</t>
  </si>
  <si>
    <t>e449b9b3fe04fe260731a3c74d2123bf6eaadf5b</t>
  </si>
  <si>
    <t>A Review of Local Outlier Factor Algorithms for Outlier Detection in Big Data Streams</t>
  </si>
  <si>
    <t>2020-12-29</t>
  </si>
  <si>
    <t>212</t>
  </si>
  <si>
    <t>Outlier detection is a statistical procedure that aims to find suspicious events or items that are different from the normal form of a dataset. It has drawn considerable interest in the field of data mining and machine learning. Outlier detection is important in many applications, including fraud detection in credit card transactions and network intrusion detection. There are two general types of outlier detection: global and local. Global outliers fall outside the normal range for an entire dataset, whereas local outliers may fall within the normal range for the entire dataset, but outside the normal range for the surrounding data points. This paper addresses local outlier detection. The best-known technique for local outlier detection is the Local Outlier Factor (LOF), a density-based technique. There are many LOF algorithms for a static data environment; however, these algorithms cannot be applied directly to data streams, which are an important type of big data. In general, local outlier detection algorithms for data streams are still deficient and better algorithms need to be developed that can effectively analyze the high velocity of data streams to detect local outliers. This paper presents a literature review of local outlier detection algorithms in static and stream environments, with an emphasis on LOF algorithms. It collects and categorizes existing local outlier detection algorithms and analyzes their characteristics. Furthermore, the paper discusses the advantages and limitations of those algorithms and proposes several promising directions for developing improved local outlier detection methods for data streams.</t>
  </si>
  <si>
    <t>{"CorpusId": 233260884, "DBLP": "journals/bdcc/AlghushairyASM21", "DOI": "10.3390/bdcc5010001"}</t>
  </si>
  <si>
    <t>10.3390/bdcc5010001</t>
  </si>
  <si>
    <t>https://www.mdpi.com/2504-2289/5/1/1/pdf?version=1615363380</t>
  </si>
  <si>
    <t>122</t>
  </si>
  <si>
    <t>11; 12; 22; 24</t>
  </si>
  <si>
    <t>17.25</t>
  </si>
  <si>
    <t>0fe9cda9e9d712e21b79936f781d67b621ae4419</t>
  </si>
  <si>
    <t>Network Function Virtualization</t>
  </si>
  <si>
    <t>2016-07-18</t>
  </si>
  <si>
    <t>{"CorpusId": 45717053, "DBLP": "journals/internet/JoshiB16", "DOI": "10.1109/MIC.2016.112", "MAG": "2493277167"}</t>
  </si>
  <si>
    <t>10.1109/mic.2016.112</t>
  </si>
  <si>
    <t>7-9</t>
  </si>
  <si>
    <t>3</t>
  </si>
  <si>
    <t>23; 33</t>
  </si>
  <si>
    <t>1789af28ddac3eab9cf37f84146e48457f28ace3</t>
  </si>
  <si>
    <t>Privacy and Security Issues in Deep Learning: A Survey</t>
  </si>
  <si>
    <t>Deep Learning (DL) algorithms based on artificial neural networks have achieved remarkable success and are being extensively applied in a variety of application domains, ranging from image classification, automatic driving, natural language processing to medical diagnosis, credit risk assessment, intrusion detection. However, the privacy and security issues of DL have been revealed that the DL model can be stolen or reverse engineered, sensitive training data can be inferred, even a recognizable face image of the victim can be recovered. Besides, the recent works have found that the DL model is vulnerable to adversarial examples perturbed by imperceptible noised, which can lead the DL model to predict wrongly with high confidence. In this paper, we first briefly introduces the four types of attacks and privacy-preserving techniques in DL. We then review and summarize the attack and defense methods associated with DL privacy and security in recent years. To demonstrate that security threats really exist in the real world, we also reviewed the adversarial attacks under the physical condition. Finally, we discuss current challenges and open problems regarding privacy and security issues in DL.</t>
  </si>
  <si>
    <t>{"CorpusId": 231423554, "DBLP": "journals/access/LiuXWZXYV21", "DOI": "10.1109/ACCESS.2020.3045078", "MAG": "3112787034"}</t>
  </si>
  <si>
    <t>10.1109/access.2020.3045078</t>
  </si>
  <si>
    <t>https://ieeexplore.ieee.org/ielx7/6287639/9312710/09294026.pdf</t>
  </si>
  <si>
    <t>4566-4593</t>
  </si>
  <si>
    <t>55; 3; 2; 4; 25; 18; 130</t>
  </si>
  <si>
    <t>33.85714285714285</t>
  </si>
  <si>
    <t>1bf6104035f311705ddf63e422dc12ea84aa2db6</t>
  </si>
  <si>
    <t>A Survey of Random Forest Based Methods for Intrusion Detection Systems</t>
  </si>
  <si>
    <t>2018-05-23</t>
  </si>
  <si>
    <t>277</t>
  </si>
  <si>
    <t>Over the past decades, researchers have been proposing different Intrusion Detection approaches to deal with the increasing number and complexity of threats for computer systems. In this context, Random Forest models have been providing a notable performance on their applications in the realm of the behaviour-based Intrusion Detection Systems. Specificities of the Random Forest model are used to provide classification, feature selection, and proximity metrics. This work provides a comprehensive review of the general basic concepts related to Intrusion Detection Systems, including taxonomies, attacks, data collection, modelling, evaluation metrics, and commonly used methods. It also provides a survey of Random Forest based methods applied in this context, considering the particularities involved in these models. Finally, some open questions and challenges are posed combined with possible directions to deal with them, which may guide future works on the area.</t>
  </si>
  <si>
    <t>{"CorpusId": 195345826, "DBLP": "journals/csur/ResendeD18", "DOI": "10.1145/3178582", "MAG": "2803414046"}</t>
  </si>
  <si>
    <t>10.1145/3178582</t>
  </si>
  <si>
    <t>1 - 36</t>
  </si>
  <si>
    <t>6; 11</t>
  </si>
  <si>
    <t>8.5</t>
  </si>
  <si>
    <t>1fd99d0cea1709e6c81a5215d60da20941e5a1bb</t>
  </si>
  <si>
    <t>False alarm minimization techniques in signature-based intrusion detection systems: A survey</t>
  </si>
  <si>
    <t>2014-08-01</t>
  </si>
  <si>
    <t>214</t>
  </si>
  <si>
    <t>{"CorpusId": 11246470, "DBLP": "journals/comcom/HubballiS14", "DOI": "10.1016/j.comcom.2014.04.012", "MAG": "2155926039"}</t>
  </si>
  <si>
    <t>10.1016/j.comcom.2014.04.012</t>
  </si>
  <si>
    <t>1-17</t>
  </si>
  <si>
    <t>18; 6</t>
  </si>
  <si>
    <t>2a1352460aa9fb73172e4dbfe2647fcca17a2640</t>
  </si>
  <si>
    <t>A Review of Attacks, Vulnerabilities, and Defenses in Industry 4.0 with New Challenges on Data Sovereignty Ahead</t>
  </si>
  <si>
    <t>2021-07-30</t>
  </si>
  <si>
    <t>Computer Science; Medicine</t>
  </si>
  <si>
    <t>The concepts brought by Industry 4.0 have been explored and gradually applied.The cybersecurity impacts on the progress of Industry 4.0 implementations and their interactions with other technologies require constant surveillance, and it is important to forecast cybersecurity-related challenges and trends to prevent and mitigate these impacts. The contributions of this paper are as follows: (1) it presents the results of a systematic review of industry 4.0 regarding attacks, vulnerabilities and defense strategies, (2) it details and classifies the attacks, vulnerabilities and defenses mechanisms, and (3) it presents a discussion of recent challenges and trends regarding cybersecurity-related areas for Industry 4.0. From the systematic review, regarding the attacks, the results show that most attacks are carried out on the network layer, where dos-related and mitm attacks are the most prevalent ones. Regarding vulnerabilities, security flaws in services and source code, and incorrect validations in authentication procedures are highlighted. These are vulnerabilities that can be exploited by dos attacks and buffer overflows in industrial devices and networks. Regarding defense strategies, Blockchain is presented as one of the most relevant technologies under study in terms of defense mechanisms, thanks to its ability to be used in a variety of solutions, from Intrusion Detection Systems to the prevention of Distributed dos attacks, and most defense strategies are presented as an after-attack solution or prevention, in the sense that the defense mechanisms are only placed or thought, only after the harm has been done, and not as a mitigation strategy to prevent the cyberattack. Concerning challenges and trends, the review shows that digital sovereignty, cyber sovereignty, and data sovereignty are recent topics being explored by researchers within the Industry 4.0 scope, and GAIA-X and International Data Spaces are recent initiatives regarding data sovereignty. A discussion of trends is provided, and future challenges are pointed out.</t>
  </si>
  <si>
    <t>{"CorpusId": 236951233, "DBLP": "journals/sensors/PedreiraBP21", "DOI": "10.3390/s21155189", "PubMed": "34372425", "PubMedCentral": "8347485"}</t>
  </si>
  <si>
    <t>10.3390/s21155189</t>
  </si>
  <si>
    <t>https://www.mdpi.com/1424-8220/21/15/5189/pdf?version=1627954978</t>
  </si>
  <si>
    <t>129</t>
  </si>
  <si>
    <t>2; 3; 7</t>
  </si>
  <si>
    <t>4</t>
  </si>
  <si>
    <t>2aef2419a63d18cc88096ebbe8e7a74c76a68bef</t>
  </si>
  <si>
    <t>A Review of Intrusion Detection System using Machine Learning Approach</t>
  </si>
  <si>
    <t>{"CorpusId": 198959290}</t>
  </si>
  <si>
    <t>8; 29; 61; 14</t>
  </si>
  <si>
    <t>2f0aa72039cc72a5bf8a4cd66ec468eeb1d3d534</t>
  </si>
  <si>
    <t>A Comparative Study of Off-Line Deep Learning Based Network Intrusion Detection</t>
  </si>
  <si>
    <t>2018-07-01</t>
  </si>
  <si>
    <t>Network intrusion detection systems (NIDS) are essential security building-blocks for today's organizations to ensure safe and trusted communication of information. In this paper, we study the feasibility of off-line deep learning based NIDSes by constructing the detection engine with multiple advanced deep learning models and conducting a quantitative and comparative evaluation of those models. We first introduce the general deep learning methodology and its potential implication on the network intrusion detection problem. We then review multiple machine learning solutions to two network intrusion detection tasks (NSL-KDD and UNSW-NB15 datasets). We develop a TensorFlow-based deep learning library, called NetLearner, and implement a handful of cutting-edge deep learning models for NIDS. Finally, we conduct a quantitative and comparative performance evaluation of those models using NetLearner.</t>
  </si>
  <si>
    <t>{"CorpusId": 52021212, "DBLP": "conf/icufn/YanJLL18", "DOI": "10.1109/ICUFN.2018.8436774", "MAG": "2887670553"}</t>
  </si>
  <si>
    <t>10.1109/icufn.2018.8436774</t>
  </si>
  <si>
    <t>299-304</t>
  </si>
  <si>
    <t>9; 20; 5; 13</t>
  </si>
  <si>
    <t>11.75</t>
  </si>
  <si>
    <t>2fd5f829cee0f02b8a147c7d4933e16d32000aad</t>
  </si>
  <si>
    <t>Intrusion Detection Protocols in Wireless Sensor Networks Integrated to Internet of Things Deployment: Survey and Future Challenges</t>
  </si>
  <si>
    <t>As we all know that the technology is projected to be next to humans very soon because of its holistic growth. Now-a-days, we see a lot of applications that are making our lives comfortable such as smart cars, smart homes, smart traffic management, smart offices, smart medical consultation, smart cities, etc. All such facilities are in the reach of a common man because of the advancement in Information and Communications Technology (ICT). Because of this advancement, new computing and communication environment such as Internet of Things (IoT) came into picture. Lot of research work is in progress in IoT domain which helps for the overall development of the society and makes the lives easy and comfortable. But in the resource constrained environment of Wireless Sensor Network (WSN) and IoT, it is almost inconceivable to establish a fully secure system. As we are moving forward very fast, technology is becoming more and more vulnerable to the security threats. In future, the number of Internet connected people will be less than the smart objects so we need to prepare a robust system for keeping the above mentioned environments safe and standardized it for the smooth conduction of communication among IoT objects. In this survey paper, we provide the details of threat model applicable for the security of WSN and IoT based communications. We also discuss the security requirements and various attacks possible in WSN and IoT based communication environments. The emerging projects of WSNs integrated to IoT are also briefed. We then provide the details of different architectures of WSN and IoT based communication environments. Next, we discuss the current issues and challenges related to WSN and IoT. We also provide a critical literature survey of recent intrusion detection protocols for IoT and WSN environments along with their comparative analysis. A taxonomy of security and privacy-preservation protocols in WSN and IoT is also highlighted. Finally, we discuss some research challenges which need to be addressed in the coming future.</t>
  </si>
  <si>
    <t>{"CorpusId": 210693653, "DBLP": "journals/access/PundirWSDRP20", "DOI": "10.1109/ACCESS.2019.2962829", "MAG": "2997414109"}</t>
  </si>
  <si>
    <t>10.1109/access.2019.2962829</t>
  </si>
  <si>
    <t>https://ieeexplore.ieee.org/ielx7/6287639/8948470/08945139.pdf</t>
  </si>
  <si>
    <t>3343-3363</t>
  </si>
  <si>
    <t>113</t>
  </si>
  <si>
    <t>9; 43; 13; 83; 73; 43</t>
  </si>
  <si>
    <t>44</t>
  </si>
  <si>
    <t>3c08b7343cb47b80bd6e031f3aac29cba22a5a13</t>
  </si>
  <si>
    <t>Deep Learning in Intrusion Detection Systems</t>
  </si>
  <si>
    <t>In recent years, due to the emergence of boundless communication paradigm and increased number of networked digital devices, there is a growing concern about cybersecurity which tries to preserve either the information or the communication technology of the system. Intruders discover new attack types day by day, therefore to prevent these attacks firstly they need to be identified correctly by the used intrusion detection systems (IDSs), and then proper responses should be given. IDSs, which play a very crucial role for the security of the network, consist of three main components: data collection, feature selection/conversion and decision engine. The last component directly affects the efficiency of the system and use of machine learning techniques is one of most promising research areas. Recently, deep learning has been emerged as a new approach which enables the use of Big Data with a low training time and high accuracy rate with its distinctive learning mechanism. Consequently, it has been started to use in IDS systems. In this paper, it is aimed to survey deep learning based intrusion detection system approach by making a comparative work of the literature and by giving the background knowledge either in deep learning algorithms or in intrusion detection systems.</t>
  </si>
  <si>
    <t>{"CorpusId": 59232709, "DOI": "10.1109/IBIGDELFT.2018.8625278", "MAG": "2914968227"}</t>
  </si>
  <si>
    <t>10.1109/ibigdelft.2018.8625278</t>
  </si>
  <si>
    <t>113-116</t>
  </si>
  <si>
    <t>8; 2; 3</t>
  </si>
  <si>
    <t>4.333333333333333</t>
  </si>
  <si>
    <t>40a174543353719e3c52a6f65cdb1f6760c94ecb</t>
  </si>
  <si>
    <t>A Comprehensive Survey of Databases and Deep Learning Methods for Cybersecurity and Intrusion Detection Systems</t>
  </si>
  <si>
    <t>2020-05-26</t>
  </si>
  <si>
    <t>104</t>
  </si>
  <si>
    <t>This survey presents a comprehensive overview of machine learning methods for cybersecurity intrusion detection systems, with a specific focus on recent approaches based on deep learning (DL). The review analyzes recent methods with respect to their intrusion detection mechanisms, performance results, and limitations as well as whether they use benchmark databases to ensure a fair evaluation. In addition, a detailed investigation of benchmark datasets for cybersecurity is presented. This article is intended to provide a road map for readers who would like to understand the potential of DL methods for cybersecurity and intrusion detection systems, along with a detailed analysis of the benchmark datasets used in the literature to train DL models.</t>
  </si>
  <si>
    <t>{"CorpusId": 219876195, "DBLP": "journals/sj/GumusbasYGS21", "DOI": "10.1109/JSYST.2020.2992966", "MAG": "3032266608"}</t>
  </si>
  <si>
    <t>10.1109/jsyst.2020.2992966</t>
  </si>
  <si>
    <t>https://air.unimi.it/bitstream/2434/732722/2/sysj20.pdf</t>
  </si>
  <si>
    <t>1717-1731</t>
  </si>
  <si>
    <t>137</t>
  </si>
  <si>
    <t>1; 25; 21; 33</t>
  </si>
  <si>
    <t>4b6c4836d57f21b5ef09aa460838c157ff676965</t>
  </si>
  <si>
    <t>Internet of Things: Evolution, Concerns and Security Challenges</t>
  </si>
  <si>
    <t>2021-03-01</t>
  </si>
  <si>
    <t>The escalated growth of the Internet of Things (IoT) has started to reform and reshape our lives. The deployment of a large number of objects adhered to the internet has unlocked the vision of the smart world around us, thereby paving a road towards automation and humongous data generation and collection. This automation and continuous explosion of personal and professional information to the digital world provides a potent ground to the adversaries to perform numerous cyber-attacks, thus making security in IoT a sizeable concern. Hence, timely detection and prevention of such threats are pre-requisites to prevent serious consequences. The survey conducted provides a brief insight into the technology with prime attention towards the various attacks and anomalies and their detection based on the intelligent intrusion detection system (IDS). The comprehensive look-over presented in this paper provides an in-depth analysis and assessment of diverse machine learning and deep learning-based network intrusion detection system (NIDS). Additionally, a case study of healthcare in IoT is presented. The study depicts the architecture, security, and privacy issues and application of learning paradigms in this sector. The research assessment is finally concluded by listing the results derived from the literature. Additionally, the paper discusses numerous research challenges to allow further rectifications in the approaches to deal with unusual complications.</t>
  </si>
  <si>
    <t>{"CorpusId": 232259377, "DBLP": "journals/sensors/MalhotraSAB0H21", "DOI": "10.3390/s21051809", "PubMed": "33807724", "PubMedCentral": "7962037"}</t>
  </si>
  <si>
    <t>10.3390/s21051809</t>
  </si>
  <si>
    <t>https://www.mdpi.com/1424-8220/21/5/1809/pdf?version=1615264267</t>
  </si>
  <si>
    <t>2; 16; 9; 5; 26; 55</t>
  </si>
  <si>
    <t>18.83333333333333</t>
  </si>
  <si>
    <t>4d668deb2f5dfb5b888104439dd14ea86167c651</t>
  </si>
  <si>
    <t>A survey of intrusion detection systems based on ensemble and hybrid classifiers</t>
  </si>
  <si>
    <t>2017-03-01</t>
  </si>
  <si>
    <t>{"CorpusId": 10183897, "DBLP": "journals/compsec/AburommanR17", "DOI": "10.1016/J.COSE.2016.11.004", "MAG": "2552899443"}</t>
  </si>
  <si>
    <t>10.1016/j.cose.2016.11.004</t>
  </si>
  <si>
    <t>135-152</t>
  </si>
  <si>
    <t>7; 38</t>
  </si>
  <si>
    <t>4de4eab135d11b22ad4faebf231c1c0c1e325edc</t>
  </si>
  <si>
    <t>Intrusion detection system for automotive Controller Area Network (CAN) bus system: a review</t>
  </si>
  <si>
    <t>2019-07-19</t>
  </si>
  <si>
    <t>210</t>
  </si>
  <si>
    <t>The modern vehicles nowadays are managed by networked controllers. Most of the networks were designed with little concern about security which has recently motivated researchers to demonstrate various kinds of attacks against the system. In this paper, we discussed the vulnerabilities of the Controller Area Network (CAN) within in-vehicle communication protocol along with some potential attacks that could be exploited against it. Besides, we present some of the security solutions proposed in the current state of research in order to overcome the attacks. However, the main goal of this paper is to highlight a holistic approach known as intrusion detection system (IDS) which has been a significant tool in securing networks and information systems over the past decades. To the best of our knowledge, there is no recorded literature on a comprehensive overview of IDS implementation specifically in the CAN bus network system. Thus, we proposed an in-depth investigation of IDS found in the literature based on the following aspects: detection approaches, deployment strategies, attacking techniques, and finally technical challenges. In addition, we also categorized the anomaly-based IDS according to these methods, e.g., frequency-based, machine learning-based, statistical-based, and hybrid-based as part of our contributions. Correspondingly, this study will help to accelerate other researchers to pursue IDS research in the CAN bus system.</t>
  </si>
  <si>
    <t>{"CorpusId": 198119754, "DBLP": "journals/ejwcn/LokmanOA19", "DOI": "10.1186/s13638-019-1484-3", "MAG": "2964262308"}</t>
  </si>
  <si>
    <t>10.1186/s13638-019-1484-3</t>
  </si>
  <si>
    <t>https://jwcn-eurasipjournals.springeropen.com/track/pdf/10.1186/s13638-019-1484-3</t>
  </si>
  <si>
    <t>89</t>
  </si>
  <si>
    <t>4; 7; 1</t>
  </si>
  <si>
    <t>4f369f2f31ab41a90352470cd32caffce4939812</t>
  </si>
  <si>
    <t>A survey of intrusion detection in wireless network applications</t>
  </si>
  <si>
    <t>2014-04-01</t>
  </si>
  <si>
    <t>202</t>
  </si>
  <si>
    <t>{"CorpusId": 2142482, "DBLP": "journals/comcom/MitchellC14", "DOI": "10.1016/j.comcom.2014.01.012", "MAG": "2105442001"}</t>
  </si>
  <si>
    <t>10.1016/j.comcom.2014.01.012</t>
  </si>
  <si>
    <t>http://people.cs.vt.edu/~irchen/ps/Mitchell-comcom14a.pdf</t>
  </si>
  <si>
    <t>1-23</t>
  </si>
  <si>
    <t>51b28f903b99b1530a5af89c7da0df40bb9ef580</t>
  </si>
  <si>
    <t>Mobile Security: A Look Ahead</t>
  </si>
  <si>
    <t>{"CorpusId": 14035616, "DBLP": "journals/ieeesp/LiC13", "DOI": "10.1109/MSP.2013.15", "MAG": "2090357999"}</t>
  </si>
  <si>
    <t>10.1109/msp.2013.15</t>
  </si>
  <si>
    <t>78-81</t>
  </si>
  <si>
    <t>50; 2</t>
  </si>
  <si>
    <t>6cf4e1a24aeccf041c57e0c6d3862c2789dbb972</t>
  </si>
  <si>
    <t>Explainable artificial intelligence for cybersecurity: a literature survey</t>
  </si>
  <si>
    <t>2022-10-26</t>
  </si>
  <si>
    <t>With the extensive application of deep learning (DL) algorithms in recent years, e.g., for detecting Android malware or vulnerable source code, artificial intelligence (AI) and machine learning (ML) are increasingly becoming essential in the development of cybersecurity solutions. However, sharing the same fundamental limitation with other DL application domains, such as computer vision (CV) and natural language processing (NLP), AI-based cybersecurity solutions are incapable of justifying the results (ranging from detection and prediction to reasoning and decision-making) and making them understandable to humans. Consequently, explainable AI (XAI) has emerged as a paramount topic addressing the related challenges of making AI models explainable or interpretable to human users. It is particularly relevant in cybersecurity domain, in that XAI may allow security operators, who are overwhelmed with tens of thousands of security alerts per day (most of which are false positives), to better assess the potential threats and reduce alert fatigue. We conduct an extensive literature review on the intersection between XAI and cybersecurity. Particularly, we investigate the existing literature from two perspectives: the applications of XAI to cybersecurity (e.g., intrusion detection, malware classification), and the security of XAI (e.g., attacks on XAI pipelines, potential countermeasures). We characterize the security of XAI with several security properties that have been discussed in the literature. We also formulate open questions that are either unanswered or insufficiently addressed in the literature, and discuss future directions of research.</t>
  </si>
  <si>
    <t>{"CorpusId": 253178173, "DBLP": "journals/adt/CharmetTAGHJBTZ22", "DOI": "10.1007/s12243-022-00926-7"}</t>
  </si>
  <si>
    <t>10.1007/s12243-022-00926-7</t>
  </si>
  <si>
    <t>https://link.springer.com/content/pdf/10.1007/s12243-022-00926-7.pdf</t>
  </si>
  <si>
    <t>789 - 812</t>
  </si>
  <si>
    <t>144</t>
  </si>
  <si>
    <t>3; 8; 1; 6; 6; 8; 16; 17; 28</t>
  </si>
  <si>
    <t>10.33333333333333</t>
  </si>
  <si>
    <t>8623804372cb6909c3ee090c378adbbeb188d7e0</t>
  </si>
  <si>
    <t>Alert correlation in collaborative intelligent intrusion detection systems - A survey</t>
  </si>
  <si>
    <t>2011-10-01</t>
  </si>
  <si>
    <t>160</t>
  </si>
  <si>
    <t>{"CorpusId": 17211002, "DBLP": "journals/asc/ElshoushO11", "DOI": "10.1016/j.asoc.2010.12.004", "MAG": "2128064123"}</t>
  </si>
  <si>
    <t>10.1016/j.asoc.2010.12.004</t>
  </si>
  <si>
    <t>4349-4365</t>
  </si>
  <si>
    <t>72</t>
  </si>
  <si>
    <t>12; 8</t>
  </si>
  <si>
    <t>965b556ec532a5b7af539ca8aef9ec5a140c379a</t>
  </si>
  <si>
    <t>AMI threats, intrusion detection requirements and deployment recommendations</t>
  </si>
  <si>
    <t>2012-12-01</t>
  </si>
  <si>
    <t>{"CorpusId": 10474515, "DBLP": "conf/smartgridcomm/GrochockiHBBSCJ12", "DOI": "10.1109/SmartGridComm.2012.6486016", "MAG": "1999893744"}</t>
  </si>
  <si>
    <t>10.1109/smartgridcomm.2012.6486016</t>
  </si>
  <si>
    <t>http://www.cs.cmu.edu/%7Ejorjeta/Papers/smartgridcomm2012.pdf</t>
  </si>
  <si>
    <t>395-400</t>
  </si>
  <si>
    <t>3; 18; 20; 32; 49; 39; 16</t>
  </si>
  <si>
    <t>25.28571428571428</t>
  </si>
  <si>
    <t>bbba8f0b786e30416df85d915b216e4acda39603</t>
  </si>
  <si>
    <t>The Threat of Adversarial Attacks against Machine Learning in Network Security: A Survey</t>
  </si>
  <si>
    <t>2019-11-06</t>
  </si>
  <si>
    <t>Machine learning models have made many decision support systems to be faster, more accurate and more efficient. However, applications of machine learning in network security face more disproportionate threat of active adversarial attacks compared to other domains. This is because machine learning applications in network security such as malware detection, intrusion detection, and spam filtering are by themselves adversarial in nature. In what could be considered an arm's race between attackers and defenders, adversaries constantly probe machine learning systems with inputs which are explicitly designed to bypass the system and induce a wrong prediction. In this survey, we first provide a taxonomy of machine learning techniques, tasks, and depth. We then introduce a classification of machine learning in network security applications. Next, we examine various adversarial attacks against machine learning in network security and introduce two classification approaches for adversarial attacks in network security. First, we classify adversarial attacks in network security based on a taxonomy of network security applications. Secondly, we categorize adversarial attacks in network security into a problem space vs. feature space dimensional classification model. We then analyze the various defenses against adversarial attacks on machine learning-based network security applications. We conclude by introducing an adversarial risk grid map and evaluate several existing adversarial attacks against machine learning in network security using the risk grid map. We also identify where each attack classification resides within the adversarial risk grid map.</t>
  </si>
  <si>
    <t>{"ArXiv": "1911.02621", "CorpusId": 207848033, "DOI": "10.37256/jeee.4120255738"}</t>
  </si>
  <si>
    <t>10.37256/jeee.4120255738</t>
  </si>
  <si>
    <t>178</t>
  </si>
  <si>
    <t>4; 1; 1; 23; 11</t>
  </si>
  <si>
    <t>d60fa3d31e6b7802a5f7fbf6b73d4368271bf251</t>
  </si>
  <si>
    <t>Survey of Routing Attacks and Countermeasures in Mobile Ad Hoc Networks</t>
  </si>
  <si>
    <t>2013-04-10</t>
  </si>
  <si>
    <t>{"CorpusId": 14046033, "DOI": "10.1109/UKSIM.2013.48", "MAG": "2001104139"}</t>
  </si>
  <si>
    <t>10.1109/uksim.2013.48</t>
  </si>
  <si>
    <t>693-698</t>
  </si>
  <si>
    <t>1; 5; 2</t>
  </si>
  <si>
    <t>2.666666666666667</t>
  </si>
  <si>
    <t>ed17a5d6d5acbbfbdfadbb50f3242204ac6bd0e3</t>
  </si>
  <si>
    <t>Survey of Machine Learning Based Intrusion Detection Methods for Internet of Medical Things</t>
  </si>
  <si>
    <t>2022-02-19</t>
  </si>
  <si>
    <t>{"ArXiv": "2202.09657", "CorpusId": 247012096, "DBLP": "journals/corr/abs-2202-09657", "DOI": "10.1016/j.asoc.2023.110227"}</t>
  </si>
  <si>
    <t>10.1016/j.asoc.2023.110227</t>
  </si>
  <si>
    <t>http://arxiv.org/pdf/2202.09657</t>
  </si>
  <si>
    <t>110227</t>
  </si>
  <si>
    <t>125</t>
  </si>
  <si>
    <t>3; 29; 6</t>
  </si>
  <si>
    <t>12.66666666666667</t>
  </si>
  <si>
    <t>234b4d0309e06ea41b7b90bffebb5437ed4093d8</t>
  </si>
  <si>
    <t>Machine Learning and Deep Learning Approaches for CyberSecurity: A Review</t>
  </si>
  <si>
    <t>5</t>
  </si>
  <si>
    <t>The rapid evolution and growth of the internet through the last decades led to more concern about cyber-attacks that are continuously increasing and changing. As a result, an effective intrusion detection system was required to protect data, and the discovery of artificial intelligence’s sub-fields, machine learning, and deep learning, was one of the most successful ways to address this problem. This paper reviewed intrusion detection systems and discussed what types of learning algorithms machine learning and deep learning are using to protect data from malicious behavior. It discusses recent machine learning and deep learning work with various network implementations, applications, algorithms, learning approaches, and datasets to develop an operational intrusion detection system.</t>
  </si>
  <si>
    <t>{"CorpusId": 246810580, "DBLP": "journals/access/HalbouniGHHK022", "DOI": "10.1109/ACCESS.2022.3151248"}</t>
  </si>
  <si>
    <t>10.1109/access.2022.3151248</t>
  </si>
  <si>
    <t>https://ieeexplore.ieee.org/ielx7/6287639/9668973/09712274.pdf</t>
  </si>
  <si>
    <t>19572-19585</t>
  </si>
  <si>
    <t>46</t>
  </si>
  <si>
    <t>4; 24; 22; 3; 28; 5</t>
  </si>
  <si>
    <t>14.33333333333333</t>
  </si>
  <si>
    <t>29193749c3434e84a54f348982aa211800435409</t>
  </si>
  <si>
    <t>Cyber security methods for aerial vehicle networks: taxonomy, challenges and solution</t>
  </si>
  <si>
    <t>2018-02-26</t>
  </si>
  <si>
    <t>{"CorpusId": 3593427, "DBLP": "journals/tjs/SedjelmaciS18", "DOI": "10.1007/s11227-018-2287-8", "MAG": "2788510681"}</t>
  </si>
  <si>
    <t>10.1007/s11227-018-2287-8</t>
  </si>
  <si>
    <t>4928-4944</t>
  </si>
  <si>
    <t>26; 41</t>
  </si>
  <si>
    <t>33.5</t>
  </si>
  <si>
    <t>2fba3544fd963cdf9e5c88658696750a2f4024df</t>
  </si>
  <si>
    <t>A Taxonomy and Survey of Intrusion Detection System Design Techniques, Network Threats and Datasets</t>
  </si>
  <si>
    <t>2018-06-09</t>
  </si>
  <si>
    <t>132</t>
  </si>
  <si>
    <t>With the world moving towards being increasingly dependent on computers and automation, one of the main challenges in the current decade has been to build secure applications, systems and networks. Alongside these challenges, the number of threats is rising exponentially due to the attack surface increasing through numerous interfaces offered for each service. To alleviate the impact of these threats, researchers have proposed numerous solutions; however, current tools often fail to adapt to ever-changing architectures, associated threats and 0-days. This manuscript aims to provide researchers with a taxonomy and survey of current dataset composition and current Intrusion Detection Systems (IDS) capabilities and assets. These taxonomies and surveys aim to improve both the efficiency of IDS and the creation of datasets to build the next generation IDS as well as to reflect networks threats more accurately in future datasets. To this end, this manuscript also provides a taxonomy and survey or network threats and associated tools. The manuscript highlights that current IDS only cover 25% of our threat taxonomy, while current datasets demonstrate clear lack of real-network threats and attack representation, but rather include a large number of deprecated threats, hence limiting the accuracy of current machine learning IDS. Moreover, the taxonomies are open-sourced to allow public contributions through a Github repository.</t>
  </si>
  <si>
    <t>{"ArXiv": "1806.03517", "CorpusId": 47021799, "DBLP": "journals/corr/abs-1806-03517", "MAG": "2807656656"}</t>
  </si>
  <si>
    <t>105</t>
  </si>
  <si>
    <t>336a1191f66311f393e483f99d4ab21459f22b77</t>
  </si>
  <si>
    <t>A review of security attacks on IEC61850 substation automation system network</t>
  </si>
  <si>
    <t>2014-11-01</t>
  </si>
  <si>
    <t>55</t>
  </si>
  <si>
    <t>{"CorpusId": 15387000, "DOI": "10.1109/ICIMU.2014.7066594", "MAG": "2038091188"}</t>
  </si>
  <si>
    <t>10.1109/icimu.2014.7066594</t>
  </si>
  <si>
    <t>5-10</t>
  </si>
  <si>
    <t>2; 22; 7; 13</t>
  </si>
  <si>
    <t>3427522b894dc0b6ef26c221f1b1675e91561a4f</t>
  </si>
  <si>
    <t>A Review of Tabular Data Synthesis Using GANs on an IDS Dataset</t>
  </si>
  <si>
    <t>2021-09-14</t>
  </si>
  <si>
    <t>Recent technological innovations along with the vast amount of available data worldwide have led to the rise of cyberattacks against network systems. Intrusion Detection Systems (IDS) play a crucial role as a defense mechanism in networks against adversarial attackers. Machine Learning methods provide various cybersecurity tools. However, these methods require plenty of data to be trained efficiently, which may be hard to collect or to use due to privacy reasons. One of the most notable Machine Learning tools is the Generative Adversarial Network (GAN), and it has great potential for tabular data synthesis. In this work, we start by briefly presenting the most popular GAN architectures, VanillaGAN, WGAN, and WGAN-GP. Focusing on tabular data generation, CTGAN, CopulaGAN, and TableGAN models are used for the creation of synthetic IDS data. Specifically, the models are trained and evaluated on an NSL-KDD dataset, considering the limitations and requirements that this procedure needs. Finally, based on certain quantitative and qualitative methods, we argue and evaluate the most prominent GANs for tabular network data synthesis.</t>
  </si>
  <si>
    <t>{"CorpusId": 238863014, "DBLP": "journals/information/BourouSVVZ21", "DOI": "10.3390/info12090375"}</t>
  </si>
  <si>
    <t>10.3390/info12090375</t>
  </si>
  <si>
    <t>https://www.mdpi.com/2078-2489/12/9/375/pdf?version=1641525245</t>
  </si>
  <si>
    <t>375</t>
  </si>
  <si>
    <t>51</t>
  </si>
  <si>
    <t>6; 2; 9; 11; 29</t>
  </si>
  <si>
    <t>11.4</t>
  </si>
  <si>
    <t>3d16c51496c85e92d69d38be2ae7a903a6f0550e</t>
  </si>
  <si>
    <t>Comparative Evaluation of AI-Based Techniques for Zero-Day Attacks Detection</t>
  </si>
  <si>
    <t>2022-11-28</t>
  </si>
  <si>
    <t>Many intrusion detection and prevention systems (IDPS) have been introduced to identify suspicious activities. However, since attackers are exploiting new vulnerabilities in systems and are employing more sophisticated advanced cyber-attacks, these zero-day attacks remain hidden from IDPS in most cases. These features have incentivized many researchers to propose different artificial intelligence-based techniques to prevent, detect, and respond to such advanced attacks. This has also created a new requirement for a comprehensive comparison of the existing schemes in several aspects ; after a thorough study we found that there currently exists no detailed comparative analysis of artificial intelligence-based techniques published in the last five years. Therefore, there is a need for this kind of work to be published, as there are many comparative analyses in other fields of cyber security that are available for readers to review.In this paper, we provide a comprehensive review of the latest and most recent literature, which introduces well-known machine learning and deep learning algorithms and the challenges they face in detecting zero-day attacks. Following these qualitative analyses, we present the comparative evaluation results regarding the highest accuracy, precision, recall, and F1 score compared to different datasets.</t>
  </si>
  <si>
    <t>{"CorpusId": 254307820, "DOI": "10.3390/electronics11233934"}</t>
  </si>
  <si>
    <t>10.3390/electronics11233934</t>
  </si>
  <si>
    <t>https://www.mdpi.com/2079-9292/11/23/3934/pdf?version=1669644978</t>
  </si>
  <si>
    <t>3; 9; 9; 3; 7; 7</t>
  </si>
  <si>
    <t>6.333333333333333</t>
  </si>
  <si>
    <t>4396be15b35cc09dafbbaf78892e49ce7f613be0</t>
  </si>
  <si>
    <t>Classification of localization algorithms for wireless sensor network: A survey</t>
  </si>
  <si>
    <t>{"CorpusId": 6010936, "DOI": "10.1109/ICOSST.2012.6472830", "MAG": "2068810024"}</t>
  </si>
  <si>
    <t>10.1109/icosst.2012.6472830</t>
  </si>
  <si>
    <t>1-5</t>
  </si>
  <si>
    <t>1; 2; 1; 26</t>
  </si>
  <si>
    <t>45c62857d4f2a3e7ecf8f0ac9ee3125f870e9034</t>
  </si>
  <si>
    <t>A survey and taxonomy of the fuzzy signature-based Intrusion Detection Systems</t>
  </si>
  <si>
    <t>141</t>
  </si>
  <si>
    <t>{"CorpusId": 218821448, "DBLP": "journals/asc/MasdariK20", "DOI": "10.1016/j.asoc.2020.106301", "MAG": "3016987480"}</t>
  </si>
  <si>
    <t>10.1016/j.asoc.2020.106301</t>
  </si>
  <si>
    <t>106301</t>
  </si>
  <si>
    <t>38; 6</t>
  </si>
  <si>
    <t>537afba8865325dfd0a211a3a702affcd7b9d11e</t>
  </si>
  <si>
    <t>A comprehensive survey and taxonomy of the SVM-based intrusion detection systems</t>
  </si>
  <si>
    <t>{"CorpusId": 232145026, "DBLP": "journals/jnca/MohammadiRKATBR21", "DOI": "10.1016/j.jnca.2021.102983"}</t>
  </si>
  <si>
    <t>10.1016/j.jnca.2021.102983</t>
  </si>
  <si>
    <t>102983</t>
  </si>
  <si>
    <t>118</t>
  </si>
  <si>
    <t>43; 9; 4; 8; 9; 50; 63</t>
  </si>
  <si>
    <t>26.57142857142857</t>
  </si>
  <si>
    <t>6551d7739925bf177ac1fc8532ba11a923ea56bb</t>
  </si>
  <si>
    <t>Machine Learning Based Intrusion Detection System</t>
  </si>
  <si>
    <t>2023-05-21</t>
  </si>
  <si>
    <t>In today's digital landscape, the increasing frequency and sophistication of cyberattacks have highlighted the necessity for robust intrusion detection systems (IDS) to safe- guard sensitive data and critical infrastructure. Traditional rule- based intrusion detection methods have proven to be insufficient in handling the evolving nature of attacks. As a result, machine learning techniques have gained prominence due to their ability to adapt and learn from data, thereby enhancing detection accuracy and efficiency. This paper aims to provide a comprehensive overview of machine learning-based intrusion detection systems, including their significance, challenges, methodologies, and future directions.</t>
  </si>
  <si>
    <t>{"CorpusId": 204229558, "DOI": "10.1109/ICTACS59847.2023.10389883"}</t>
  </si>
  <si>
    <t>10.1109/ictacs59847.2023.10389883</t>
  </si>
  <si>
    <t>197-205</t>
  </si>
  <si>
    <t>48</t>
  </si>
  <si>
    <t>1; 2; 1; 0; 1</t>
  </si>
  <si>
    <t>66fc6467aec08ebb6047a3429a5c9ff6a8cceb90</t>
  </si>
  <si>
    <t>Current trends in AI and ML for cybersecurity: A state-of-the-art survey</t>
  </si>
  <si>
    <t>2023-10-25</t>
  </si>
  <si>
    <t>Abstract This paper provides a comprehensive survey of the state-of-the-art use of Artificial Intelligence (AI) and Machine Learning (ML) in the field of cybersecurity. The paper illuminates key applications of AI and ML in cybersecurity, while also addressing existing challenges and posing unresolved questions for future research. The paper also emphasizes the ethical and legal implications associated with their implementation. The researchers conducted a thorough survey by reviewing numerous papers and articles from respected sources such as IEEE, ACM, and Springer. Their focus centered on the latest AI and ML breakthroughs in cybersecurity, while also exploring current challenges and open research questions. The results indicate that integrating AI and ML into cybersecurity systems shows great potential for future research and development. Intrusion detection and response, malware detection, and network security are among the most promising applications identified. According to the survey, 45% of organizations have already implemented AI and ML in their cybersecurity systems, while an additional 35% plan to do so. However, 20% of organizations believe that it is not yet the right time for adopting these technologies. Overall, this paper serves as a reliable reference for researchers and practitioners in the field of cybersecurity, offering a comprehensive overview of the use of AI and ML. It not only highlights the potential applications but also addresses the challenges and research gaps. Additionally, the paper raises awareness about the ethical and legal considerations associated with leveraging AI and ML in the cybersecurity domain.</t>
  </si>
  <si>
    <t>{"CorpusId": 264526161, "DOI": "10.1080/23311916.2023.2272358"}</t>
  </si>
  <si>
    <t>10.1080/23311916.2023.2272358</t>
  </si>
  <si>
    <t>87</t>
  </si>
  <si>
    <t>6de07e7fdd519d734bd7dc00568f2ab16bd50725</t>
  </si>
  <si>
    <t>Healthcare 5.0 Security Framework: Applications, Issues and Future Research Directions</t>
  </si>
  <si>
    <t>Healthcare 5.0 is a system that can be deployed to provide various healthcare services. It does these services by utilising a new generation of information technologies, such as Internet of Things (IoT), Artificial Intelligence (AI), Big data analytics, blockchain and cloud computing. Due to the introduction of healthcare 5.0, the paradigm has been now changed. It is disease-centered to patient-centered care where it provides healthcare services and supports to the people. However, there are several security issues and challenges in healthcare 5.0 which may cause the leakage or alteration of sensitive healthcare data. This demands that we need a robust framework in order to secure the data of healthcare 5.0, which can facilitate different security related procedures like authentication, access control, key management and intrusion detection. Therefore, in this review article, we propose the design of a secure generalized healthcare 5.0 framework. The details of various applications of healthcare 5.0 along with the security requirements and threat model of healthcare 5.0 are provided. Next, we discuss about the existing security mechanisms in healthcare 5.0 along with their performance comparison. Some future research directions are finally discussed for the researchers working in healthcare 5.0 domain.</t>
  </si>
  <si>
    <t>{"CorpusId": 254627626, "DBLP": "journals/access/WazidDMP22", "DOI": "10.1109/ACCESS.2022.3228505"}</t>
  </si>
  <si>
    <t>10.1109/access.2022.3228505</t>
  </si>
  <si>
    <t>https://ieeexplore.ieee.org/ielx7/6287639/6514899/09980352.pdf</t>
  </si>
  <si>
    <t>129429-129442</t>
  </si>
  <si>
    <t>56</t>
  </si>
  <si>
    <t>43; 83; 5; 43</t>
  </si>
  <si>
    <t>43.5</t>
  </si>
  <si>
    <t>708f251c9bd446e71c36f5a58e6052e5ea1362f4</t>
  </si>
  <si>
    <t>Bluetooth Low Energy Mesh Networks: Survey of Communication and Security Protocols</t>
  </si>
  <si>
    <t>2020-06-01</t>
  </si>
  <si>
    <t>58</t>
  </si>
  <si>
    <t>Bluetooth Low Energy (BLE) Mesh Networks enable flexible and reliable communications for low-power Internet of Things (IoT) devices. Most BLE-based mesh protocols are implemented as overlays on top of the standard Bluetooth star topologies while using piconets and scatternets. Nonetheless, mesh topology support has increased the vulnerability of BLE to security threats, since a larger number of devices can participate in a BLE Mesh network. To address these concerns, BLE version 5 enhanced existing BLE security features to deal with various authenticity, integrity, and confidentiality issues. However, there is still a lack of detailed studies related to these new security features. This survey examines the most recent BLE-based mesh network protocols and related security issues. In the first part, the latest BLE-based mesh communication protocols are discussed. The analysis shows that the implementation of BLE pure mesh protocols remains an open research issue. Moreover, there is a lack of auto-configuration mechanisms in order to support bootstrapping of BLE pure mesh networks. In the second part, recent BLE-related security issues and vulnerabilities are highlighted. Strong Intrusion Detection Systems (IDS) are essential for detecting security breaches in order to protect against zero-day exploits. Nonetheless, viable IDS solutions for BLE Mesh networks remain a nascent research area. Consequently, a comparative survey of IDS approaches for related low-power wireless protocols was used to map out potential approaches for enhancing IDS solutions for BLE Mesh networks.</t>
  </si>
  <si>
    <t>{"CorpusId": 220385210, "DBLP": "journals/sensors/GhoriWS20", "DOI": "10.3390/s20123590", "MAG": "3037495960", "PubMed": "32630381", "PubMedCentral": "7349184"}</t>
  </si>
  <si>
    <t>10.3390/s20123590</t>
  </si>
  <si>
    <t>https://www.mdpi.com/1424-8220/20/12/3590/pdf</t>
  </si>
  <si>
    <t>5; 19; 5</t>
  </si>
  <si>
    <t>9.666666666666666</t>
  </si>
  <si>
    <t>70c121af9818efd7d3e1d2894f744392506adb88</t>
  </si>
  <si>
    <t>Adversarial Robustness of Deep Neural Networks: A Survey from a Formal Verification Perspective</t>
  </si>
  <si>
    <t>2022-06-24</t>
  </si>
  <si>
    <t>50</t>
  </si>
  <si>
    <t>Neural networks have been widely applied in security applications such as spam and phishing detection, intrusion prevention, and malware detection. This black-box method, however, often has uncertainty and poor explainability in applications. Furthermore, neural networks themselves are often vulnerable to adversarial attacks. For those reasons, there is a high demand for trustworthy and rigorous methods to verify the robustness of neural network models. Adversarial robustness, which concerns the reliability of a neural network when dealing with maliciously manipulated inputs, is one of the hottest topics in security and machine learning. In this work, we survey existing literature in adversarial robustness verification for neural networks and collect 39 diversified research works across machine learning, security, and software engineering domains. We systematically analyze their approaches, including how robustness is formulated, what verification techniques are used, and the strengths and limitations of each technique. We provide a taxonomy from a formal verification perspective for a comprehensive understanding of this topic. We classify the existing techniques based on property specification, problem reduction, and reasoning strategies. We also demonstrate representative techniques that have been applied in existing studies with a sample model. Finally, we discuss open questions for future research.</t>
  </si>
  <si>
    <t>{"ArXiv": "2206.12227", "CorpusId": 249223202, "DBLP": "journals/corr/abs-2206-12227", "DOI": "10.1109/TDSC.2022.3179131"}</t>
  </si>
  <si>
    <t>10.1109/tdsc.2022.3179131</t>
  </si>
  <si>
    <t>https://research-repository.griffith.edu.au/bitstreams/76896173-953b-4771-af4a-e5ab89133f23/download</t>
  </si>
  <si>
    <t>7; 21; 10; 4; 4; 19; 11</t>
  </si>
  <si>
    <t>10.85714285714286</t>
  </si>
  <si>
    <t>8cd1fb585547854c9a402ae10483d069fbab9c26</t>
  </si>
  <si>
    <t>Smart Grid Cyber-Physical Situational Awareness of Complex Operational Technology Attacks: A Review</t>
  </si>
  <si>
    <t>2022-10-08</t>
  </si>
  <si>
    <t>114</t>
  </si>
  <si>
    <t>The smart grid (SG), regarded as the complex cyber-physical ecosystem of infrastructures, orchestrates advanced communication, computation, and control technologies to interact with the physical environment. Due to the high rewards that threats to the grid can realize, adversaries can mount complex cyber-attacks such as advanced persistent threats-based and coordinated attacks to cause operational malfunctions and power outages in the worst scenarios: The latter of which was reflected in the Ukrainian power grid attack. Despite widespread research on smart grid security, the impact of targeted attacks on control and power systems is anecdotal. This article reviews the smart grid security from collaborative factors, emphasizing the situational awareness (SA). Specifically, we propose a threat modeling framework and review the nature of cyber-physical attacks to understand their characteristics and impacts on the smart grid’s control and physical systems. We examine the existing threats detection and defense capabilities, such as intrusion detection systems (IDSs), moving target defense (MTD), and co-simulation techniques, along with discussing the impact of attacks through situational awareness and power system metrics. We discuss the human factor aspects for power system operators in analyzing the impacts of cyber-attacks. Finally, we investigate the research challenges with key research gaps to shed light on future research directions.</t>
  </si>
  <si>
    <t>{"CorpusId": 252759864, "DBLP": "journals/csur/NafeesSCGB23", "DOI": "10.1145/3565570"}</t>
  </si>
  <si>
    <t>10.1145/3565570</t>
  </si>
  <si>
    <t>https://orca.cardiff.ac.uk/152975/1/Accepted%20version%20csur.pdf</t>
  </si>
  <si>
    <t>131</t>
  </si>
  <si>
    <t>3; 22; 39; 34; 42</t>
  </si>
  <si>
    <t>901ece211efe0c00e4296d281ccae59c3167e7fe</t>
  </si>
  <si>
    <t>A Comprehensive Survey: Evaluating the Efficiency of Artificial Intelligence and Machine Learning Techniques on Cyber Security Solutions</t>
  </si>
  <si>
    <t>92</t>
  </si>
  <si>
    <t>Given the continually rising frequency of cyberattacks, the adoption of artificial intelligence methods, particularly Machine Learning (ML), Deep Learning (DL), and Reinforcement Learning (RL), has become essential in the realm of cybersecurity. These techniques have proven to be effective in detecting and mitigating cyberattacks, which can cause significant harm to individuals, organizations, and even countries. Machine learning algorithms use statistical methods to identify patterns and anomalies in large datasets, enabling security analysts to detect previously unknown threats. Deep learning, a subfield of ML, has shown great potential in improving the accuracy and efficiency of cybersecurity systems, particularly in image and speech recognition. On the other hand, RL is again a subfield of machine learning that trains algorithms to learn through trial and error, making it particularly effective in dynamic environments. We also evaluated the usage of ChatGPT-like AI tools in cyber-related problem domains on both sides, positive and negative. This article provides an overview of how ML, DL, and RL are applied in cybersecurity, including their usage in malware detection, intrusion detection, vulnerability assessment, and other areas. The paper also specifies several research questions to provide a more comprehensive framework to investigate the efficiency of AI and ML models in the cybersecurity domain. The state-of-the-art studies using ML, DL, and RL models are evaluated in each Section based on the main idea, techniques, and important findings. It also discusses these techniques’ challenges and limitations, including data quality, interpretability, and adversarial attacks. Overall, the use of ML, DL, and RL in cybersecurity holds great promise for improving the effectiveness of security systems and enhancing our ability to protect against cyberattacks. Therefore, it is essential to continue developing and refining these techniques to address the ever-evolving nature of cyber threats. Besides, some promising solutions that rely on machine learning, deep learning, and reinforcement learning are susceptible to adversarial attacks, underscoring the importance of factoring in this vulnerability when devising countermeasures against sophisticated cyber threats. We also concluded that ChatGPT can be a valuable tool for cybersecurity, but it should be noted that ChatGPT-like tools can also be manipulated to threaten the integrity, confidentiality, and availability of data.</t>
  </si>
  <si>
    <t>{"CorpusId": 267194340, "DBLP": "journals/access/OzkanOkayAAKISB24", "DOI": "10.1109/ACCESS.2024.3355547"}</t>
  </si>
  <si>
    <t>10.1109/access.2024.3355547</t>
  </si>
  <si>
    <t>https://ieeexplore.ieee.org/ielx7/6287639/6514899/10403908.pdf</t>
  </si>
  <si>
    <t>12229-12256</t>
  </si>
  <si>
    <t>2024</t>
  </si>
  <si>
    <t>7; 6; 2; 6; 5; 12; 3</t>
  </si>
  <si>
    <t>5.857142857142857</t>
  </si>
  <si>
    <t>9054e7d039920c486819a6115d5680fbe4b5f538</t>
  </si>
  <si>
    <t>Addressing cybersecurity challenges in smart grid technologies: Implications for sustainable energy infrastructure</t>
  </si>
  <si>
    <t>2024-06-13</t>
  </si>
  <si>
    <t>This study systematically reviews the cybersecurity challenges in smart grid technologies and their implications for sustainable energy infrastructure. The primary objective is to analyze the vulnerabilities inherent in smart grids, evaluate existing cybersecurity measures, and propose strategic recommendations for enhancing security. Employing a systematic literature review and content analysis, this research scrutinizes peer-reviewed articles, technical reports, and standards documents published between 2014 and 2024. The methodology focuses on identifying cybersecurity threats, vulnerabilities, and mitigation strategies within smart grids, alongside exploring the role of standards, regulatory frameworks, and stakeholder responsibilities in enhancing grid security. Key findings reveal that while smart grids offer enhanced efficiency and reliability, they also introduce significant cybersecurity vulnerabilities due to the integration of ICT. Advanced cybersecurity measures, including encryption and real-time intrusion detection, are critical in safeguarding these infrastructures. The study underscores the importance of collaborative efforts among stakeholders and the development of comprehensive cybersecurity standards tailored to smart grid technologies. Finally, the future of smart grid cybersecurity presents both challenges and opportunities, with the potential for leveraging emerging technologies like blockchain and AI to enhance security measures. The study proposes several policy recommendations, including the enforcement of cybersecurity standards and the promotion of threat intelligence sharing. Conclusively, the research highlights the need for innovative security solutions and interdisciplinary research to bridge technical and policy-making domains, ensuring the secure and sustainable development of smart grid technologies. 
Keywords: Smart Grid Cybersecurity, Cybersecurity Vulnerabilities, Cybersecurity Measures, Sustainable Energy Infrastructure.</t>
  </si>
  <si>
    <t>{"CorpusId": 270494596, "DOI": "10.51594/estj.v5i6.1218"}</t>
  </si>
  <si>
    <t>10.51594/estj.v5i6.1218</t>
  </si>
  <si>
    <t>https://fepbl.com/index.php/estj/article/download/1218/1444</t>
  </si>
  <si>
    <t>6; 8; 8; 6; 8</t>
  </si>
  <si>
    <t>7.2</t>
  </si>
  <si>
    <t>97dd14f4a8310e3c1c8f34d467987e0c84fe4d74</t>
  </si>
  <si>
    <t>Intrusion detection system in cloud environment: Literature survey &amp; future research directions</t>
  </si>
  <si>
    <t>2022-11-01</t>
  </si>
  <si>
    <t>{"CorpusId": 253218304, "DBLP": "journals/ijinfomandi/LataS22", "DOI": "10.1016/j.jjimei.2022.100134"}</t>
  </si>
  <si>
    <t>10.1016/j.jjimei.2022.100134</t>
  </si>
  <si>
    <t>https://doi.org/10.1016/j.jjimei.2022.100134</t>
  </si>
  <si>
    <t>100134</t>
  </si>
  <si>
    <t>4; 9</t>
  </si>
  <si>
    <t>6.5</t>
  </si>
  <si>
    <t>b355307e85e0e0f5d98c177ef3540d00322b68f4</t>
  </si>
  <si>
    <t>A survey of intrusion detection on industrial control systems</t>
  </si>
  <si>
    <t>2018-08-01</t>
  </si>
  <si>
    <t>The modern industrial control systems now exhibit an increasing connectivity to the corporate Internet technology networks so as to make full use of the rich resource on the Internet. The increasing interaction between industrial control systems and the outside Internet world, however, has made them an attractive target for a variety of cyber attacks, raising a great need to secure industrial control systems. Intrusion detection technology is one of the most important security precautions for industrial control systems. It can effectively detect potential attacks against industrial control systems. In this survey, we elaborate on the characteristics and the new security requirements of industrial control systems. After that, we present a new taxonomy of intrusion detection systems for industrial control systems based on different techniques: protocol analysis based, traffic mining based, and control process analysis based. In addition, we analyze the advantages and disadvantages of different categories of intrusion detection systems and discuss some future developments of intrusion detection systems for industrial control systems, in order to promote further research on intrusion detection technology for industrial control systems.</t>
  </si>
  <si>
    <t>{"CorpusId": 69198704, "DBLP": "journals/ijdsn/HuYLSS18", "DOI": "10.1177/1550147718794615", "MAG": "2887195793"}</t>
  </si>
  <si>
    <t>10.1177/1550147718794615</t>
  </si>
  <si>
    <t>https://journals.sagepub.com/doi/pdf/10.1177/1550147718794615</t>
  </si>
  <si>
    <t>54</t>
  </si>
  <si>
    <t>6; 3; 17; 7; 35</t>
  </si>
  <si>
    <t>13.6</t>
  </si>
  <si>
    <t>ba2684fadde45d367b7c3560c4d8ffbccde236b9</t>
  </si>
  <si>
    <t>Review of intrusion detection systems based on deep learning techniques: coherent taxonomy, challenges, motivations, recommendations, substantial analysis and future directions</t>
  </si>
  <si>
    <t>2019-10-18</t>
  </si>
  <si>
    <t>{"CorpusId": 204757681, "DBLP": "journals/nca/AleesaZZS20", "DOI": "10.1007/s00521-019-04557-3", "MAG": "2980759501"}</t>
  </si>
  <si>
    <t>10.1007/s00521-019-04557-3</t>
  </si>
  <si>
    <t>https://link.springer.com/content/pdf/10.1007/s00521-019-04557-3.pdf</t>
  </si>
  <si>
    <t>9827 - 9858</t>
  </si>
  <si>
    <t>7; 67; 61; 3</t>
  </si>
  <si>
    <t>34.5</t>
  </si>
  <si>
    <t>bd6c67495463551f2f98dab623868c968e5e64b0</t>
  </si>
  <si>
    <t>A Detailed Analysis of Benchmark Datasets for Network Intrusion Detection System</t>
  </si>
  <si>
    <t>2021-04-14</t>
  </si>
  <si>
    <t>The enormous increase in the use of the Internet in daily life has provided an opportunity for the intruder attempt to compromise the security principles of availability, confidentiality, and integrity. As a result, organizations are working to increase the level of security by using attack detection techniques such as Network Intrusion Detection System (NIDS), which monitors and analyzes network flow and attacks detection. There are a lot of researches proposed to develop the NIDS and depend on the dataset for the evaluation. Datasets allow evaluating the ability in detecting intrusion behavior. This paper introduces a detailed analysis of benchmark and recent datasets for NIDS. Specifically, we describe eight well-known datasets that include: KDD99, NSL-KDD, KYOTO 2006+, ISCX2012, UNSW-NB 15, CIDDS-001, CICIDS2017, and CSE-CIC-IDS2018. For each dataset, we provide a detailed analysis of its instances, features, classes, and the nature of the features. The main objective of this paper is to offer overviews of the datasets are available for the NIDS and what each dataset is comprised of. Furthermore, some recommendations were made to use network-based datasets.</t>
  </si>
  <si>
    <t>{"CorpusId": 234801948, "DOI": "10.9734/AJRCOS/2021/V7I430185", "MAG": "3156050669"}</t>
  </si>
  <si>
    <t>10.9734/ajrcos/2021/v7i430185</t>
  </si>
  <si>
    <t>https://www.journalajrcos.com/index.php/AJRCOS/article/download/30185/56648</t>
  </si>
  <si>
    <t>6; 2; 2; 2; 4</t>
  </si>
  <si>
    <t>3.2</t>
  </si>
  <si>
    <t>c0fa578c1fae002e02834806a576d811002cb4a4</t>
  </si>
  <si>
    <t>Deep Learning in Intrusion Detection System: An Overview</t>
  </si>
  <si>
    <t>2016-06-01</t>
  </si>
  <si>
    <t>65</t>
  </si>
  <si>
    <t>{"CorpusId": 46533623, "MAG": "2742119477"}</t>
  </si>
  <si>
    <t>1; 44</t>
  </si>
  <si>
    <t>c379614c0cb651514fb72361851830d56fa9a741</t>
  </si>
  <si>
    <t>Leveraging Machine Learning for Cybersecurity: Techniques, Challenges, and Future Directions</t>
  </si>
  <si>
    <t>2024-11-09</t>
  </si>
  <si>
    <t>This study aims to explore the application of machine learning (ML) in enhancing cybersecurity measures, focusing specifically on intrusion detection, malware detection, fraud detection, and anomaly detection systems. A systematic review of 743 scholarly papers was conducted, from which 115 were selected for in-depth analysis. The review process involved evaluating advancements in ML techniques within the context of cybersecurity. The findings reveal that ML-driven systems significantly enhance the automation of security processes, improve the recognition of novel threats, and reduce human error in cyber threat management. However, challenges such as adversarial attacks and the need for high-quality model training pose significant barriers to the broader adoption of ML in cybersecurity. The study discusses the implications of these findings, emphasizing the necessity for developing robust and adaptive ML models that can withstand adversarial threats while improving integration across various cybersecurity applications. The insights gained from this research provide a comprehensive overview of the potential benefits and challenges of implementing ML in cybersecurity, highlighting the need for continuous innovation in threat detection mechanisms. This review acknowledges limitations such as the predominance of literature from Western contexts, potentially overlooking insights from other regions. Furthermore, the complexity of implementing ML systems in dynamic cyber environments remains a critical challenge. Future research should concentrate on refining ML algorithms to enhance resilience against adversarial threats, exploring the integration of emerging technologies for improved cybersecurity, and addressing gaps in the existing literature regarding the life cycle of ML models in real-world applications.</t>
  </si>
  <si>
    <t>{"CorpusId": 273960231, "DOI": "10.55214/25768484.v8i6.2930"}</t>
  </si>
  <si>
    <t>10.55214/25768484.v8i6.2930</t>
  </si>
  <si>
    <t>https://doi.org/10.55214/25768484.v8i6.2930</t>
  </si>
  <si>
    <t>11; 4; 1; 5; 1; 1</t>
  </si>
  <si>
    <t>3.833333333333333</t>
  </si>
  <si>
    <t>d4115b652b295b93ea408cadc675d4eaa5f0df58</t>
  </si>
  <si>
    <t>A survey on intrusion detection system: feature selection, model, performance measures, application perspective, challenges, and future research directions</t>
  </si>
  <si>
    <t>2021-07-01</t>
  </si>
  <si>
    <t>197</t>
  </si>
  <si>
    <t>{"CorpusId": 237821166, "DBLP": "journals/air/ThakkarL22", "DOI": "10.1007/S10462-021-10037-9", "MAG": "3186172578"}</t>
  </si>
  <si>
    <t>10.1007/s10462-021-10037-9</t>
  </si>
  <si>
    <t>453-563</t>
  </si>
  <si>
    <t>111</t>
  </si>
  <si>
    <t>25; 13</t>
  </si>
  <si>
    <t>d4e8aed54dc4c6bed41651254a49d47885648142</t>
  </si>
  <si>
    <t>Adversarial attacks against intrusion detection systems: Taxonomy, solutions and open issues</t>
  </si>
  <si>
    <t>2013-08-01</t>
  </si>
  <si>
    <t>208</t>
  </si>
  <si>
    <t>{"CorpusId": 17236745, "DBLP": "journals/isci/CoronaGR13", "DOI": "10.1016/J.INS.2013.03.022", "MAG": "2026258420"}</t>
  </si>
  <si>
    <t>10.1016/j.ins.2013.03.022</t>
  </si>
  <si>
    <t>201-225</t>
  </si>
  <si>
    <t>19; 47; 74</t>
  </si>
  <si>
    <t>46.66666666666666</t>
  </si>
  <si>
    <t>d65e3ece0ec3badc3daf168b21c74bb280b927ac</t>
  </si>
  <si>
    <t>The Insecurity of Wireless Networks</t>
  </si>
  <si>
    <t>2012-07-01</t>
  </si>
  <si>
    <t>{"CorpusId": 11316954, "DBLP": "journals/ieeesp/SheldonWYP12", "DOI": "10.1109/MSP.2012.60", "MAG": "2006029501"}</t>
  </si>
  <si>
    <t>10.1109/msp.2012.60</t>
  </si>
  <si>
    <t>54-61</t>
  </si>
  <si>
    <t>24; 2; 20; 16</t>
  </si>
  <si>
    <t>d77592edd28d14bc5387049e1c3598a3d27b6826</t>
  </si>
  <si>
    <t>Feature Selection for High-Dimensional Data</t>
  </si>
  <si>
    <t>2015-10-06</t>
  </si>
  <si>
    <t>142</t>
  </si>
  <si>
    <t>{"CorpusId": 27881905, "DBLP": "books/sp/Bolon-CanedoSA15", "DOI": "10.1007/978-3-319-21858-8", "MAG": "2293600471"}</t>
  </si>
  <si>
    <t>10.1007/978-3-319-21858-8</t>
  </si>
  <si>
    <t>1-132</t>
  </si>
  <si>
    <t>171</t>
  </si>
  <si>
    <t>35; 21; 14</t>
  </si>
  <si>
    <t>23.33333333333333</t>
  </si>
  <si>
    <t>d90997d91d27f94b9358e8d4e6eaf460a9a9fa36</t>
  </si>
  <si>
    <t>A Comparison of Outlier Detection Techniques for High-Dimensional Data</t>
  </si>
  <si>
    <t>Outlier detection is a hot topic in machine learning. With the newly emerging technologies and diverse applications, the interest of outlier detection is increasing greatly. Recently, a significant number of outlier detection methods have been witnessed and successfully applied in a wide range of fields, including medical health, credit card fraud and intrusion detection. They can be used for conventional data analysis. However, it is not a trivial work to identify rare behaviors or patterns out from complicated data. In this paper, we provide a brief overview of the outlier detection methods for high-dimensional data, and offer comprehensive understanding of the-state-of-the-art techniques of outlier detection for practitioners. Specifically, we firstly summarize the recent advances on outlier detection for high-dimensional data, and then make an extensive experimental comparison to the popular detection methods on public datasets. Finally, several challenging issues and future research directions are discussed.</t>
  </si>
  <si>
    <t>{"CorpusId": 13803989, "DBLP": "journals/ijcisys/XuLLY18", "DOI": "10.2991/ijcis.11.1.50", "MAG": "2795514556"}</t>
  </si>
  <si>
    <t>10.2991/ijcis.11.1.50</t>
  </si>
  <si>
    <t>https://download.atlantis-press.com/article/25892518.pdf</t>
  </si>
  <si>
    <t>652-662</t>
  </si>
  <si>
    <t>4; 25; 1; 6</t>
  </si>
  <si>
    <t>db25f5f2ffb15fb73930c70c58988712f10246b7</t>
  </si>
  <si>
    <t>An analysis of various snort based techniques to detect and prevent intrusions in networks proposal with code refactoring snort tool in Kali Linux environment</t>
  </si>
  <si>
    <t>2017-03-10</t>
  </si>
  <si>
    <t>{"CorpusId": 40597080, "DOI": "10.1109/ICICCT.2017.7975177", "MAG": "2735674114"}</t>
  </si>
  <si>
    <t>10.1109/icicct.2017.7975177</t>
  </si>
  <si>
    <t>10-15</t>
  </si>
  <si>
    <t>2; 8</t>
  </si>
  <si>
    <t>e310e1a774e44ec7e2ccf45bac1ac0f4df0213ab</t>
  </si>
  <si>
    <t>Deep Learning-Based Intrusion Detection Systems: A Systematic Review</t>
  </si>
  <si>
    <t>Nowadays, the ever-increasing complication and severity of security attacks on computer networks have inspired security researchers to incorporate different machine learning methods to protect the organizations’ data and reputation. Deep learning is one of the exciting techniques which recently are vastly employed by the IDS or intrusion detection systems to increase their performance in securing the computer networks and hosts. This survey article focuses on the deep learning-based intrusion detection schemes and puts forward an in-depth survey and classification of these schemes. It first presents the primary background concepts about IDS architecture and various deep learning techniques. It then classifies these schemes according to the type of deep learning methods utilized in each of them. It describes how deep learning networks are utilized in the intrusion detection process to recognize intrusions accurately. Finally, a complete analysis of the investigated IDS frameworks is provided, and concluding remarks and future directions are highlighted.</t>
  </si>
  <si>
    <t>{"CorpusId": 236479767, "DBLP": "journals/access/LanskyAMMKRHR21", "DOI": "10.1109/ACCESS.2021.3097247"}</t>
  </si>
  <si>
    <t>10.1109/access.2021.3097247</t>
  </si>
  <si>
    <t>https://ieeexplore.ieee.org/ielx7/6287639/9312710/09483916.pdf</t>
  </si>
  <si>
    <t>101574-101599</t>
  </si>
  <si>
    <t>207</t>
  </si>
  <si>
    <t>18; 21; 43; 5; 9; 21; 63; 50</t>
  </si>
  <si>
    <t>28.75</t>
  </si>
  <si>
    <t>09a0970289b496e65b15de950fba7a1d769310fd</t>
  </si>
  <si>
    <t>Machine and Deep Learning Solutions for Intrusion Detection and Prevention in IoTs: A Survey</t>
  </si>
  <si>
    <t>70</t>
  </si>
  <si>
    <t>The increasing number of connected devices in the era of Internet of Thing (IoT) has also increased the number intrusions. Intrusion Detection System (IDS) is a secondary intelligent system to monitor, detect, and alert about malicious activities; an Intrusion Prevention System (IPS) is an extension of a detection system that triggers relevant action when an attack is suspected in a futuristic aspect. Both IDS and IPS systems are significant and useful for developing a security model. Several studies exist to review the detection and prevention models; however, the coherence in the opportunistic or advancements in the models is missing. Besides, the existing models also have some limitations, which need to be surveyed to develop new security models. Our survey is the first one to present a study of risk factor analysis using mapping technique, and provide a proposal for hybrid framework for an efficient security model for intrusion detection and/or prevention. We explore the importance of various Artificial Intelligence (AI)-based techniques, tools, and methods used for the detection and/or prevention systems in IoTs. More specifically, we emphasize on Machine Learning (ML) and Deep Learning (DL) techniques for intrusion detection-prevention systems and provide a comparative analysis focusing on the feasibility, compatibility, challenges, and real-time issues. This present survey is beneficial for industry and academia to categorize the challenges and issues in the current security models and generate the new dimensions of developments of security frameworks with efficient ML or DL methods.</t>
  </si>
  <si>
    <t>{"CorpusId": 253410404, "DBLP": "journals/access/JayalaxmiSKCK22", "DOI": "10.1109/ACCESS.2022.3220622"}</t>
  </si>
  <si>
    <t>10.1109/access.2022.3220622</t>
  </si>
  <si>
    <t>https://ieeexplore.ieee.org/ielx7/6287639/6514899/09941074.pdf</t>
  </si>
  <si>
    <t>121173-121192</t>
  </si>
  <si>
    <t>5; 23; 25; 73; 6</t>
  </si>
  <si>
    <t>0aecce522d1968ddbda8cf734862587a7c5ecc73</t>
  </si>
  <si>
    <t>Evaluation of CAN Bus Security Challenges</t>
  </si>
  <si>
    <t>2020-04-01</t>
  </si>
  <si>
    <t>The automobile industry no longer relies on pure mechanical systems; instead, it benefits from many smart features based on advanced embedded electronics. Although the rise in electronics and connectivity has improved comfort, functionality, and safe driving, it has also created new attack surfaces to penetrate the in-vehicle communication network, which was initially designed as a close loop system. For such applications, the Controller Area Network (CAN) is the most-widely used communication protocol, which still suffers from various security issues because of the lack of encryption and authentication. As a result, any malicious/hijacked node can cause catastrophic accidents and financial loss. This paper analyses the CAN bus comprehensively to provide an outlook on security concerns. It also presents the security vulnerabilities of the CAN and a state-of-the-art attack surface with cases of implemented attack scenarios and goes through different solutions that assist in attack prevention, mainly based on an intrusion detection system (IDS).</t>
  </si>
  <si>
    <t>{"CorpusId": 216111105, "DBLP": "journals/sensors/BozdalSAJ20", "DOI": "10.3390/s20082364", "MAG": "3018640761", "PubMed": "32326272", "PubMedCentral": "7219335"}</t>
  </si>
  <si>
    <t>10.3390/s20082364</t>
  </si>
  <si>
    <t>https://www.mdpi.com/1424-8220/20/8/2364/pdf?version=1587539885</t>
  </si>
  <si>
    <t>82</t>
  </si>
  <si>
    <t>6; 14; 14; 28</t>
  </si>
  <si>
    <t>0bb4962ddd5b8a4a6eaf90cd735aee1f38540b89</t>
  </si>
  <si>
    <t>An Overview on Intrusion Detection System and Types of Attacks It Can Detect Considering Different Protocols</t>
  </si>
  <si>
    <t>{"CorpusId": 15183618, "MAG": "2310462099"}</t>
  </si>
  <si>
    <t>3; 3</t>
  </si>
  <si>
    <t>1d3d953363a6a3070c3a87c940af432edba24e18</t>
  </si>
  <si>
    <t>Deep Learning for Intrusion Detection and Security of Internet of Things (IoT): Current Analysis, Challenges, and Possible Solutions</t>
  </si>
  <si>
    <t>2022-07-09</t>
  </si>
  <si>
    <t>In the last decade, huge growth is recorded globally in computer networks and Internet of Things (IoT) networks due to the exponential data generation, approximately zettabyte to a petabyte. Consequently, security issues have also been arisen with the network growth. However, intrusion detection in such big data is challenging. Smart homes, cities, grids, devices, objects, e-commerce, e-banking, e-government, etc., are different advanced applications of the evolving networks. Many Intrusion Detection Systems (IDS) have been developed recently due to most computer networks’ exposure to security and privacy threats. Data confidentiality, integrity, and availability damage will occur in case of IDS prevention failure. Conventional techniques are not effective enough to cope the advanced attacks. Advanced deep learning techniques have been proposed for automatic intrusion detection and abnormal behavior identification of networks. This research aims to provide an inclusive analysis of intrusion detection based on deep learning techniques followed by different intrusion detection systems. In this review, public network-based datasets of IDS are fully explored and analyzed. Deep learning techniques for IDS have been critically evaluated based on different performance metrics (accuracy, precision, recall, f-1 score, false alarm rate, and detection rate). Furthermore, existing challenges and possible solutions for networks security and privacy have been discussed.</t>
  </si>
  <si>
    <t>{"CorpusId": 250434674, "DOI": "10.1155/2022/4016073"}</t>
  </si>
  <si>
    <t>10.1155/2022/4016073</t>
  </si>
  <si>
    <t>https://downloads.hindawi.com/journals/scn/2022/4016073.pdf</t>
  </si>
  <si>
    <t>10; 6; 36; 10; 73; 18</t>
  </si>
  <si>
    <t>20f0adc524e835d921c631e8d778f656e6cdeb6b</t>
  </si>
  <si>
    <t>Detection of Attacks in an Intrusion Detection System</t>
  </si>
  <si>
    <t>{"CorpusId": 2708326}</t>
  </si>
  <si>
    <t>4; 1</t>
  </si>
  <si>
    <t>2.5</t>
  </si>
  <si>
    <t>21bf70902375e7b9698fd691b58b457ccc808920</t>
  </si>
  <si>
    <t>An Overview of Automotive Service-Oriented Architectures and Implications for Security Countermeasures</t>
  </si>
  <si>
    <t>New requirements from the customers’ and manufacturers’ point of view such as adding new software functions during the product life cycle require a transformed architecture design for future vehicles. The paradigm of signal-oriented communication established for many years will increasingly be replaced by service-oriented approaches in order to increase the update and upgrade capability. In this article, we provide an overview of current protocols and communication patterns for automotive architectures based on the service-oriented architecture (SOA) paradigm and compare them with signal-oriented approaches. Resulting challenges and opportunities of SOAs with respect to information security are outlined and discussed. For this purpose, we explain different security countermeasures and present a state of the section of automotive approaches in the fields of firewalls, Intrusion Detection Systems (IDSs) and Identity and Access Management (IAM). Our final discussion is based on an exemplary hybrid architecture (signal- and service-oriented) and examines the adaptation of existing security measures as well as their specific security features.</t>
  </si>
  <si>
    <t>{"CorpusId": 229358487, "DBLP": "journals/access/RumezGKS20", "DOI": "10.1109/ACCESS.2020.3043070"}</t>
  </si>
  <si>
    <t>10.1109/access.2020.3043070</t>
  </si>
  <si>
    <t>https://ieeexplore.ieee.org/ielx7/6287639/6514899/09285284.pdf</t>
  </si>
  <si>
    <t>221852-221870</t>
  </si>
  <si>
    <t>8; 7; 12; 17</t>
  </si>
  <si>
    <t>231ebe7e5ede62080aa312fa32d30838210b4214</t>
  </si>
  <si>
    <t>Insider Threat Detection using Deep Learning: A Review</t>
  </si>
  <si>
    <t>2020-12-03</t>
  </si>
  <si>
    <t>A plethora of research is available for detecting and mitigating threats that occur across the organization’s boundaries. However, Insider Threat Detection has only recently entered the limelight. It turns out to be a daunting task, given that insiders can evade firewalls, Intrusion Detection Systems, and other security mechanisms aimed at protecting the information infrastructure from outside attacks. In addition to this, some insiders having administrative rights to access privileged information and perform operations on it might turn rogue. Their malicious actions could go undetected as their digital footprint might get buried in massive dumps of log data. This survey aims to provide a comprehensive explanation of the problem statement at hand, Insider Threat Detection using Deep Learning. It has been initiated by introducing Insider Threat Detection and related terminology. Deep Learning has been chosen as the preferred approach for solving this problem statement as it has been proven to be better than the conventional Machine Learning algorithms while dealing with complex data originating from varied sources. Here, Deep Learning and Log based Anomaly Detection have been explained. Some datasets available specifically for the research domain of Insider Threat Detection have been brought under one roof. Then, by having a closer look at the CERT Insider Threat Dataset, a brief comparative analysis of the existing Deep Learning solutions for Insider Threat Detection based on this dataset is provided. Also, this work overviews the challenges faced and how they open doors for further research. In order to cater to the readers looking for an industry-oriented approach, this survey explains how a Deep Learning model can be integrated with the Elasticsearch-Logstash-Kibana (ELK) Stack.</t>
  </si>
  <si>
    <t>{"CorpusId": 231684440, "DOI": "10.1109/ICISS49785.2020.9315932"}</t>
  </si>
  <si>
    <t>10.1109/iciss49785.2020.9315932</t>
  </si>
  <si>
    <t>856-863</t>
  </si>
  <si>
    <t>2; 12; 131; 3</t>
  </si>
  <si>
    <t>29155d8d621b45ca59db229214027fce39f6f8ab</t>
  </si>
  <si>
    <t>Integrating Artificial Intelligence Internet of Things and 5G for Next-Generation Smartgrid: A Survey of Trends Challenges and Prospect</t>
  </si>
  <si>
    <t>Smartgrid is a paradigm that was introduced into the conventional electricity network to enhance the way generation, transmission, and distribution networks interrelate. It involves the use of Information and Communication Technology (ICT) and other solution in fault and intrusion detection, mere monitoring of energy generation, transmission, and distribution. However, on one hand, the actual and earlier smartgrid, do not integrate more advanced features such as automatic decision making, security, scalability, self-healing and awareness, real-time monitoring, cross-layer compatibility, etc. On the other hand, the emergence of the digitalization of the communication infrastructure to support the economic sector which among them are energy generation and distribution grid with Artificial Intelligence (AI) and large-scale Machine to Machine (M2M) communication. With the future Massive Internet of Things (MIoT) as one of the pillars of 5G/6G network factory, it is the enabler to support the next generation smart grid by providing the needed platform that integrates, in addition to the communication infrastructure, the AI and IoT support, providing a multitenant system. This paper aim at presenting a comprehensive review of next smart grid research trends and technological background, discuss a futuristic next-generation smart grid driven by artificial intelligence (AI) and leverage by IoT and 5G. In addition, it discusses the challenges of next-generation smart-grids as it relate to the integration of AI, IoT and 5G for better smart grid architecture. Also, proffers possible solutions to some of the challenges and standards to support this novel trend. A corresponding future work will dwell on the implementation of the discussed integration of AI, IoT and 5G for next-generation smart grid, using Matlab, NS2/NS3, Open-daylight and Mininet as soft tools and compare with related literature.</t>
  </si>
  <si>
    <t>{"CorpusId": 246037919, "DBLP": "journals/access/EsenoghoDK22", "DOI": "10.1109/access.2022.3140595"}</t>
  </si>
  <si>
    <t>10.1109/access.2022.3140595</t>
  </si>
  <si>
    <t>https://ieeexplore.ieee.org/ielx7/6287639/9668973/09672084.pdf</t>
  </si>
  <si>
    <t>4794-4831</t>
  </si>
  <si>
    <t>11; 29; 19</t>
  </si>
  <si>
    <t>19.66666666666667</t>
  </si>
  <si>
    <t>29512a88b5e879dbd809cd1e98e98fb77785f6b7</t>
  </si>
  <si>
    <t>Security Issues in Mobile Ad Hoc Networks</t>
  </si>
  <si>
    <t>2012-11-01</t>
  </si>
  <si>
    <t>Ad hoc networks are built on the basis of a communication without infrastructure and major investigations have focused on the routing and autoconfiguration problems. However, there is a little progress in solving the secure autoconfiguration problems in mobile ad hoc networks (MANETs), which has led to the proliferation of threats given the vulnerabilities of MANETs. It is clear that ad hoc networks have no centralized mechanism for defense against threats, such as a firewall, an intrusion detection system, or a proxy. Therefore, it is necessary that the defense of interests of each of the ad hoc components is the responsibility of each member node. This paper shows the most common threats to ad hoc networks and reviews several proposals that attempt to minimize some of these threats, showing their protection ability and vulnerabilities in light of the threats that might arise.</t>
  </si>
  <si>
    <t>{"CorpusId": 44851395, "DBLP": "journals/ijdsn/OrozcoMGDK12", "DOI": "10.1155/2012/818054", "MAG": "2121556532"}</t>
  </si>
  <si>
    <t>10.1155/2012/818054</t>
  </si>
  <si>
    <t>https://figshare.com/articles/journal_contribution/Security_issues_in_mobile_ad_hoc_networks/22951748/1/files/40688471.pdf</t>
  </si>
  <si>
    <t>18; 5; 16; 3; 43</t>
  </si>
  <si>
    <t>350200e1839c272405839fd5a08be68931e903ab</t>
  </si>
  <si>
    <t>Zero-day attack detection: a systematic literature review</t>
  </si>
  <si>
    <t>2023-02-27</t>
  </si>
  <si>
    <t>{"CorpusId": 257247755, "DBLP": "journals/air/AhmadAAT23", "DOI": "10.1007/s10462-023-10437-z"}</t>
  </si>
  <si>
    <t>10.1007/s10462-023-10437-z</t>
  </si>
  <si>
    <t>1-79</t>
  </si>
  <si>
    <t>79</t>
  </si>
  <si>
    <t>6; 28; 2; 28</t>
  </si>
  <si>
    <t>3fdfd243f2c1c8ea974ed661dc06b35849b9ead9</t>
  </si>
  <si>
    <t>Survey on Incremental Approaches for Network Anomaly Detection</t>
  </si>
  <si>
    <t>2011-12-19</t>
  </si>
  <si>
    <t> As the communication industry has connected distant corners of the globe using advances in network technology, intruders or attackers have also increased attacks on networking infrastructure commensurately. System administrators can attempt to prevent such attacks using intrusion detection tools and systems. There are many commercially available signature-based Intrusion Detection Systems (IDSs). However, most IDSs lack the capability to detect novel or previously unknown attacks. A special type of IDSs, called Anomaly Detection Systems, develop models based on normal system or network behavior, with the goal of detecting both known and unknown attacks. Anomaly detection systems face many problems including high rate of false alarm, ability to work in online mode, and scalability. This paper presents a selective survey of incremental approaches for detecting anomaly in normal system or network traffic. The technological trends, open problems, and challenges over anomaly detection using incremental approach are also discussed.</t>
  </si>
  <si>
    <t>{"ArXiv": "1211.4493", "CorpusId": 17174635, "DBLP": "journals/ijcnis/BhuyanBK11", "DOI": "10.17762/ijcnis.v3i3.104", "MAG": "2964301595"}</t>
  </si>
  <si>
    <t>10.17762/ijcnis.v3i3.104</t>
  </si>
  <si>
    <t>48975ddab2f64f54d48ad4a0590ae5be92953370</t>
  </si>
  <si>
    <t>Cybersecurity of Industrial Cyber-Physical Systems: A Review</t>
  </si>
  <si>
    <t>2021-01-10</t>
  </si>
  <si>
    <t>Industrial cyber-physical systems (ICPSs)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(IDSs), network traffic analysis (NTA)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</si>
  <si>
    <t>{"ArXiv": "2101.03564", "CorpusId": 231573459, "DBLP": "journals/corr/abs-2101-03564", "DOI": "10.1145/3510410"}</t>
  </si>
  <si>
    <t>10.1145/3510410</t>
  </si>
  <si>
    <t>https://orca.cardiff.ac.uk/id/eprint/147063/1/Hakan_PAPER_01_OCT_2020_V1__Copy_%2B%283%29.pdf</t>
  </si>
  <si>
    <t>4; 3; 57; 42; 35</t>
  </si>
  <si>
    <t>28.2</t>
  </si>
  <si>
    <t>4cf9ce74e4076a14cc8b636df2130b01f7b7c6ff</t>
  </si>
  <si>
    <t>Survey on Outlier Detection in Data Stream</t>
  </si>
  <si>
    <t>2016-02-17</t>
  </si>
  <si>
    <t>{"CorpusId": 16374748, "DOI": "10.5120/IJCA2016908257", "MAG": "2337854997"}</t>
  </si>
  <si>
    <t>10.5120/ijca2016908257</t>
  </si>
  <si>
    <t>https://doi.org/10.5120/ijca2016908257</t>
  </si>
  <si>
    <t>13-16</t>
  </si>
  <si>
    <t>4; 4; 3</t>
  </si>
  <si>
    <t>3.666666666666667</t>
  </si>
  <si>
    <t>5731b90a80d7ebb3dedeedaf3fc8977c110fef86</t>
  </si>
  <si>
    <t>Machine learning in cybersecurity: a comprehensive survey</t>
  </si>
  <si>
    <t>2020-09-19</t>
  </si>
  <si>
    <t>Today’s world is highly network interconnected owing to the pervasiveness of small personal devices (e.g., smartphones) as well as large computing devices or services (e.g., cloud computing or online banking), and thereby each passing minute millions of data bytes are being generated, processed, exchanged, shared, and utilized to yield outcomes in specific applications. Thus, securing the data, machines (devices), and user’s privacy in cyberspace has become an utmost concern for individuals, business organizations, and national governments. In recent years, machine learning (ML) has been widely employed in cybersecurity, for example, intrusion or malware detection and biometric-based user authentication. However, ML algorithms are vulnerable to attacks both in the training and testing phases, which usually leads to remarkable performance decreases and security breaches. Comparatively, limited studies have been conducted to understand the essence and degree of the vulnerabilities of ML techniques against security threats and their defensive mechanisms. It is imperative to systematize recent works related to cybersecurity using ML to seek the attention of researchers, scientists, and engineers. Therefore, in this paper, we provide a comprehensive survey of the works that have been carried out most recently (from 2013 to 2018) on ML in cybersecurity, describing the basics of cyber-attacks and corresponding defenses, the basics of the most commonly used ML algorithms, and proposed ML and data mining schemes for cybersecurity in terms of features, dimensionality reduction, and classification/detection techniques. In this context, this article also provides an overview of adversarial ML, including the security characteristics of deep learning methods. Finally, open issues and challenges in cybersecurity are highlighted and potential future research directions are discussed.</t>
  </si>
  <si>
    <t>{"CorpusId": 225250976, "DOI": "10.1177/1548512920951275", "MAG": "3093469966"}</t>
  </si>
  <si>
    <t>10.1177/1548512920951275</t>
  </si>
  <si>
    <t>57 - 106</t>
  </si>
  <si>
    <t>274</t>
  </si>
  <si>
    <t>56; 28; 8</t>
  </si>
  <si>
    <t>5dd8a69118386d88953bd224d6952062c4f0b341</t>
  </si>
  <si>
    <t>Data Mining in Intrusion Detection: A Comparative Study of Methods, Types and Data Sets</t>
  </si>
  <si>
    <t>2013-07-01</t>
  </si>
  <si>
    <t>{"CorpusId": 14380437, "DOI": "10.5815/IJITCS.2013.08.08", "MAG": "2153611261"}</t>
  </si>
  <si>
    <t>10.5815/ijitcs.2013.08.08</t>
  </si>
  <si>
    <t>https://www.mecs-press.org/ijitcs/ijitcs-v5-n8/IJITCS-V5-N8-8.pdf</t>
  </si>
  <si>
    <t>75-90</t>
  </si>
  <si>
    <t>11; 14</t>
  </si>
  <si>
    <t>12.5</t>
  </si>
  <si>
    <t>5f116198797397ae890bd7543780b74285c545e1</t>
  </si>
  <si>
    <t>A Survey of Automatic Protocol Reverse Engineering Tools</t>
  </si>
  <si>
    <t>2015-12-09</t>
  </si>
  <si>
    <t>{"CorpusId": 14716322, "DBLP": "journals/csur/NarayanSC16", "DOI": "10.1145/2840724", "MAG": "2241428156"}</t>
  </si>
  <si>
    <t>10.1145/2840724</t>
  </si>
  <si>
    <t>1 - 26</t>
  </si>
  <si>
    <t>2; 1; 33; 44</t>
  </si>
  <si>
    <t>626423c34fa1b9465b4a7dd37129eb5d427334dd</t>
  </si>
  <si>
    <t>Research on Artificial Intelligence Enhancing Internet of Things Security: A Survey</t>
  </si>
  <si>
    <t>2020-08-20</t>
  </si>
  <si>
    <t>Through three development routes of authentication, communication, and computing, the Internet of Things (IoT) has become a variety of innovative integrated solutions for specific applications. However, due to the openness, extensiveness and resource constraints of IoT, each layer of the three-tier IoT architecture suffers from a variety of security threats. In this work, we systematically review the particularity and complexity of IoT security protection, and then find that Artificial Intelligence (AI) methods such as Machine Learning (ML) and Deep Learning (DL) can provide new powerful capabilities to meet the security requirements of IoT. We analyze the technical feasibility of AI in solving IoT security problems and summarize a general process of AI solutions for IoT security. For four serious IoT security threats: device authentication, Denial of Service (DoS) and Distributed Denial of Service (DDoS) attacks defense, intrusion detection and malware detection, we summarize representative AI solutions and compare the different algorithms and technologies used by various solutions. It should be noted that although AI provides many new capabilities for the security protection of IoT, it also brings new potential challenges and possible negative effects to IoT in terms of data, algorithm and architecture. In the future, how to solve these challenges can serve as potential research directions.</t>
  </si>
  <si>
    <t>{"CorpusId": 221476245, "DBLP": "journals/access/WuHWS20", "DOI": "10.1109/ACCESS.2020.3018170", "MAG": "3080594820"}</t>
  </si>
  <si>
    <t>10.1109/access.2020.3018170</t>
  </si>
  <si>
    <t>https://ieeexplore.ieee.org/ielx7/6287639/8948470/09172062.pdf</t>
  </si>
  <si>
    <t>153826-153848</t>
  </si>
  <si>
    <t>3; 4; 1; 3</t>
  </si>
  <si>
    <t>2.75</t>
  </si>
  <si>
    <t>68011e8686d49f9db021b703524062df3cb2209c</t>
  </si>
  <si>
    <t>A Comparative Study of Related Technologies of Intrusion Detection &amp; Prevention Systems</t>
  </si>
  <si>
    <t>2011-01-31</t>
  </si>
  <si>
    <t>The rapid growth of computer networks has changed the prospect of network security. An easy accessibility condition causes computer networks to be vulnerable against numerous and potentially devastating threats from hackers. Up to the moment, researchers have developed Intrusion Detection Systems (IDS) capable of detecting attacks in several available environments. A boundlessness of methods for misuse detection as well as anomaly detection has been applied. Intrusion Prevention Systems (IPS) evolved after that to resolve am-biguities in passive network monitoring by placing detection systems on the line of attack. IPS in other words is IDS that are able to give prevention commands to firewalls and access control changes to routers. IPS can be seen as an improvement upon firewall technologies. It can make access control decisions based on application content, rather than IP address or ports as traditional firewalls do. The next innovation is the combination of IDS and IPS known as Intrusion Detection and Prevention Systems (IDPS) capable of de-tecting and preventing attacks from happening. This paper presents an overview of IDPS followed by their classifications and applications. A new signature based IDPS architecture named HawkEye Solutions has been proposed by the authors. Authors have presented the basic building blocks of the IDS, which include mechanisms for carrying out TCP port scans, Traceroute scan, ping scan and packet sniffing to monitor net-work health detect various types of attacks. Real time implementation results of the system have been pre-sented. Finally a comparative analysis of various existing IDS/IPS solutions with HawkEye Solutions em-phasizes its significance.</t>
  </si>
  <si>
    <t>{"CorpusId": 16789880, "DBLP": "journals/jisec/MukhopadhyayCC11", "DOI": "10.4236/jis.2011.21003", "MAG": "2002923498"}</t>
  </si>
  <si>
    <t>10.4236/jis.2011.21003</t>
  </si>
  <si>
    <t>http://www.scirp.org/journal/PaperDownload.aspx?paperID=3823</t>
  </si>
  <si>
    <t>28-38</t>
  </si>
  <si>
    <t>2008</t>
  </si>
  <si>
    <t>8; 4; 3</t>
  </si>
  <si>
    <t>6b3f09231c8d5391528071cf3fceba3e79c9f7bc</t>
  </si>
  <si>
    <t>An Overview of Flow-Based and Packet-Based Intrusion Detection Performance in High Speed Networks</t>
  </si>
  <si>
    <t>2011-12-11</t>
  </si>
  <si>
    <t>{"CorpusId": 12453599, "MAG": "2599033937"}</t>
  </si>
  <si>
    <t>5; 14; 1</t>
  </si>
  <si>
    <t>6.666666666666667</t>
  </si>
  <si>
    <t>801eee61f6ffaa1f2449a0e3f10e34caad1a4277</t>
  </si>
  <si>
    <t>Machine learning in cybersecurity: A review</t>
  </si>
  <si>
    <t>2019-02-17</t>
  </si>
  <si>
    <t>152</t>
  </si>
  <si>
    <t>Machine learning technology has become mainstream in a large number of domains, and cybersecurity applications of machine learning techniques are plenty. Examples include malware analysis, especially for zero‐day malware detection, threat analysis, anomaly based intrusion detection of prevalent attacks on critical infrastructures, and many others. Due to the ineffectiveness of signature‐based methods in detecting zero day attacks or even slight variants of known attacks, machine learning‐based detection is being used by researchers in many cybersecurity products. In this review, we discuss several areas of cybersecurity where machine learning is used as a tool. We also provide a few glimpses of adversarial attacks on machine learning algorithms to manipulate training and test data of classifiers, to render such tools ineffective.</t>
  </si>
  <si>
    <t>{"CorpusId": 86818211, "DBLP": "journals/widm/HandaSS19", "DOI": "10.1002/widm.1306", "MAG": "2917355511"}</t>
  </si>
  <si>
    <t>10.1002/widm.1306</t>
  </si>
  <si>
    <t>9; 9; 33</t>
  </si>
  <si>
    <t>83f3d93161f5651e3999fadcbe1d6f1886683299</t>
  </si>
  <si>
    <t>A Survey on Data-driven Network Intrusion Detection</t>
  </si>
  <si>
    <t>2021-10-07</t>
  </si>
  <si>
    <t>Data-driven network intrusion detection (NID) has a tendency towards minority attack classes compared to normal traffic. Many datasets are collected in simulated environments rather than real-world networks. These challenges undermine the performance of intrusion detection machine learning models by fitting machine learning models to unrepresentative “sandbox” datasets. This survey presents a taxonomy with eight main challenges and explores common datasets from 1999 to 2020. Trends are analyzed on the challenges in the past decade and future directions are proposed on expanding NID into cloud-based environments, devising scalable models for large network data, and creating labeled datasets collected in real-world networks.</t>
  </si>
  <si>
    <t>{"CorpusId": 242598167, "DBLP": "journals/csur/ChouJ22", "DOI": "10.1145/3472753"}</t>
  </si>
  <si>
    <t>10.1145/3472753</t>
  </si>
  <si>
    <t>https://dl.acm.org/doi/pdf/10.1145/3472753</t>
  </si>
  <si>
    <t>201</t>
  </si>
  <si>
    <t>2; 3</t>
  </si>
  <si>
    <t>8d8a429beb3bd78960c1545a0df40bd85aba7cb7</t>
  </si>
  <si>
    <t>Building an Intrusion Detection System Using a Filter-Based Feature Selection Algorithm</t>
  </si>
  <si>
    <t>49</t>
  </si>
  <si>
    <t>{"CorpusId": 214686067}</t>
  </si>
  <si>
    <t>1; 3; 1; 2; 1; 1; 1; 1; 1; 1; 1; 2; 1</t>
  </si>
  <si>
    <t>1.307692307692308</t>
  </si>
  <si>
    <t>92a51b77f9c34c579ac4fb309b3cb501585f3439</t>
  </si>
  <si>
    <t>Intrusion detection systems in Internet of Things: A literature review</t>
  </si>
  <si>
    <t>The Internet of Things (IoT) is a new model that integrates physical objects and Internet and became one of the principal technological evolutions of computing. It is estimated that a trillion of physical objects will be connected to the Internet until 2022. The low accessibility and the lack of interoperability of many of these devices in a vast heterogenous landscape will make it very hard to design specific security measures and apply specific security mechanism. Moreover, IoT networks still exposed and vulnerable to attacks aimed to disrupt the network. Therefore, additional security tools specific to IoT are needed. Intrusion Detection System (IDS) could fulfill this purpose. In this paper, we present a literature review on the IDS in IoT topic, mainly focusing on the current state of research by examining the literature, identifying current trends and presenting open issues and future directions.</t>
  </si>
  <si>
    <t>{"CorpusId": 49535653, "DOI": "10.23919/CISTI.2018.8399291", "MAG": "2809706118"}</t>
  </si>
  <si>
    <t>10.23919/cisti.2018.8399291</t>
  </si>
  <si>
    <t>1-7</t>
  </si>
  <si>
    <t>8; 9; 4</t>
  </si>
  <si>
    <t>96ba9f36c1df479744e2ea66663e544a4bd55747</t>
  </si>
  <si>
    <t>Survey of Automotive Controller Area Network Intrusion Detection Systems</t>
  </si>
  <si>
    <t>2019-02-12</t>
  </si>
  <si>
    <t>Editor’s note: Control Area Network (CAN) is one of the most popular targets for malicious attacks and exploitations in modern automotive systems. The goal of intrusion detection systems (IDS) is to identify and mitigate security attacks; consequently, they are of paramount importance to automotive security. This article surveys the state of the art in IDS, with special emphasis on techniques for detecting attacks on CAN modules. —Sandip Ray, University of Florida</t>
  </si>
  <si>
    <t>{"CorpusId": 78088028, "DBLP": "journals/dt/YoungZOB19", "DOI": "10.1109/MDAT.2019.2899062", "MAG": "2913402274"}</t>
  </si>
  <si>
    <t>10.1109/mdat.2019.2899062</t>
  </si>
  <si>
    <t>https://doi.org/10.1109/mdat.2019.2899062</t>
  </si>
  <si>
    <t>48-55</t>
  </si>
  <si>
    <t>7; 25; 11; 17</t>
  </si>
  <si>
    <t>981a2d5e21cfee04f04428f3a6d6b5db66cf30e2</t>
  </si>
  <si>
    <t>A Survey on Techniques in Detection and Analyzing Malware</t>
  </si>
  <si>
    <t>{"CorpusId": 45091414, "MAG": "2322373077"}</t>
  </si>
  <si>
    <t>6; 5; 3</t>
  </si>
  <si>
    <t>4.666666666666667</t>
  </si>
  <si>
    <t>9d64b312be987a57f6ae023eeeda787248ac4ad4</t>
  </si>
  <si>
    <t>Intrusion detection techniques for mobile cloud computing in heterogeneous 5G</t>
  </si>
  <si>
    <t>2016-11-10</t>
  </si>
  <si>
    <t>179</t>
  </si>
  <si>
    <t>{"CorpusId": 3668455, "DBLP": "journals/scn/GaiQTZ16", "DOI": "10.1002/sec.1224", "MAG": "1982354667"}</t>
  </si>
  <si>
    <t>10.1002/sec.1224</t>
  </si>
  <si>
    <t>https://onlinelibrary.wiley.com/doi/pdf/10.1002/sec.1224</t>
  </si>
  <si>
    <t>3049-3058</t>
  </si>
  <si>
    <t>29; 72; 16; 20</t>
  </si>
  <si>
    <t>34.25</t>
  </si>
  <si>
    <t>a40b8575b0575e24c4615811241fa7efcb2a5f37</t>
  </si>
  <si>
    <t>ScienceDirect Information Technology and Quantitative Management ( ITQM 2015 ) A New Intrusion Detection Approach using PSO based Multiple Criteria Linear Programming</t>
  </si>
  <si>
    <t>{"CorpusId": 38406744}</t>
  </si>
  <si>
    <t>20; 1; 1; 1</t>
  </si>
  <si>
    <t>5.75</t>
  </si>
  <si>
    <t>a4803f6ffd4a699f94ae3b2916129e6e23d34066</t>
  </si>
  <si>
    <t>Artificial Neural Network based Intrusion Detection System: A Survey</t>
  </si>
  <si>
    <t>2012-02-29</t>
  </si>
  <si>
    <t>{"CorpusId": 10666129, "DOI": "10.5120/4823-7074", "MAG": "2152714487"}</t>
  </si>
  <si>
    <t>10.5120/4823-7074</t>
  </si>
  <si>
    <t>https://doi.org/10.5120/4823-7074</t>
  </si>
  <si>
    <t>13-18</t>
  </si>
  <si>
    <t>5; 9</t>
  </si>
  <si>
    <t>af1a42eed47d6d3b752528c88290ec123ca95076</t>
  </si>
  <si>
    <t>Review of Heterogeneous / Homogeneous Wireless Sensor Networks and Intrusion Detection System Techniques</t>
  </si>
  <si>
    <t>{"CorpusId": 16598704}</t>
  </si>
  <si>
    <t>2; 6</t>
  </si>
  <si>
    <t>c2fd8632e671ec56629b1c453a5a3d0e65c953be</t>
  </si>
  <si>
    <t>A Survey of Attacks on Controller Area Networks and Corresponding Countermeasures</t>
  </si>
  <si>
    <t>2021-05-25</t>
  </si>
  <si>
    <t>The development of vehicle technologies such as connected and autonomous vehicle environments provide drivers with functions for convenience and safety that are highly capable of remote vehicle diagnosis or lane-keeping assistance. Unfortunately, despite impressive advantages for drivers, these functions also have various vulnerabilities that could lead to cyber-physical attacks on automotive Controller Area Networks (i.e., automotive CAN). To deal with these security issues, a multitude of issue-specific countermeasures have already been proposed. In this paper, we introduce existing research on automotive CAN attacks and evaluate several state-of-the-art countermeasures. Particularly, we provide a comprehensive adversary model for automotive CAN and classify existing countermeasures into four system categories: (1) preventative protection, (2) intrusion detection, (3) authentication, and (4) post-protection. From the extensive literature review, we attempt to summarize the security research regarding automotive CAN and identify open research directions for in-vehicle networks of autonomous vehicle.</t>
  </si>
  <si>
    <t>{"CorpusId": 236369086, "DBLP": "journals/tits/JoC22", "DOI": "10.1109/TITS.2021.3078740", "MAG": "3164317619"}</t>
  </si>
  <si>
    <t>10.1109/tits.2021.3078740</t>
  </si>
  <si>
    <t>6123-6141</t>
  </si>
  <si>
    <t>14; 12</t>
  </si>
  <si>
    <t>cb797b34c45b346094d1e86f6882ba8e7a865ae1</t>
  </si>
  <si>
    <t>Transfer Learning Promotes 6G Wireless Communications: Recent Advances and Future Challenges</t>
  </si>
  <si>
    <t>2021-06-01</t>
  </si>
  <si>
    <t>173</t>
  </si>
  <si>
    <t>In the coming 6G communications, network densification, high throughput, positioning accuracy, energy efficiency, and many other key performance indicator requirements are becoming increasingly strict. In the future, how to improve work efficiency while saving costs is one of the foremost research directions in wireless communications. Being able to learn from experience is an important way to approach this vision. Transfer learning (TL) encourages new tasks/domains to learn from experienced tasks/domains for helping new tasks become faster and more efficient. TL can help save energy and improve efficiency with the correlation and similarity information between different tasks in many fields of wireless communications. Therefore, applying TL to future 6G communications is a very valuable topic. TL has achieved some good results in wireless communications. In order to improve the development of TL applied in 6G communications, this article performs a comprehensive review of the TL algorithms used in different wireless communication fields, such as base stations/access points switching, indoor wireless localization and intrusion detection in wireless networks, etc. Moreover, the future research directions of mutual relationship between TL and 6G communications are discussed in detail. Challenges and future issues about integrate TL into 6G are proposed at the end. This article is intended to help readers understand the past, present, and future between TL and wireless communications.</t>
  </si>
  <si>
    <t>{"CorpusId": 234322786, "DBLP": "journals/tr/WangLTS21", "DOI": "10.1109/TR.2021.3062045", "MAG": "3146023480"}</t>
  </si>
  <si>
    <t>10.1109/tr.2021.3062045</t>
  </si>
  <si>
    <t>790-807</t>
  </si>
  <si>
    <t>10; 33; 13; 6</t>
  </si>
  <si>
    <t>da6e8787dc74962e04478b6139fca89f5c697f89</t>
  </si>
  <si>
    <t>Prevalence and Diagnosis of Neurological Disorders Using Different Deep Learning Techniques: A Meta-Analysis</t>
  </si>
  <si>
    <t>2020-01-04</t>
  </si>
  <si>
    <t>{"CorpusId": 209746867, "DBLP": "journals/jms/GautamS20", "DOI": "10.1007/s10916-019-1519-7", "MAG": "2998205609", "PubMed": "31902041"}</t>
  </si>
  <si>
    <t>10.1007/s10916-019-1519-7</t>
  </si>
  <si>
    <t>1-24</t>
  </si>
  <si>
    <t>3; 24</t>
  </si>
  <si>
    <t>13.5</t>
  </si>
  <si>
    <t>dd69405bf6ad619c1370f659742a340139ccdf81</t>
  </si>
  <si>
    <t>Survey on malware evasion techniques: State of the art and challenges</t>
  </si>
  <si>
    <t>2012-04-03</t>
  </si>
  <si>
    <t>{"CorpusId": 44006539, "MAG": "1492352846"}</t>
  </si>
  <si>
    <t>744-749</t>
  </si>
  <si>
    <t>3; 19; 27</t>
  </si>
  <si>
    <t>16.33333333333333</t>
  </si>
  <si>
    <t>dfd03e0a154587e864d6d53d49e216738091aa30</t>
  </si>
  <si>
    <t>A Review of the Advancement in Intrusion Detection Datasets</t>
  </si>
  <si>
    <t>211</t>
  </si>
  <si>
    <t>{"CorpusId": 219145717, "DOI": "10.1016/j.procs.2020.03.330", "MAG": "3016974523"}</t>
  </si>
  <si>
    <t>10.1016/j.procs.2020.03.330</t>
  </si>
  <si>
    <t>https://doi.org/10.1016/j.procs.2020.03.330</t>
  </si>
  <si>
    <t>636-645</t>
  </si>
  <si>
    <t>ed2d8073fee7a0c1bd38acf38919680681d034db</t>
  </si>
  <si>
    <t>A Survey on Intrusion Detection Systems for Cloud Computing Environment</t>
  </si>
  <si>
    <t>2015-01-16</t>
  </si>
  <si>
    <t>52</t>
  </si>
  <si>
    <t>{"CorpusId": 808179, "DOI": "10.5120/19150-0573", "MAG": "2100783950"}</t>
  </si>
  <si>
    <t>10.5120/19150-0573</t>
  </si>
  <si>
    <t>https://doi.org/10.5120/19150-0573</t>
  </si>
  <si>
    <t>6-15</t>
  </si>
  <si>
    <t>1; 8</t>
  </si>
  <si>
    <t>4.5</t>
  </si>
  <si>
    <t>edac268e01575c2e44008c1aca04ecd0a80726a1</t>
  </si>
  <si>
    <t>A Review of Machine Learning based Anomaly Detection Techniques</t>
  </si>
  <si>
    <t>2013-03-10</t>
  </si>
  <si>
    <t>Computer Science; Mathematics</t>
  </si>
  <si>
    <t>Intrusion detection is so much popular since the last two decades where intrusion is attempted to break into or misuse the system. It is mainly of two types based on the intrusions, first is Misuse or signature based detection and the other is Anomaly detection. In this paper Machine learning based methods which are one of the types of Anomaly detection techniques is discussed.</t>
  </si>
  <si>
    <t>{"ArXiv": "1307.7286", "CorpusId": 12594004, "DBLP": "journals/corr/KaurSM13", "DOI": "10.7753/IJCATR0202.1020", "MAG": "2963262350"}</t>
  </si>
  <si>
    <t>10.7753/ijcatr0202.1020</t>
  </si>
  <si>
    <t>https://doi.org/10.7753/ijcatr0202.1020</t>
  </si>
  <si>
    <t>22; 10; 2</t>
  </si>
  <si>
    <t>11.33333333333333</t>
  </si>
  <si>
    <t>efa22021b23145fff383575ea17707a288799b84</t>
  </si>
  <si>
    <t>Machine Learning Cybersecurity Adoption in Small and Medium Enterprises in Developed Countries</t>
  </si>
  <si>
    <t>2021-11-10</t>
  </si>
  <si>
    <t>In many developed countries, the usage of artificial intelligence (AI) and machine learning (ML) has become important in paving the future path in how data is managed and secured in the small and medium enterprises (SMEs) sector. SMEs in these developed countries have created their own cyber regimes around AI and ML. This knowledge is tested daily in how these countries’ SMEs run their businesses and identify threats and attacks, based on the support structure of the individual country. Based on recent changes to the UK General Data Protection Regulation (GDPR), Brexit, and ISO standards requirements, machine learning cybersecurity (MLCS) adoption in the UK SME market has become prevalent and a good example to lean on, amongst other developed nations. Whilst MLCS has been successfully applied in many applications, including network intrusion detection systems (NIDs) worldwide, there is still a gap in the rate of adoption of MLCS techniques for UK SMEs. Other developed countries such as Spain and Australia also fall into this category, and similarities and differences to MLCS adoptions are discussed. Applications of how MLCS is applied within these SME industries are also explored. The paper investigates, using quantitative and qualitative methods, the challenges to adopting MLCS in the SME ecosystem, and how operations are managed to promote business growth. Much like security guards and policing in the real world, the virtual world is now calling on MLCS techniques to be embedded like secret service covert operations to protect data being distributed by the millions into cyberspace. This paper will use existing global research from multiple disciplines to identify gaps and opportunities for UK SME small business cyber security. This paper will also highlight barriers and reasons for low adoption rates of MLCS in SMEs and compare success stories of larger companies implementing MLCS. The methodology uses structured quantitative and qualitative survey questionnaires, distributed across an extensive participation pool directed to the SMEs’ management and technical and non-technical professionals using stratify methods. Based on the analysis and findings, this study reveals that from the primary data obtained, SMEs have the appropriate cybersecurity packages in place but are not fully aware of their potential. Secondary data collection was run in parallel to better understand how these barriers and challenges emerged, and why the rate of adoption of MLCS was very low. The paper draws the conclusion that help through government policies and processes coupled together with collaboration could minimize cyber threats in combatting hackers and malicious actors in trying to stay ahead of the game. These aspirations can be reached by ensuring that those involved have been well trained and understand the importance of communication when applying appropriate safety processes and procedures. This paper also highlights important funding gaps that could help raise cyber security awareness in the form of grants, subsidies, and financial assistance through various public sector policies and training. Lastly, SMEs’ lack of understanding of risks and impacts of cybercrime could lead to conflicting messages between cross-company IT and cybersecurity rules. Trying to find the right balance between this risk and impact, versus productivity impact and costs, could lead to UK SMES getting over these hurdles in this cyberspace in the quest for promoting the usage of MLCS. UK and Wales governments can use the research conducted in this paper to inform and adapt their policies to help UK SMEs become more secure from cyber-attacks and compare them to other developed countries also on the same future path.</t>
  </si>
  <si>
    <t>{"CorpusId": 244000800, "DBLP": "journals/computers/RawindaranJP21", "DOI": "10.3390/computers10110150"}</t>
  </si>
  <si>
    <t>10.3390/computers10110150</t>
  </si>
  <si>
    <t>https://www.mdpi.com/2073-431X/10/11/150/pdf?version=1636534476</t>
  </si>
  <si>
    <t>6; 11; 7</t>
  </si>
  <si>
    <t>efa8549f70c362b1bc0ab93512169ce96944d4e2</t>
  </si>
  <si>
    <t>A Survey on Recent Approaches in Intrusion Detection System in IoTs</t>
  </si>
  <si>
    <t>2019-06-24</t>
  </si>
  <si>
    <t>Internet of Things (IoTs) are Internet-connected devices that integrate physical objects and internet in diverse areas of life like industries, home automation, hospitals and environment monitoring. Although IoTs ease daily activities benefiting human operations, they bring serious security challenges worth concerning. IoTs have become potentially vulnerable targets for cybercriminals, so companies are investing billions of dollars to find an appropriate mechanism to detect these kinds of malicious activities in IoT networks. Nowadays intelligent techniques using Machine Learning (ML) and Artificial Intelligence (AI) are being adopted to prevent or detect novel attacks with best accuracy. This survey classifies and categorizes the recent Intrusion Detection approaches for IoT networks, with more focus on hybrid and intelligent techniques. Moreover, it provides a comprehensive review on IoT layers, communication protocols and their security issues which confirm that IDS is required in both layered and protocol approaches. Finally, this survey discusses the limitations and advantages of each approach to identify future directions of potential IDS implementation.</t>
  </si>
  <si>
    <t>{"CorpusId": 198145038, "DBLP": "conf/iwcmc/TabassumEG19", "DOI": "10.1109/IWCMC.2019.8766455", "MAG": "2964190660"}</t>
  </si>
  <si>
    <t>10.1109/iwcmc.2019.8766455</t>
  </si>
  <si>
    <t>1190-1197</t>
  </si>
  <si>
    <t>6; 37; 106</t>
  </si>
  <si>
    <t>49.66666666666666</t>
  </si>
  <si>
    <t>f40ef77759518894739c21d6edb1bf426ecbe273</t>
  </si>
  <si>
    <t>A survey and analysis of intrusion detection models based on CSE-CIC-IDS2018 Big Data</t>
  </si>
  <si>
    <t>2020-11-23</t>
  </si>
  <si>
    <t>The exponential growth in computer networks and network applications worldwide has been matched by a surge in cyberattacks. For this reason, datasets such as CSE-CIC-IDS2018 were created to train predictive models on network-based intrusion detection. These datasets are not meant to serve as repositories for signature-based detection systems, but rather to promote research on anomaly-based detection through various machine learning approaches. CSE-CIC-IDS2018 contains about 16,000,000 instances collected over the course of ten days. It is the most recent intrusion detection dataset that is big data, publicly available, and covers a wide range of attack types. This multi-class dataset has a class imbalance, with roughly 17% of the instances comprising attack (anomalous) traffic. Our survey work contributes several key findings. We determined that the best performance scores for each study, where available, were unexpectedly high overall, which may be due to overfitting. We also found that most of the works did not address class imbalance, the effects of which can bias results in a big data study. Lastly, we discovered that information on the data cleaning of CSE-CIC-IDS2018 was inadequate across the board, a finding that may indicate problems with reproducibility of experiments. In our survey, major research gaps have also been identified.</t>
  </si>
  <si>
    <t>{"CorpusId": 227155174, "DBLP": "journals/jbd/LeevyK20", "DOI": "10.1186/s40537-020-00382-x", "MAG": "3108630703"}</t>
  </si>
  <si>
    <t>10.1186/s40537-020-00382-x</t>
  </si>
  <si>
    <t>https://journalofbigdata.springeropen.com/track/pdf/10.1186/s40537-020-00382-x</t>
  </si>
  <si>
    <t>16; 80</t>
  </si>
  <si>
    <t>f9c7b18f1a8eec22f8305d964fa92cb9fe15ffeb</t>
  </si>
  <si>
    <t>A Review on Machine Learning and Deep Learning Perspectives of IDS for IoT: Recent Updates, Security Issues, and Challenges</t>
  </si>
  <si>
    <t>2020-10-20</t>
  </si>
  <si>
    <t>253</t>
  </si>
  <si>
    <t>{"CorpusId": 226351151, "DOI": "10.1007/s11831-020-09496-0", "MAG": "3093621053"}</t>
  </si>
  <si>
    <t>10.1007/s11831-020-09496-0</t>
  </si>
  <si>
    <t>3211 - 3243</t>
  </si>
  <si>
    <t>fc314cf471496836769f8111cc822d3404697ef9</t>
  </si>
  <si>
    <t>Analyzing and defending against web-based malware</t>
  </si>
  <si>
    <t>{"CorpusId": 7022095, "DBLP": "journals/csur/ChangVWL13", "DOI": "10.1145/2501654.2501663", "MAG": "2056920038"}</t>
  </si>
  <si>
    <t>10.1145/2501654.2501663</t>
  </si>
  <si>
    <t>49:1-49:35</t>
  </si>
  <si>
    <t>9; 25; 14; 68</t>
  </si>
  <si>
    <t>05ebbd7487e50f28ee1f19f5303d1ee6c20f24fb</t>
  </si>
  <si>
    <t>Dealing with Security Alert Flooding: Using Machine Learning for Domain-independent Alert Aggregation</t>
  </si>
  <si>
    <t>2022-03-29</t>
  </si>
  <si>
    <t>Intrusion Detection Systems (IDS) secure all kinds of IT infrastructures through automatic detection of malicious activities. Unfortunately, they are known to produce large numbers of alerts that often become overwhelming for manual analysis. Therefore, aggregation methods have been developed for filtering, grouping, and correlating alerts. However, existing techniques either rely on manually defined attack scenarios or require specific alert formats, such as IDMEF that include IP addresses. This makes the application of existing aggregation methods infeasible for alerts from host-based or anomaly-based IDSs that frequently lack such network-related data. In this paper, we therefore present a domain-independent alert aggregation technique. We introduce similarity measures and merging strategies for arbitrary semi-structured alerts and alert groups. Based on these metrics and techniques we propose an incremental procedure for the generation of abstract alert patterns that enable continuous classification of incoming alerts. Evaluations show that our approach is capable of reducing the number of alert groups for human review by around \( 80\% \) and assigning attack classifiers to the groups with true positive rates of \( 80\% \) and false positive rates lower than \( 5\% \) .</t>
  </si>
  <si>
    <t>{"CorpusId": 247765608, "DBLP": "journals/tissec/LandauerSWR22", "DOI": "10.1145/3510581"}</t>
  </si>
  <si>
    <t>10.1145/3510581</t>
  </si>
  <si>
    <t>https://dl.acm.org/doi/pdf/10.1145/3510581</t>
  </si>
  <si>
    <t>13; 28; 15; 43</t>
  </si>
  <si>
    <t>24.75</t>
  </si>
  <si>
    <t>06dc30f2bde21841d4cd23dc0ece342382f22792</t>
  </si>
  <si>
    <t>Intrusion Detection Systems in RPL-Based 6LoWPAN: A Systematic Literature Review</t>
  </si>
  <si>
    <t>42</t>
  </si>
  <si>
    <t>Drastic reduction in the manufacturing cost of sensors and actuators has resulted in considerable growth in the number of smart objects. The so-called Internet of Things (IoT) blends the real and virtual environments and removes time and distance barriers. It is widely perceived as a major enabler for the efficient and effective provision of services across a range of sectors. It has naturally attracted the interest of cyberattackers. Due to the heterogeneity, resource-constraints, scale, and internet connectivity of IoT devices, each IoT layer is prone to various threats. Intruders consider the network layer of IoT as the gateway and leverage vulnerabilities in the routing protocol to compromise the Confidentiality, Integrity, and Availability (CIA) of connected nodes. Researchers have proposed different security infrastructures to mitigate harm to IoT networks. One of these is the Intrusion Detection System (IDS). An IDS is an essential component for the network security layer and is widely adopted to reinforce the security of the IoT network. This systematic literature review explores the IPv6 Routing Protocol for Low Power and Lossy Networks (RPL) and its existing threats, classifies relevant IDS techniques and identifies areas requiring further investigation. We review 103 published papers in this domain.</t>
  </si>
  <si>
    <t>{"CorpusId": 234104952, "DOI": "10.1109/JSEN.2021.3068240", "MAG": "3137358777"}</t>
  </si>
  <si>
    <t>10.1109/jsen.2021.3068240</t>
  </si>
  <si>
    <t>12940-12968</t>
  </si>
  <si>
    <t>5; 43; 38; 1</t>
  </si>
  <si>
    <t>21.75</t>
  </si>
  <si>
    <t>0f9d94219b87a7eb2e5ad2827f0280250976d8aa</t>
  </si>
  <si>
    <t>A survey of neural networks usage for intrusion detection systems</t>
  </si>
  <si>
    <t>2020-05-12</t>
  </si>
  <si>
    <t>116</t>
  </si>
  <si>
    <t>In recent years, advancements in the field of the artificial intelligence (AI) gained a huge momentum due to the worldwide appliance of this technology by the industry. One of the crucial areas of AI are neural networks (NN), which enable commercial utilization of functionalities previously not accessible by usage of computers. Intrusion detection system (IDS) presents one of the domains in which neural networks are widely tested for improving overall computer network security and data privacy. This article gives a thorough overview of recent literature regarding neural networks usage in intrusion detection system area, including surveys and new method proposals. Short tutorial descriptions of neural network architectures, intrusion detection system types and training datasets are also provided.</t>
  </si>
  <si>
    <t>{"CorpusId": 219415245, "DBLP": "journals/jaihc/Drewek-Ossowicka21", "DOI": "10.1007/s12652-020-02014-x", "MAG": "3025093231"}</t>
  </si>
  <si>
    <t>10.1007/s12652-020-02014-x</t>
  </si>
  <si>
    <t>https://link.springer.com/content/pdf/10.1007/s12652-020-02014-x.pdf</t>
  </si>
  <si>
    <t>497 - 514</t>
  </si>
  <si>
    <t>1; 3; 19</t>
  </si>
  <si>
    <t>7.666666666666667</t>
  </si>
  <si>
    <t>117d41b26c6409a44c7caa8c4fe79420f28a5b66</t>
  </si>
  <si>
    <t>Machine Learning Algorithms for Network Intrusion Detection</t>
  </si>
  <si>
    <t>2018-09-18</t>
  </si>
  <si>
    <t>{"CorpusId": 69311327, "DOI": "10.1007/978-3-319-98842-9_6", "MAG": "2890103762"}</t>
  </si>
  <si>
    <t>10.1007/978-3-319-98842-9_6</t>
  </si>
  <si>
    <t>12; 14; 24; 30; 25; 29</t>
  </si>
  <si>
    <t>22.33333333333333</t>
  </si>
  <si>
    <t>13186310df4bd302085c39e7ca864922870228b0</t>
  </si>
  <si>
    <t>Intrusion detection techniques in network environment: a systematic review</t>
  </si>
  <si>
    <t>2021-01-02</t>
  </si>
  <si>
    <t>{"CorpusId": 230110271, "DBLP": "journals/winet/AyyagariKKK21", "DOI": "10.1007/s11276-020-02529-3"}</t>
  </si>
  <si>
    <t>10.1007/s11276-020-02529-3</t>
  </si>
  <si>
    <t>1269 - 1285</t>
  </si>
  <si>
    <t>6; 13; 41; 19</t>
  </si>
  <si>
    <t>19.75</t>
  </si>
  <si>
    <t>16d3d35d313e8cdcd204f83d2b68e86673b36360</t>
  </si>
  <si>
    <t>ScienceDirect Twelfth International Multi-Conference on Information Processing-2016 ( IMCIP-2016 ) Performance Evaluation of Supervised Machine Learning Algorithms for Intrusion Detection</t>
  </si>
  <si>
    <t>{"CorpusId": 63587018}</t>
  </si>
  <si>
    <t>1be5bb9bb07835f63509d384ac75d7cf5bf22fb9</t>
  </si>
  <si>
    <t>A Survey of Network Attacks on Cyber-Physical Systems</t>
  </si>
  <si>
    <t>2020-03-02</t>
  </si>
  <si>
    <t>A cyber-physical system (CPS) typically consists of the plant, sensors, actuators, the controller and a communication network. The communication network connects the individual components to achieve the computing and communication in the CPS. It also makes the CPS vulnerable to network attacks. How to deal with the network attacks in CPSs has become a research hotspot. This paper surveys the types of network attacks in CPSs, the intrusion detection methods and the attack defense strategies. The future research directions of CPSs network security are also presented.</t>
  </si>
  <si>
    <t>{"CorpusId": 212705246, "DBLP": "journals/access/CaoJZWYX20", "DOI": "10.1109/ACCESS.2020.2977423", "MAG": "3010490819"}</t>
  </si>
  <si>
    <t>10.1109/access.2020.2977423</t>
  </si>
  <si>
    <t>https://ieeexplore.ieee.org/ielx7/6287639/8948470/09019636.pdf</t>
  </si>
  <si>
    <t>44219-44227</t>
  </si>
  <si>
    <t>1; 7; 1; 21; 16; 1</t>
  </si>
  <si>
    <t>7.833333333333333</t>
  </si>
  <si>
    <t>1efa4ab774c8313b896d482feee5a9768851e8b4</t>
  </si>
  <si>
    <t>A Comprehensive Survey on Approaches to Intrusion Detection System</t>
  </si>
  <si>
    <t>{"CorpusId": 109510076, "DOI": "10.1016/J.PROENG.2012.06.248", "MAG": "1986923509"}</t>
  </si>
  <si>
    <t>10.1016/j.proeng.2012.06.248</t>
  </si>
  <si>
    <t>https://doi.org/10.1016/j.proeng.2012.06.248</t>
  </si>
  <si>
    <t>2063-2069</t>
  </si>
  <si>
    <t>6; 14</t>
  </si>
  <si>
    <t>2170a6efe7516b4f61245ddf4b19c2c3f99d39c0</t>
  </si>
  <si>
    <t>An Overview of Intrusion Detection Based on Data Mining Techniques</t>
  </si>
  <si>
    <t>2013-04-06</t>
  </si>
  <si>
    <t>{"CorpusId": 18743455, "DOI": "10.1109/CSNT.2013.134", "MAG": "2074475378"}</t>
  </si>
  <si>
    <t>10.1109/csnt.2013.134</t>
  </si>
  <si>
    <t>626-629</t>
  </si>
  <si>
    <t>10; 3; 15</t>
  </si>
  <si>
    <t>9.333333333333334</t>
  </si>
  <si>
    <t>269f2904a17b856c4828233e4d1aeb72b5b8afc8</t>
  </si>
  <si>
    <t>Review of Energy Harvesting Technologies for Sustainable Wireless Sensor Network</t>
  </si>
  <si>
    <t>{"CorpusId": 50270271, "MAG": "2970260061"}</t>
  </si>
  <si>
    <t>2caa42c15671810c8236ac553753eec1d83f7e48</t>
  </si>
  <si>
    <t>On Generating Network Traffic Datasets with Synthetic Attacks for Intrusion Detection</t>
  </si>
  <si>
    <t>2019-05-01</t>
  </si>
  <si>
    <t>64</t>
  </si>
  <si>
    <t>Most research in the field of network intrusion detection heavily relies on datasets. Datasets in this field, however, are scarce and difficult to reproduce. To compare, evaluate, and test related work, researchers usually need the same datasets or at least datasets with similar characteristics as the ones used in related work. In this work, we present concepts and the Intrusion Detection Dataset Toolkit (ID2T) to alleviate the problem of reproducing datasets with desired characteristics to enable an accurate replication of scientific results. Intrusion Detection Dataset Toolkit (ID2T) facilitates the creation of labeled datasets by injecting synthetic attacks into background traffic. The injected synthetic attacks created by ID2T blend with the background traffic by mimicking the background traffic’s properties. This article has three core contributions. First, we present a comprehensive survey on intrusion detection datasets. In the survey, we propose a classification to group the negative qualities found in the datasets. Second, the architecture of ID2T is revised, improved, and expanded in comparison to previous work. The architectural changes enable ID2T to inject recent and advanced attacks, such as the EternalBlue exploit or a peer-to-peer botnet. ID2T’s functionality provides a set of tests, known as TIDED, that helps identify potential defects in the background traffic into which attacks are injected. Third, we illustrate how ID2T is used in different use-case scenarios to replicate scientific results with the help of reproducible datasets. ID2T is open source software and is made available to the community to expand its arsenal of attacks and capabilities.</t>
  </si>
  <si>
    <t>{"ArXiv": "1905.00304", "CorpusId": 141459303, "DBLP": "journals/tissec/CorderoVWMN21", "DOI": "10.1145/3424155", "MAG": "2942566426"}</t>
  </si>
  <si>
    <t>10.1145/3424155</t>
  </si>
  <si>
    <t>https://dl.acm.org/doi/pdf/10.1145/3424155</t>
  </si>
  <si>
    <t>1 - 39</t>
  </si>
  <si>
    <t>74</t>
  </si>
  <si>
    <t>8; 17; 7; 48; 30</t>
  </si>
  <si>
    <t>319a737f5a3466c4664fee5aeea0eb34a969450e</t>
  </si>
  <si>
    <t>A Survey: Intrusion Detection Techniques for Internet of Things</t>
  </si>
  <si>
    <t>The latest buzzword in internet technology nowadays is the Internet of Things. The Internet of Things (IoT) is an ever-growing network which will transform real-world objects into smart or intelligent virtual objects. IoT is a heterogeneous network in which devices with different protocols can connect with each other in order to exchange information. These days, human life depends upon the smart things and their activities. Therefore, implementing protected communications in the IoT network is a challenge. Since the IoT network is secured with authentication and encryption, but not secured against cyber-attacks, an Intrusion Detection System is needed. This research article focuses on IoT introduction, architecture, technologies, attacks and IDS. The main objective of this article is to provide a general idea of the Internet of Things, various intrusion detection techniques, and security attacks associated with IoT.</t>
  </si>
  <si>
    <t>{"CorpusId": 69839614, "DBLP": "journals/ijisp/ChoudharyK19", "DOI": "10.4018/IJISP.2019010107", "MAG": "2900878874"}</t>
  </si>
  <si>
    <t>10.4018/ijisp.2019010107</t>
  </si>
  <si>
    <t>86-105</t>
  </si>
  <si>
    <t>7; 13</t>
  </si>
  <si>
    <t>31babc068383c3966d322579eaaf79edc6a6bef4</t>
  </si>
  <si>
    <t>Generative AI in Cybersecurity: A Comprehensive Review of LLM Applications and Vulnerabilities</t>
  </si>
  <si>
    <t>2024-05-21</t>
  </si>
  <si>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</si>
  <si>
    <t>{"ArXiv": "2405.12750", "CorpusId": 269929762}</t>
  </si>
  <si>
    <t>41; 5; 13; 4; 4; 12; 7; 20</t>
  </si>
  <si>
    <t>3441a6131204619462a750f6bc24f16f8ebb96c5</t>
  </si>
  <si>
    <t>Top 10 data mining techniques in business applications: a brief survey</t>
  </si>
  <si>
    <t>2017-08-14</t>
  </si>
  <si>
    <t>{"CorpusId": 22605670, "DBLP": "journals/kybernetes/LinKT17", "DOI": "10.1108/K-10-2016-0302", "MAG": "2624545785"}</t>
  </si>
  <si>
    <t>10.1108/k-10-2016-0302</t>
  </si>
  <si>
    <t>1158-1170</t>
  </si>
  <si>
    <t>21; 14; 45</t>
  </si>
  <si>
    <t>26.66666666666667</t>
  </si>
  <si>
    <t>3c4d4a6db88ff17686b3b0e6ab89de26eded664e</t>
  </si>
  <si>
    <t>KDD 1999 generation faults: a review and analysis</t>
  </si>
  <si>
    <t>2018-09-21</t>
  </si>
  <si>
    <t>ABSTRACT DARPA 1998 was one of the first Intrusion Detection datasets that was made publicly available. The KDD 1999 dataset was derived from DARPA 1998 to be used by researchers in developing machine learning (ML), classification and clustering algorithms with a security focus. DARPA 1998 has been criticised in literature due to raised concerns of problems in the dataset. Many researchers have accused KDD 1999 of having similar concerns but insufficient published evidence has been found. In this paper, we review the KDD 1999 generation process and present new proofs of existing inconsistencies in KDD 1999. We then present the process used to link some of the KDD 1999 (TELNET) records back to their origins in DARPA 1998 and discuss the interesting results and findings of this experiment.</t>
  </si>
  <si>
    <t>{"CorpusId": 69649810, "DOI": "10.1080/23742917.2018.1518061", "MAG": "2890988085"}</t>
  </si>
  <si>
    <t>10.1080/23742917.2018.1518061</t>
  </si>
  <si>
    <t>https://research-repository.st-andrews.ac.uk/bitstream/10023/18530/1/KDD_1999_generation_faults.pdf</t>
  </si>
  <si>
    <t>164 - 200</t>
  </si>
  <si>
    <t>1; 9</t>
  </si>
  <si>
    <t>40b0dcfcc08a54b3b08eff12cdf693b300d02cd1</t>
  </si>
  <si>
    <t>A Survey on Threat Hunting in Enterprise Networks</t>
  </si>
  <si>
    <t>With the rapidly evolving technological landscape, the huge development of the Internet of Things, and the embracing of digital transformation, the world is witnessing an explosion in data generation and a rapid evolution of new applications that lead to new, wider, and more sophisticated threats that are complex and hard to be detected. Advanced persistence threats use continuous, clandestine, and sophisticated techniques to gain access to a system and remain hidden for a prolonged period of time, with potentially destructive consequences. Those stealthy attacks are often not detectable by advanced intrusion detection systems (e.g., LightBasin attack was detected in 2022 and has been active since 2016). Indeed, threat actors are able to quickly and intelligently alter their tactics to avoid being detected by security defense lines (e.g., prevention and detection mechanisms). In response to these evolving threats, organizations need to adopt new proactive defense approaches. Threat hunting is a proactive security line exercised to uncover stealthy attacks, malicious activities, and suspicious entities that could circumvent standard detection mechanisms. Additionally, threat hunting is an iterative approach to generate and revise threat hypotheses endeavoring to provide early attack detection in a proactive way. The proactiveness consists of testing and validating the initial hypothesis using various manual and automated tools/techniques with the objective of confirming/refuting the existence of an attack. This survey studies the threat hunting concept and provides a comprehensive review of the existing solutions for Enterprise networks. In particular, we provide a threat hunting taxonomy based on the used technique and a sub-classification based on the detailed approach. Furthermore, we discuss the existing standardization efforts. Finally, we provide a qualitative discussion on current advances and identify various research gaps and challenges that may be considered by the research community to design concrete and efficient threat hunting solutions.</t>
  </si>
  <si>
    <t>{"CorpusId": 260913720, "DBLP": "journals/comsur/NourPD23", "DOI": "10.1109/COMST.2023.3299519"}</t>
  </si>
  <si>
    <t>10.1109/comst.2023.3299519</t>
  </si>
  <si>
    <t>2299-2324</t>
  </si>
  <si>
    <t>25; 21; 46</t>
  </si>
  <si>
    <t>49caab22c63bd0f04d8e15a706a0e74cac061974</t>
  </si>
  <si>
    <t>Measuring team effectiveness in cyber-defense exercises: a cross-disciplinary case study</t>
  </si>
  <si>
    <t>2015-09-18</t>
  </si>
  <si>
    <t>{"CorpusId": 11971811, "DBLP": "journals/ctw/GranasenA16", "DOI": "10.1007/s10111-015-0350-2", "MAG": "2188383940"}</t>
  </si>
  <si>
    <t>10.1007/s10111-015-0350-2</t>
  </si>
  <si>
    <t>https://liu.diva-portal.org/smash/get/diva2:1306756/FULLTEXT02</t>
  </si>
  <si>
    <t>121 - 143</t>
  </si>
  <si>
    <t>5; 8</t>
  </si>
  <si>
    <t>4b332a9aa4c0cfb15f287ed450c9ccd1d9b83724</t>
  </si>
  <si>
    <t>Contextual information fusion for intrusion detection: a survey and taxonomy</t>
  </si>
  <si>
    <t>2017-02-17</t>
  </si>
  <si>
    <t>{"CorpusId": 9673753, "DBLP": "journals/kais/AlEroudK17", "DOI": "10.1007/s10115-017-1027-3", "MAG": "2588787044"}</t>
  </si>
  <si>
    <t>10.1007/s10115-017-1027-3</t>
  </si>
  <si>
    <t>563-619</t>
  </si>
  <si>
    <t>328</t>
  </si>
  <si>
    <t>13; 22</t>
  </si>
  <si>
    <t>4d813aef94af6d7e1e3decae09c840fae0531579</t>
  </si>
  <si>
    <t>Role of Machine Learning Algorithms Intrusion Detection in WSNs: A Survey</t>
  </si>
  <si>
    <t>2020-08-29</t>
  </si>
  <si>
    <t>Machine Learning is capable of providing real-time solutions that maximize the utilization of resources in the network thereby increasing the lifetime of the network. It is able to process automatically without being externally programmed thus making the process more easy, efficient, cost-effective, and reliable. ML algorithms can handle complex data more quickly and accurately. Machine Learning is used to enhance the ability of the Wireless Sensor Network environment. Wireless Sensor Networks (WSN) is a combination of several networks and it is decentralized and distributed in nature. WSN consists of sensor nodes and sinks nodes which have a property of self-organizing and self-healing. WSN is used in other applications, such as biodiversity and ecosystem protection, surveillance, climate change tracking, and other military applications.Now-a-days, a huge development is seen in WSNs due to the advancement of electronics and wireless communication technologies, several drawbacks like low computational capacity, small memory, and limited energy resources infrastructure needs physical vulnerability to require source measures where privacy plays a key role.WSN is used to monitor the dynamic environments and to adapt to such situation sensor networks need Machine Learning techniques to avoid unnecessary redesign. Machine learning techniques survey for WSNs provide a wide range of applications in which security is given top priority. To secure data from attackers the WSNs system should be able to delete the instruction if any hackers/attackers are trying to steal data.</t>
  </si>
  <si>
    <t>{"CorpusId": 221741775, "DOI": "10.36548/jitdw.2020.3.004", "MAG": "3082365360"}</t>
  </si>
  <si>
    <t>10.36548/jitdw.2020.3.004</t>
  </si>
  <si>
    <t>https://doi.org/10.36548/jitdw.2020.3.004</t>
  </si>
  <si>
    <t>4d9053dc6bb587c6851cc7e440c0cfaf94390220</t>
  </si>
  <si>
    <t>Augmenting zero trust architecture to endpoints using blockchain: A state‐of‐the‐art review</t>
  </si>
  <si>
    <t>2021-04-01</t>
  </si>
  <si>
    <t>With the purpose of defending against lateral movement in today's borderless networks, zero trust architecture (ZTA) adoption is gaining momentum. With a full‐scale ZTA implementation, it is unlikely that adversaries will be able to spread through the network starting from a compromised endpoint. However, the already authenticated and authorized session of a compromised endpoint can be leveraged to carry out limited, though malicious, activities ultimately rendering the endpoints the Achilles heel of ZTA. To effectively detect such attacks, distributed collaborative intrusion detection systems with an attack scenario‐based approach have been developed. Nonetheless, advanced persistent threats have demonstrated their ability to bypass this approach with a high success ratio. As a result, adversaries can pass undetected or potentially alter the detection logging mechanisms to achieve a stealthy presence. Recently, blockchain technology has demonstrated solid use cases in the cyber security domain. In this paper, motivated by the convergence of ZTA and blockchain‐based intrusion detection and prevention, we examine how ZTA can be augmented onto endpoints. Namely, we perform a state‐of‐the‐art review of ZTA models, real‐world architectures with a focus on endpoints, and blockchain‐based intrusion detection systems. We discuss the potential of blockchain's immutability fortifying the detection process and identify open challenges as well as potential solutions and future directions.</t>
  </si>
  <si>
    <t>{"ArXiv": "2104.00460", "CorpusId": 242046375, "DBLP": "journals/sap/AlevizosTE22", "DOI": "10.1002/spy2.191"}</t>
  </si>
  <si>
    <t>10.1002/spy2.191</t>
  </si>
  <si>
    <t>https://clok.uclan.ac.uk/39843/1/39843%20Augmenting%20Zero%20Trust%20Architecture%20to%20Endpoints%20Using%20Blockchain%20-%20Accepted.pdf</t>
  </si>
  <si>
    <t>6; 21; 6</t>
  </si>
  <si>
    <t>50758fd037ee04f40f40590350d60e0b7641cdd6</t>
  </si>
  <si>
    <t>Deep transfer learning for intrusion detection in industrial control networks: A comprehensive review</t>
  </si>
  <si>
    <t>2023-04-19</t>
  </si>
  <si>
    <t>{"ArXiv": "2304.10550", "CorpusId": 258291793, "DBLP": "journals/jnca/KheddarHA23", "DOI": "10.1016/j.jnca.2023.103760"}</t>
  </si>
  <si>
    <t>10.1016/j.jnca.2023.103760</t>
  </si>
  <si>
    <t>103760</t>
  </si>
  <si>
    <t>13; 38; 26</t>
  </si>
  <si>
    <t>25.66666666666667</t>
  </si>
  <si>
    <t>52620a320bb2846d8839ee21600594a66888ec9f</t>
  </si>
  <si>
    <t>A Survey of Game Theory in Wireless Sensor Networks Security</t>
  </si>
  <si>
    <t>2011-03-18</t>
  </si>
  <si>
    <t>{"CorpusId": 1756215, "DBLP": "journals/jnw/ShenYCY11", "DOI": "10.4304/jnw.6.3.521-532", "MAG": "1985483052"}</t>
  </si>
  <si>
    <t>10.4304/jnw.6.3.521-532</t>
  </si>
  <si>
    <t>521-532</t>
  </si>
  <si>
    <t>33; 11; 17; 4</t>
  </si>
  <si>
    <t>16.25</t>
  </si>
  <si>
    <t>53d100d0d1b80d47348ddc198b8dfb442d546789</t>
  </si>
  <si>
    <t>A Survey and Comparative Analysis of Data Mining Techniques for Network Intrusion Detection Systems</t>
  </si>
  <si>
    <t>{"CorpusId": 212466622}</t>
  </si>
  <si>
    <t>3; 15; 18</t>
  </si>
  <si>
    <t>63576b10727bc550cea2163198bbaa9722a1c916</t>
  </si>
  <si>
    <t>Intrusion Detection System Classification Using Different Machine Learning Algorithms on KDD-99 and NSL-KDD Datasets - A Review Paper</t>
  </si>
  <si>
    <t>2019-06-29</t>
  </si>
  <si>
    <t>88</t>
  </si>
  <si>
    <t>Intrusion Detection System (IDS) has been an effective way to achieve higher security in detecting
malicious activities for the past couple of years. Anomaly detection is an intrusion detection system.
Current anomaly detection is often associated with high false alarm rates and only moderate accuracy and
detection rates because it’s unable to detect all types of attacks correctly. An experiment is carried out to
evaluate the performance of the different machine learning algorithms using KDD-99 Cup and NSL-KDD
datasets. Results show which approach has performed better in term of accuracy, detection rate with
reasonable false alarm rate.</t>
  </si>
  <si>
    <t>{"CorpusId": 197619741, "DOI": "10.5121/IJCSIT.2019.11306", "MAG": "2954144630"}</t>
  </si>
  <si>
    <t>10.5121/ijcsit.2019.11306</t>
  </si>
  <si>
    <t>https://doi.org/10.5121/ijcsit.2019.11306</t>
  </si>
  <si>
    <t>1; 7</t>
  </si>
  <si>
    <t>65628a5e65dce210f41b256f7ace47d63e691ef4</t>
  </si>
  <si>
    <t>A systematic literature review for network intrusion detection system (IDS)</t>
  </si>
  <si>
    <t>2023-03-27</t>
  </si>
  <si>
    <t>{"CorpusId": 257779153, "DBLP": "journals/ijisec/AbdulganiyuTS23", "DOI": "10.1007/s10207-023-00682-2"}</t>
  </si>
  <si>
    <t>10.1007/s10207-023-00682-2</t>
  </si>
  <si>
    <t>1125-1162</t>
  </si>
  <si>
    <t>5; 8; 17</t>
  </si>
  <si>
    <t>669101169a2bbb96948221c3add92dc5b5bbbc22</t>
  </si>
  <si>
    <t>A Review of the Advances in Cyber Security Benchmark Datasets for Evaluating Data-Driven Based Intrusion Detection Systems</t>
  </si>
  <si>
    <t>{"CorpusId": 28885584, "DBLP": "conf/scse/AbubakarCMI15", "DOI": "10.1016/j.procs.2015.08.443", "MAG": "1739844664"}</t>
  </si>
  <si>
    <t>10.1016/j.procs.2015.08.443</t>
  </si>
  <si>
    <t>https://doi.org/10.1016/j.procs.2015.08.443</t>
  </si>
  <si>
    <t>221-227</t>
  </si>
  <si>
    <t>18; 33; 7; 3</t>
  </si>
  <si>
    <t>15.25</t>
  </si>
  <si>
    <t>68b33b4b71dbe9a75f6e4376d7806ee99d6ef751</t>
  </si>
  <si>
    <t>A Study on Detecting ICMPv6 Flooding Attack based on IDS</t>
  </si>
  <si>
    <t>{"CorpusId": 62833322, "MAG": "2189480795"}</t>
  </si>
  <si>
    <t>9; 18; 32</t>
  </si>
  <si>
    <t>68cd29716f6ce26551775740bd4b143ce14c43bf</t>
  </si>
  <si>
    <t>Deep belief network based intrusion detection techniques: A survey</t>
  </si>
  <si>
    <t>2020-11-07</t>
  </si>
  <si>
    <t>108</t>
  </si>
  <si>
    <t>{"CorpusId": 228912016, "DBLP": "journals/eswa/Sohn21", "DOI": "10.1016/j.eswa.2020.114170", "MAG": "3094686023"}</t>
  </si>
  <si>
    <t>10.1016/j.eswa.2020.114170</t>
  </si>
  <si>
    <t>114170</t>
  </si>
  <si>
    <t>692fb7c661cb83356d803b5013b1890eb1b1c838</t>
  </si>
  <si>
    <t>A Systematic Review of Defensive and Offensive Cybersecurity with Machine Learning</t>
  </si>
  <si>
    <t>2020-08-01</t>
  </si>
  <si>
    <t>This is a systematic review of over one hundred research papers about machine learning methods applied to defensive and offensive cybersecurity. In contrast to previous reviews, which focused on several fragments of research topics in this area, this paper systematically and comprehensively combines domain knowledge into a single review. Ultimately, this paper seeks to provide a base for researchers that wish to delve into the field of machine learning for cybersecurity. Our findings identify the frequently used machine learning methods within supervised, unsupervised, and semi-supervised machine learning, the most useful data sets for evaluating intrusion detection methods within supervised learning, and methods from machine learning that have shown promise in tackling various threats in defensive and offensive cybersecurity.</t>
  </si>
  <si>
    <t>{"CorpusId": 225303304, "DOI": "10.3390/app10175811", "MAG": "3080664025"}</t>
  </si>
  <si>
    <t>10.3390/app10175811</t>
  </si>
  <si>
    <t>https://www.mdpi.com/2076-3417/10/17/5811/pdf?version=1598087537</t>
  </si>
  <si>
    <t>3; 7; 28</t>
  </si>
  <si>
    <t>6d7b1e32a3c8bb8cf4f51f4c0561146c437bc766</t>
  </si>
  <si>
    <t>A Survey on Anomaly Based Host Intrusion Detection System</t>
  </si>
  <si>
    <t>Computer Science; Physics</t>
  </si>
  <si>
    <t>An intrusion detection system (IDS) is hardware, software or a combination of two, for monitoring network or system activities to detect malicious signs. In computer security, designing a robust intrusion detection system is one of the most fundamental and important problems. The primary function of system is detecting intrusion and gives alerts when user tries to intrusion on timely manner. In these techniques when IDS find out intrusion it will send alert massage to the system administrator. Anomaly detection is an important problem that has been researched within diverse research areas and application domains. This survey tries to provide a structured and comprehensive overview of the research on anomaly detection. From the existing anomaly detection techniques, each technique has relative strengths and weaknesses. The current state of the experiment practice in the field of anomaly-based intrusion detection is reviewed and survey recent studies in this. This survey provides a study of existing anomaly detection techniques, and how the techniques used in one area can be applied in another application domain.</t>
  </si>
  <si>
    <t>{"CorpusId": 65090834, "DOI": "10.1088/1742-6596/1000/1/012049", "MAG": "2801256139"}</t>
  </si>
  <si>
    <t>10.1088/1742-6596/1000/1/012049</t>
  </si>
  <si>
    <t>https://iopscience.iop.org/article/10.1088/1742-6596/1000/1/012049/pdf</t>
  </si>
  <si>
    <t>2; 6; 4; 2</t>
  </si>
  <si>
    <t>3.5</t>
  </si>
  <si>
    <t>6df3418cede6a5917c1a2ca0122656c2d2aa44eb</t>
  </si>
  <si>
    <t>Internet of Things intrusion detection systems: a comprehensive review and future directions</t>
  </si>
  <si>
    <t>2022-10-19</t>
  </si>
  <si>
    <t>{"CorpusId": 253026443, "DBLP": "journals/cluster/HeidariJ23", "DOI": "10.1007/s10586-022-03776-z"}</t>
  </si>
  <si>
    <t>10.1007/s10586-022-03776-z</t>
  </si>
  <si>
    <t>3753 - 3780</t>
  </si>
  <si>
    <t>31; 7</t>
  </si>
  <si>
    <t>7b3f850a70597c1fef1ee3fbd7a4d2ac5c413af4</t>
  </si>
  <si>
    <t>User profiling in intrusion detection: A review</t>
  </si>
  <si>
    <t>2016-09-01</t>
  </si>
  <si>
    <t>{"CorpusId": 46238422, "DBLP": "journals/jnca/PengCA16a", "DOI": "10.1016/j.jnca.2016.06.012", "MAG": "2911712343"}</t>
  </si>
  <si>
    <t>10.1016/j.jnca.2016.06.012</t>
  </si>
  <si>
    <t>14-27</t>
  </si>
  <si>
    <t>4; 100; 24</t>
  </si>
  <si>
    <t>42.66666666666666</t>
  </si>
  <si>
    <t>7e23109d875c90912636d91466f001e2168ace4e</t>
  </si>
  <si>
    <t>Benchmark Datasets for Network Intrusion Detection: A Review</t>
  </si>
  <si>
    <t>{"CorpusId": 21721188, "DBLP": "journals/ijnsec/HamidBJS18", "DOI": "10.6633/IJNS.2018XX.20(X).XX", "MAG": "2805665873"}</t>
  </si>
  <si>
    <t>10.6633/ijns.2018xx.20(x).xx</t>
  </si>
  <si>
    <t>645-654</t>
  </si>
  <si>
    <t>17; 6; 14; 9</t>
  </si>
  <si>
    <t>11.5</t>
  </si>
  <si>
    <t>827105fd2b99d7d37283be2080bf4b589c26ce40</t>
  </si>
  <si>
    <t>A Taxonomy of Machine-Learning-Based Intrusion Detection Systems for the Internet of Things: A Survey</t>
  </si>
  <si>
    <t>2022-06-15</t>
  </si>
  <si>
    <t>The Internet of Things (IoT) is an emerging technology that has earned a lot of research attention and technical revolution in recent years. Significantly, IoT connects and integrates billions of devices and communication networks around the world for several real-time IoT applications. On the other hand, cybersecurity attacks on the IoT are growing at an alarming rate since these devices are vulnerable because of their limited battery life, global connectivity, resource-constrained nature, and mobility. When attacks on IoT networks go undetected within a speculated period, such security attacks may prompt severe threats and disruptive behavior inside the network and make the network unavailable to the end user. Hence, it is quintessential to design an intelligent and robust security approach that promptly detects potential attack surfaces in a dynamic IoT network. This article investigates a comprehensive survey of machine learning, deep learning, and reinforcement learning-based intelligent intrusion detection techniques for securing IoT. Also, this article thoroughly illustrates the implementation of various categories of security threats in IoT with a neat diagram. Significantly, we classify the threats into two broad categories: 1) wireless sensor networks (WSNs) inherited security attacks and 2) routing protocol for low power and lossy networks (RPL) specific security attacks in IoT. Finally, we present potential research opportunities and challenges in intelligent intrusion detection approaches in future IoT security.</t>
  </si>
  <si>
    <t>{"CorpusId": 244029092, "DBLP": "journals/iotj/JamalipourM22", "DOI": "10.1109/jiot.2021.3126811"}</t>
  </si>
  <si>
    <t>10.1109/jiot.2021.3126811</t>
  </si>
  <si>
    <t>9444-9466</t>
  </si>
  <si>
    <t>52; 5</t>
  </si>
  <si>
    <t>28.5</t>
  </si>
  <si>
    <t>84c6d57ea39815778b7f07f8f424dc7560437503</t>
  </si>
  <si>
    <t>Machine Learning-based Intrusion Detection for Smart Grid Computing: A Survey</t>
  </si>
  <si>
    <t>2023-01-11</t>
  </si>
  <si>
    <t>Machine learning (ML)-based intrusion detection system (IDS) approaches have been significantly applied and advanced the state-of-the-art system security and defense mechanisms. In smart grid computing environments, security threats have been significantly increased as shared networks are commonly used, along with the associated vulnerabilities. However, compared to other network environments, ML-based IDS research in a smart grid is relatively unexplored, although the smart grid environment is facing serious security threats due to its unique environmental vulnerabilities. In this article, we conducted an extensive survey on ML-based IDS in smart grids based on the following key aspects: (1) The applications of the ML-based IDS in transmission and distribution side power components of a smart power grid by addressing its security vulnerabilities; (2) dataset generation process and its usage in applying ML-based IDSs in the smart grid; (3) a wide range of ML-based IDSs used by the surveyed papers in the smart grid environment; (4) metrics, complexity analysis, and evaluation testbeds of the IDSs applied in the smart grid; and (5) lessons learned, insights, and future research directions.</t>
  </si>
  <si>
    <t>{"CorpusId": 255570603, "DBLP": "journals/tcps/SahaniZCL23", "DOI": "10.1145/3578366"}</t>
  </si>
  <si>
    <t>10.1145/3578366</t>
  </si>
  <si>
    <t>https://dl.acm.org/doi/pdf/10.1145/3578366</t>
  </si>
  <si>
    <t>1 - 31</t>
  </si>
  <si>
    <t>4; 3; 4; 5</t>
  </si>
  <si>
    <t>86c5b56951aa23b6cf7595a198e56fba55dc9648</t>
  </si>
  <si>
    <t>Network Intrusion Detection and its strategic importance</t>
  </si>
  <si>
    <t>2013-04-07</t>
  </si>
  <si>
    <t>{"CorpusId": 17755100, "DOI": "10.1109/BEIAC.2013.6560100", "MAG": "2008125527"}</t>
  </si>
  <si>
    <t>10.1109/beiac.2013.6560100</t>
  </si>
  <si>
    <t>140-144</t>
  </si>
  <si>
    <t>5; 4; 6; 1; 1</t>
  </si>
  <si>
    <t>3.4</t>
  </si>
  <si>
    <t>8c6f39039d72951db9d2c6073018258ed9306c06</t>
  </si>
  <si>
    <t>A GAN and Feature Selection-Based Oversampling Technique for Intrusion Detection</t>
  </si>
  <si>
    <t>2021-07-05</t>
  </si>
  <si>
    <t>In recent years, there have been numerous cyber security issues that have caused considerable damage to the society. The development of efficient and reliable Intrusion Detection Systems (IDSs) is an effective countermeasure against the growing cyber threats. In modern high-bandwidth, large-scale network environments, traditional IDSs suffer from a high rate of missed and false alarms. Researchers have introduced machine learning techniques into intrusion detection with good results. However, due to the scarcity of attack data, such methods’ training sets are usually unbalanced, affecting the analysis performance. In this paper, we survey and analyze the design principles and shortcomings of existing oversampling methods. Based on the findings, we take the perspective of imbalance and high dimensionality of datasets in the field of intrusion detection and propose an oversampling technique based on Generative Adversarial Networks (GAN) and feature selection. Specifically, we model the complex high-dimensional distribution of attacks based on Gradient Penalty Wasserstein GAN (WGAN-GP) to generate additional attack samples. We then select a subset of features representing the entire dataset based on analysis of variance, ultimately generating a rebalanced low-dimensional dataset for machine learning training. To evaluate the effectiveness of our proposal, we conducted experiments based on the NSL-KDD, UNSW-NB15, and CICIDS-2017 datasets. The experimental results show that our method can effectively improve the detection performance of machine learning models and outperform the baselines.</t>
  </si>
  <si>
    <t>{"CorpusId": 235800401, "DBLP": "journals/scn/LiuLZWLY21", "DOI": "10.1155/2021/9947059"}</t>
  </si>
  <si>
    <t>10.1155/2021/9947059</t>
  </si>
  <si>
    <t>https://downloads.hindawi.com/journals/scn/2021/9947059.pdf</t>
  </si>
  <si>
    <t>9947059:1-9947059:15</t>
  </si>
  <si>
    <t>5; 11; 6; 8; 6; 8</t>
  </si>
  <si>
    <t>7.333333333333333</t>
  </si>
  <si>
    <t>924ae49230c859f7ff27c6c29294b66f2373618f</t>
  </si>
  <si>
    <t>Computational intelligence intrusion detection techniques in mobile cloud computing environments: Review, taxonomy, and open research issues</t>
  </si>
  <si>
    <t>2020-12-01</t>
  </si>
  <si>
    <t>{"CorpusId": 220301813, "DBLP": "journals/istr/ShamshirbandFCM20", "DOI": "10.1016/J.JISA.2020.102582", "MAG": "3087196177"}</t>
  </si>
  <si>
    <t>10.1016/j.jisa.2020.102582</t>
  </si>
  <si>
    <t>102582</t>
  </si>
  <si>
    <t>51; 3; 33; 24; 4; 55</t>
  </si>
  <si>
    <t>28.33333333333333</t>
  </si>
  <si>
    <t>973684a54ab6c4f5f3355b60b93f27e193a41508</t>
  </si>
  <si>
    <t>Impact of cyber-security issues on Smart Grid</t>
  </si>
  <si>
    <t>2011-12-01</t>
  </si>
  <si>
    <t>{"CorpusId": 19334866, "DBLP": "conf/isgteurope/YangLSMW11", "DOI": "10.1109/ISGTEurope.2011.6162722", "MAG": "2056080625"}</t>
  </si>
  <si>
    <t>10.1109/isgteurope.2011.6162722</t>
  </si>
  <si>
    <t>3; 14; 38; 28; 5</t>
  </si>
  <si>
    <t>17.6</t>
  </si>
  <si>
    <t>98c367c06314106425131c6a600c658d0fb027d7</t>
  </si>
  <si>
    <t>A taxonomy and survey of cyber-physical intrusion detection approaches for vehicles</t>
  </si>
  <si>
    <t>2019-03-01</t>
  </si>
  <si>
    <t>{"CorpusId": 58828847, "DBLP": "journals/adhoc/LoukasKPSBV19", "DOI": "10.1016/J.ADHOC.2018.10.002", "MAG": "2894800974"}</t>
  </si>
  <si>
    <t>10.1016/j.adhoc.2018.10.002</t>
  </si>
  <si>
    <t>http://gala.gre.ac.uk/id/eprint/21803/7/21803%20LOUKAS_A_Taxonomy_and_Survey_of_Cyber-Physical_Intrusion_Detection_2018.pdf</t>
  </si>
  <si>
    <t>124-147</t>
  </si>
  <si>
    <t>28; 16; 23; 8; 7; 8</t>
  </si>
  <si>
    <t>9faa3cfb854922d0b9ed84b56d4b59dc9b3cc07a</t>
  </si>
  <si>
    <t>Machine Learning and Deep Learning Techniques for Cybersecurity: A Review</t>
  </si>
  <si>
    <t>2020-04-08</t>
  </si>
  <si>
    <t>{"CorpusId": 214642372, "DBLP": "conf/aicv2/SalloumAES20", "DOI": "10.1007/978-3-030-44289-7_5", "MAG": "3013536297"}</t>
  </si>
  <si>
    <t>10.1007/978-3-030-44289-7_5</t>
  </si>
  <si>
    <t>50-57</t>
  </si>
  <si>
    <t>52; 51; 23; 53</t>
  </si>
  <si>
    <t>44.75</t>
  </si>
  <si>
    <t>a02a3d9e421953072cb43f83716da0e138641f8a</t>
  </si>
  <si>
    <t>Deep Learning in IoT Intrusion Detection</t>
  </si>
  <si>
    <t>2021-10-08</t>
  </si>
  <si>
    <t>{"CorpusId": 238993829, "DBLP": "journals/jnsm/TsimenidisLR22", "DOI": "10.1007/s10922-021-09621-9"}</t>
  </si>
  <si>
    <t>10.1007/s10922-021-09621-9</t>
  </si>
  <si>
    <t>128</t>
  </si>
  <si>
    <t>3; 26; 16</t>
  </si>
  <si>
    <t>a6abe46a750348620cb109b547a910d906afcdb0</t>
  </si>
  <si>
    <t>A survey of IT early warning systems: architectures, challenges, and solutions</t>
  </si>
  <si>
    <t>2016-11-25</t>
  </si>
  <si>
    <t>{"CorpusId": 5531186, "DBLP": "journals/scn/RamakiA16", "DOI": "10.1002/sec.1647", "MAG": "2543289462"}</t>
  </si>
  <si>
    <t>10.1002/sec.1647</t>
  </si>
  <si>
    <t>https://onlinelibrary.wiley.com/doi/pdfdirect/10.1002/sec.1647</t>
  </si>
  <si>
    <t>4751-4776</t>
  </si>
  <si>
    <t>8; 17</t>
  </si>
  <si>
    <t>aaaa95a4c0ac5a0b8d56657006627fdc81cf7027</t>
  </si>
  <si>
    <t>Artificial intelligence in network intrusion detection</t>
  </si>
  <si>
    <t>2015-05-25</t>
  </si>
  <si>
    <t>{"CorpusId": 450178, "DBLP": "conf/mipro/StamparF15", "DOI": "10.1109/MIPRO.2015.7160479", "MAG": "1542488052"}</t>
  </si>
  <si>
    <t>10.1109/mipro.2015.7160479</t>
  </si>
  <si>
    <t>1318-1323</t>
  </si>
  <si>
    <t>3; 13</t>
  </si>
  <si>
    <t>ab08312f0fe6c7f49d43d6e7d49d8aaa1928f629</t>
  </si>
  <si>
    <t>Data Mining and Intrusion Detection Systems</t>
  </si>
  <si>
    <t>The rapid evolution of technology and the increased connectivity among its components, imposes new cyber-security challenges. To tackle this growing trend in computer attacks and respond threats, industry professionals and academics are joining forces in order to build Intrusion Detection Systems (IDS) that combine high accuracy with low complexity and time efficiency. The present article gives an overview of existing Intrusion Detection Systems (IDS) along with their main principles. Also this article argues whether data mining and its core feature which is knowledge discovery can help in creating Data mining based IDSs that can achieve higher accuracy to novel types of intrusion and demonstrate more robust behaviour compared to traditional IDSs.</t>
  </si>
  <si>
    <t>{"CorpusId": 41534169, "DOI": "10.14569/IJACSA.2016.070109", "MAG": "2271053476"}</t>
  </si>
  <si>
    <t>10.14569/ijacsa.2016.070109</t>
  </si>
  <si>
    <t>http://thesai.org/Downloads/Volume7No1/Paper_9-Data_Mining_and_Intrusion_Detection_Systems.pdf</t>
  </si>
  <si>
    <t>1; 41</t>
  </si>
  <si>
    <t>abc1e735b100dd464c0de6b71d319b29bddbfc36</t>
  </si>
  <si>
    <t>Data Mining Techniques in Intrusion Detection Systems: A Systematic Literature Review</t>
  </si>
  <si>
    <t>2018-09-28</t>
  </si>
  <si>
    <t>The continued ability to detect malicious network intrusions has become an exercise in scalability, in which data mining techniques are playing an increasingly important role. We survey and categorize the fields of data mining and intrusion detection systems, providing a systematic treatment of methodologies and techniques. We apply a criterion-based approach to select 95 relevant articles from 2007 to 2017. We identified 19 separate data mining techniques used for intrusion detection, and our analysis encompasses rich information for future research based on the strengths and weaknesses of these techniques. Furthermore, we observed a research gap in establishing the effectiveness of classifiers to identify intrusions in modern network traffic when trained with aging data sets. Our review points to the need for more empirical experiments addressing real-time solutions for big data against contemporary attacks.</t>
  </si>
  <si>
    <t>{"CorpusId": 53042988, "DBLP": "journals/access/SaloINSE18", "DOI": "10.1109/ACCESS.2018.2872784", "MAG": "2893123663"}</t>
  </si>
  <si>
    <t>10.1109/access.2018.2872784</t>
  </si>
  <si>
    <t>https://doi.org/10.1109/access.2018.2872784</t>
  </si>
  <si>
    <t>56046-56058</t>
  </si>
  <si>
    <t>6; 15; 37; 48; 17</t>
  </si>
  <si>
    <t>24.6</t>
  </si>
  <si>
    <t>b338f5f97099799d8485cad18cd8ba2798cbc2a5</t>
  </si>
  <si>
    <t>Performance Assessment of Supervised Classifiers for Designing Intrusion Detection Systems: A Comprehensive Review and Recommendations for Future Research</t>
  </si>
  <si>
    <t>2021-03-23</t>
  </si>
  <si>
    <t>Supervised learning and pattern recognition is a crucial area of research in information retrieval, knowledge engineering, image processing, medical imaging, and intrusion detection. Numerous algorithms have been designed to address such complex application domains. Despite an enormous array of supervised classifiers, researchers are yet to recognize a robust classification mechanism that accurately and quickly classifies the target dataset, especially in the field of intrusion detection systems (IDSs). Most of the existing literature considers the accuracy and false-positive rate for assessing the performance of classification algorithms. The absence of other performance measures, such as model build time, misclassification rate, and precision, should be considered the main limitation for classifier performance evaluation. This paper’s main contribution is to analyze the current literature status in the field of network intrusion detection, highlighting the number of classifiers used, dataset size, performance outputs, inferences, and research gaps. Therefore, fifty-four state-of-the-art classifiers of various different groups, i.e., Bayes, functions, lazy, rule-based, and decision tree, have been analyzed and explored in detail, considering the sixteen most popular performance measures. This research work aims to recognize a robust classifier, which is suitable for consideration as the base learner, while designing a host-based or network-based intrusion detection system. The NSLKDD, ISCXIDS2012, and CICIDS2017 datasets have been used for training and testing purposes. Furthermore, a widespread decision-making algorithm, referred to as Techniques for Order Preference by Similarity to the Ideal Solution (TOPSIS), allocated ranks to the classifiers based on observed performance reading on the concern datasets. The J48Consolidated provided the highest accuracy of 99.868%, a misclassification rate of 0.1319%, and a Kappa value of 0.998. Therefore, this classifier has been proposed as the ideal classifier for designing IDSs.</t>
  </si>
  <si>
    <t>{"CorpusId": 233647481, "DOI": "10.3390/MATH9060690", "MAG": "3138539755"}</t>
  </si>
  <si>
    <t>10.3390/math9060690</t>
  </si>
  <si>
    <t>https://www.mdpi.com/2227-7390/9/6/690/pdf?version=1616645664</t>
  </si>
  <si>
    <t>690</t>
  </si>
  <si>
    <t>123</t>
  </si>
  <si>
    <t>12; 12; 21; 4; 8; 36; 21</t>
  </si>
  <si>
    <t>16.28571428571428</t>
  </si>
  <si>
    <t>b810a4547c320ae3a4f02b3380a22912ad787b61</t>
  </si>
  <si>
    <t>Explainable Intrusion Detection Systems (X-IDS): A Survey of Current Methods, Challenges, and Opportunities</t>
  </si>
  <si>
    <t>2022-07-13</t>
  </si>
  <si>
    <t>The application of Artificial Intelligence (AI) and Machine Learning (ML) to cybersecurity challenges has gained traction in industry and academia, partially as a result of widespread malware attacks on critical systems such as cloud infrastructures and government institutions. Intrusion Detection Systems (IDS), using some forms of AI, have received widespread adoption due to their ability to handle vast amounts of data with a high prediction accuracy. These systems are hosted in the organizational Cyber Security Operation Center (CSoC) as a defense tool to monitor and detect malicious network flow that would otherwise impact the Confidentiality, Integrity, and Availability (CIA). CSoC analysts rely on these systems to make decisions about the detected threats. However, IDSs designed using Deep Learning (DL) techniques are often treated as black box models and do not provide a justification for their predictions. This creates a barrier for CSoC analysts, as they are unable to improve their decisions based on the model’s predictions. One solution to this problem is to design explainable IDS (X-IDS). This survey reviews the state-of-the-art in explainable AI (XAI) for IDS, its current challenges, and discusses how these challenges span to the design of an X-IDS. In particular, we discuss black box and white box approaches comprehensively. We also present the tradeoff between these approaches in terms of their performance and ability to produce explanations. Furthermore, we propose a generic architecture that considers human-in-the-loop which can be used as a guideline when designing an X-IDS. Research recommendations are given from three critical viewpoints: the need to define explainability for IDS, the need to create explanations tailored to various stakeholders, and the need to design metrics to evaluate explanations.</t>
  </si>
  <si>
    <t>{"ArXiv": "2207.06236", "CorpusId": 250492802, "DBLP": "journals/access/NeupaneAAMRBS22", "DOI": "10.1109/ACCESS.2022.3216617"}</t>
  </si>
  <si>
    <t>10.1109/access.2022.3216617</t>
  </si>
  <si>
    <t>https://ieeexplore.ieee.org/ielx7/6287639/9668973/09927396.pdf</t>
  </si>
  <si>
    <t>112392-112415</t>
  </si>
  <si>
    <t>7; 2; 3; 25; 11; 18; 14</t>
  </si>
  <si>
    <t>11.42857142857143</t>
  </si>
  <si>
    <t>b9c0b5ca82d25619fedc02e815a57494fdfb4f6e</t>
  </si>
  <si>
    <t>A survey of intrusion detection system</t>
  </si>
  <si>
    <t>2015-03-21</t>
  </si>
  <si>
    <t>{"CorpusId": 17286132, "DOI": "10.1109/WSWAN.2015.7210351", "MAG": "1554695315"}</t>
  </si>
  <si>
    <t>10.1109/wswan.2015.7210351</t>
  </si>
  <si>
    <t>1-6</t>
  </si>
  <si>
    <t>2; 10; 4; 1; 2; 2</t>
  </si>
  <si>
    <t>ba6cc65e8f8b9d8ad842724fe911e2f38b58f606</t>
  </si>
  <si>
    <t>A Survey on Secure Network: Intrusion Detection &amp; Prevention Approaches</t>
  </si>
  <si>
    <t>2016-12-03</t>
  </si>
  <si>
    <t>{"CorpusId": 114157961, "DOI": "10.12691/AJIS-4-3-2", "MAG": "2560413256"}</t>
  </si>
  <si>
    <t>10.12691/ajis-4-3-2</t>
  </si>
  <si>
    <t>69-88</t>
  </si>
  <si>
    <t>83</t>
  </si>
  <si>
    <t>cc6adc412dac7ed5bd5898cd351d56dcd8ad2ebf</t>
  </si>
  <si>
    <t>Intrusion detection and prevention system: Challenges &amp; opportunities</t>
  </si>
  <si>
    <t>2014-03-05</t>
  </si>
  <si>
    <t>{"CorpusId": 14358059, "DOI": "10.1109/INDIACOM.2014.6828073", "MAG": "2059298147"}</t>
  </si>
  <si>
    <t>10.1109/indiacom.2014.6828073</t>
  </si>
  <si>
    <t>806-809</t>
  </si>
  <si>
    <t>3; 5</t>
  </si>
  <si>
    <t>cffa86998ca692c7e05a83c299bee091c0ea4d8d</t>
  </si>
  <si>
    <t>Explainable Intrusion Detection for Cyber Defences in the Internet of Things: Opportunities and Solutions</t>
  </si>
  <si>
    <t>112</t>
  </si>
  <si>
    <t>The field of Explainable Artificial Intelligence (XAI) has garnered considerable research attention in recent years, aiming to provide interpretability and confidence to the inner workings of state-of-the-art deep learning models. However, XAI-enhanced cybersecurity measures in the Internet of Things (IoT) and its sub-domains, require further investigation to provide effective discovery of attack surfaces, their corresponding vectors, and interpretable justification of model outputs. Cyber defence involves operations conducted in the cybersecurity field supporting mission objectives to identify and prevent cyberattacks using various tools and techniques, including intrusion detection systems (IDS), threat intelligence and hunting, and intrusion prevention. In cyber defence, especially anomaly-based IDS, the emerging applications of deep learning models require the interpretation of the models’ architecture and the explanation of models’ prediction to examine how cyberattacks would occur. This paper presents a comprehensive review of XAI techniques for anomaly-based intrusion detection in IoT networks. Firstly, we review IDSs focusing on anomaly-based detection techniques in IoT and how XAI models can augment them to provide trust and confidence in their detections. Secondly, we review AI models, including machine learning (ML) and deep learning (DL), for anomaly detection applications and IoT ecosystems. Moreover, we discuss DL’s ability to effectively learn from large-scale IoT datasets, accomplishing high performances in discovering and interpreting security events. Thirdly, we demonstrate recent research on the intersection of XAI, anomaly-based IDS and IoT. Finally, we discuss the current challenges and solutions of XAI for security applications in the cyber defence perspective of IoT networks, revealing future research directions. By analysing our findings, new cybersecurity applications that require XAI models emerge, assisting decision-makers in understanding and explaining security events in compromised IoT networks.</t>
  </si>
  <si>
    <t>{"CorpusId": 258936287, "DBLP": "journals/comsur/MoustafaKKZT23", "DOI": "10.1109/COMST.2023.3280465"}</t>
  </si>
  <si>
    <t>10.1109/comst.2023.3280465</t>
  </si>
  <si>
    <t>1775-1807</t>
  </si>
  <si>
    <t>50; 11; 12; 90; 43</t>
  </si>
  <si>
    <t>41.2</t>
  </si>
  <si>
    <t>d48c4f5521985d0566d154b585ecdc9f1e3423cc</t>
  </si>
  <si>
    <t>Towards a Secure Internet of Things: A Comprehensive Study of Second Line Defense Mechanisms</t>
  </si>
  <si>
    <t>The Internet of Things (IoT) exemplifies a large network of sensing and actuating devices that have penetrated into the physical world enabling new applications like smart homes, intelligent transportation, smart healthcare and smart cities. Through IoT, these applications have consolidated in the modern world to generate, share, aggregate and analyze large amount of security-critical and privacy sensitive data. As this consolidation gets stronger, the need for security in IoT increases. With first line of defense strategies like cryptography being unsuited due to the resource constrained nature, second line of defense mechanisms are crucial to ensure security in IoT networks. This paper presents a comprehensive study of existing second line of defense mechanisms for standardized protocols in IoT networks. The paper analyzes existing mechanisms in three aspects: Intrusion Detection Systems (IDS), Intrusion Prevention Systems (IPS) and Intrusion Response Systems (IRS). We begin by providing an overview of standardized protocol stack, its layers and defensive security systems in IoT. From there, we build our narrative by presenting an extended taxonomy of IDS, IPS and IRS classifying them on their techniques, deployment, attacks, datasets, evaluation metrics and data pre-processing methods. We then thoroughly review, compare and analyze the research proposals in this context, considering the unique characteristics involved in these systems. Based on the extensive analysis of the existing defensive security systems, the paper also identifies open research challenges and directions for effective design of such systems for IoT networks, which could guide future research in the area.</t>
  </si>
  <si>
    <t>{"CorpusId": 220734087, "DBLP": "journals/access/KamaldeepDG20", "DOI": "10.1109/ACCESS.2020.3005643", "MAG": "3040172535"}</t>
  </si>
  <si>
    <t>10.1109/access.2020.3005643</t>
  </si>
  <si>
    <t>https://ieeexplore.ieee.org/ielx7/6287639/8948470/09127958.pdf</t>
  </si>
  <si>
    <t>127272-127312</t>
  </si>
  <si>
    <t>196</t>
  </si>
  <si>
    <t>2; 19; 18</t>
  </si>
  <si>
    <t>d668b4ce4e7f2150ec3f70edc53d1d561f7d40da</t>
  </si>
  <si>
    <t>Host-Based Intrusion Detection System with System Calls</t>
  </si>
  <si>
    <t>2018-11-19</t>
  </si>
  <si>
    <t>In a contemporary data center, Linux applications often generate a large quantity of real-time system call traces, which are not suitable for traditional host-based intrusion detection systems deployed on every single host. Training data mining models with system calls on a single host that has static computing and storage capacity is time-consuming, and intermediate datasets are not capable of being efficiently handled. It is cumbersome for the maintenance and updating of host-based intrusion detection systems (HIDS) installed on every physical or virtual host, and comprehensive system call analysis can hardly be performed to detect complex and distributed attacks among multiple hosts. Considering these limitations of current system-call-based HIDS, in this article, we provide a review of the development of system-call-based HIDS and future research trends. Algorithms and techniques relevant to system-call-based HIDS are investigated, including feature extraction methods and various data mining algorithms. The HIDS dataset issues are discussed, including currently available datasets with system calls and approaches for researchers to generate new datasets. The application of system-call-based HIDS on current embedded systems is studied, and related works are investigated. Finally, future research trends are forecast regarding three aspects, namely, the reduction of the false-positive rate, the improvement of detection efficiency, and the enhancement of collaborative security.</t>
  </si>
  <si>
    <t>{"CorpusId": 263879008, "DBLP": "journals/csur/LiuXXZC19", "DOI": "10.1145/3214304", "MAG": "2900713154"}</t>
  </si>
  <si>
    <t>10.1145/3214304</t>
  </si>
  <si>
    <t>9; 11; 1; 3; 9</t>
  </si>
  <si>
    <t>6.6</t>
  </si>
  <si>
    <t>daaf51d8f9072b8845207c1d35d9a169fc7a3c2a</t>
  </si>
  <si>
    <t>A Review of Intrusion Detection Systems for Industrial Control Systems</t>
  </si>
  <si>
    <t>2019-04-01</t>
  </si>
  <si>
    <t>Industrial Control Systems are found often in industrial sectors and critical infrastructures to monitor and control industrial processes. Recently, the security of industrial control systems has gained much attention as these systems now exhibit an increased interaction with the Internet. In fact, classical SCADA systems are already lacking with security problems, and with the increased interconnectivity to the Internet, they are now exposed to new types of threats and cyber-attacks. Intrusion detection technology is one of the most important security solutions used today in industrial control systems to detect potential attacks and malicious activities. This paper summarizes previous work for Intrusion Detection Systems approaches in Industrial Control Systems and highlights challenges and opportunities in implementing such solutions. We believe that such insights are valuable for further research in the industrial security context.</t>
  </si>
  <si>
    <t>{"CorpusId": 201832613, "DBLP": "conf/codit/KaoukFPG19", "DOI": "10.1109/CoDIT.2019.8820602", "MAG": "2971541747"}</t>
  </si>
  <si>
    <t>10.1109/codit.2019.8820602</t>
  </si>
  <si>
    <t>1699-1704</t>
  </si>
  <si>
    <t>4; 19; 18; 21</t>
  </si>
  <si>
    <t>db597e11e07f1773d0f11b88852ff530c941112a</t>
  </si>
  <si>
    <t>Towards Viable Intrusion Detection Methods For The Automotive Controller Area Network</t>
  </si>
  <si>
    <t>2018-09-13</t>
  </si>
  <si>
    <t>{"CorpusId": 53122729, "DOI": "10.1145/3273946.3273950", "MAG": "2901670281"}</t>
  </si>
  <si>
    <t>10.1145/3273946.3273950</t>
  </si>
  <si>
    <t>5; 23; 18</t>
  </si>
  <si>
    <t>15.33333333333333</t>
  </si>
  <si>
    <t>dedf6242eb05c3c9007bb2253a148b9dd92c1f8f</t>
  </si>
  <si>
    <t>Performance analysis of machine learning models for intrusion detection system using Gini Impurity-based Weighted Random Forest (GIWRF) feature selection technique</t>
  </si>
  <si>
    <t>2022-01-04</t>
  </si>
  <si>
    <t>To protect the network, resources, and sensitive data, the intrusion detection system (IDS) has become a fundamental component of organizations that prevents cybercriminal activities. Several approaches have been introduced and implemented to thwart malicious activities so far. Due to the effectiveness of machine learning (ML) methods, the proposed approach applied several ML models for the intrusion detection system. In order to evaluate the performance of models, UNSW-NB 15 and Network TON_IoT datasets were used for offline analysis. Both datasets are comparatively newer than the NSL-KDD dataset to represent modern-day attacks. However, the performance analysis was carried out by training and testing the Decision Tree (DT), Gradient Boosting Tree (GBT), Multilayer Perceptron (MLP), AdaBoost, Long-Short Term Memory (LSTM), and Gated Recurrent Unit (GRU) for the binary classification task. As the performance of IDS deteriorates with a high dimensional feature vector, an optimum set of features was selected through a Gini Impurity-based Weighted Random Forest (GIWRF) model as the embedded feature selection technique. This technique employed Gini impurity as the splitting criterion of trees and adjusted the weights for two different classes of the imbalanced data to make the learning algorithm understand the class distribution. Based upon the importance score, 20 features were selected from UNSW-NB 15 and 10 features from the Network TON_IoT dataset. The experimental result revealed that DT performed well with the feature selection technique than other trained models of this experiment. Moreover, the proposed GIWRF-DT outperformed other existing methods surveyed in the literature in terms of the F1 score.</t>
  </si>
  <si>
    <t>{"CorpusId": 245673404, "DBLP": "journals/cybersec/DishaW22", "DOI": "10.1186/s42400-021-00103-8"}</t>
  </si>
  <si>
    <t>10.1186/s42400-021-00103-8</t>
  </si>
  <si>
    <t>https://cybersecurity.springeropen.com/counter/pdf/10.1186/s42400-021-00103-8</t>
  </si>
  <si>
    <t>2; 16</t>
  </si>
  <si>
    <t>e195d061b90b07cd4e2997346b185fa4a7dae656</t>
  </si>
  <si>
    <t>A Survey on SVM Classifiers for Intrusion Detection</t>
  </si>
  <si>
    <t>2014-07-18</t>
  </si>
  <si>
    <t>{"CorpusId": 12782418, "DOI": "10.5120/17294-7779", "MAG": "2125408776"}</t>
  </si>
  <si>
    <t>10.5120/17294-7779</t>
  </si>
  <si>
    <t>https://doi.org/10.5120/17294-7779</t>
  </si>
  <si>
    <t>34-44</t>
  </si>
  <si>
    <t>2; 1; 8</t>
  </si>
  <si>
    <t>e4c29997c555e76788bacec33b8c5aa5ca75c4b8</t>
  </si>
  <si>
    <t>A Comprehensive Survey on Machine Learning-Based Intrusion Detection Systems for Secure Communication in Internet of Things</t>
  </si>
  <si>
    <t>2023-01-27</t>
  </si>
  <si>
    <t>The Internet of Things (IoT) is a distributed system which is made up of the connections of smart objects (things) that can continuously sense the events in their sensing domain and transmit the data via the Internet. IoT is considered as the next revolution of the Internet since it has provided vast improvements in day-to-day activities of humans including the provision of efficient healthcare services and development of smart cities and intelligent transport systems. The IoT environment, by the application of suitable security mechanisms through efficient security management techniques, intrusion detection systems provide a wall of defence against the attacks on the Internet and on the devices connected with Internet by effective monitoring of the Internet traffic. Therefore, the intrusion detection system (IDS) is a resolution proposed by the researchers to monitor and secure the IoT communication. In this work, a meticulous analysis of the security of IoT networks based on quality-of-service metrics is performed for deploying intrusion detection systems by carrying out experiments on secured communication and measuring the network’s performance based on comparing them with the existing security metrics. Finally, we propose a new and effective IDS using a deep learning-based classification approach, namely, fuzzy CNN, for improving the security of communication. The major and foremost advantages of this system include an upsurge in detection accuracy, the accurate detection of denial of service (DoS) attacks more efficiently, and the reduction of false positive rates.</t>
  </si>
  <si>
    <t>{"CorpusId": 256348320, "DOI": "10.1155/2023/8981988"}</t>
  </si>
  <si>
    <t>10.1155/2023/8981988</t>
  </si>
  <si>
    <t>https://downloads.hindawi.com/journals/cin/2023/8981988.pdf</t>
  </si>
  <si>
    <t>3; 12; 4</t>
  </si>
  <si>
    <t>e966bb613b9347141fc7dc3be72dab12e2003415</t>
  </si>
  <si>
    <t>Efficient classification mechanism for network intrusion detection system based on data mining techniques: A survey</t>
  </si>
  <si>
    <t>{"CorpusId": 14455772, "DOI": "10.1109/ISCO.2014.7103959", "MAG": "1584965817"}</t>
  </si>
  <si>
    <t>10.1109/isco.2014.7103959</t>
  </si>
  <si>
    <t>274-280</t>
  </si>
  <si>
    <t>1; 1; 1</t>
  </si>
  <si>
    <t>ea5f9c473fe187e9db6251a07504eeb7f71116c1</t>
  </si>
  <si>
    <t>NLP Methods in Host-based Intrusion Detection Systems: A Systematic Review and Future Directions</t>
  </si>
  <si>
    <t>2022-01-20</t>
  </si>
  <si>
    <t>{"ArXiv": "2201.08066", "CorpusId": 246063653, "DBLP": "journals/corr/abs-2201-08066", "DOI": "10.1016/j.jnca.2023.103761"}</t>
  </si>
  <si>
    <t>10.1016/j.jnca.2023.103761</t>
  </si>
  <si>
    <t>https://doi.org/10.1016/j.jnca.2023.103761</t>
  </si>
  <si>
    <t>103761</t>
  </si>
  <si>
    <t>228</t>
  </si>
  <si>
    <t>7; 2; 54</t>
  </si>
  <si>
    <t>ec6f5a0207c709fb77beedb7af83bf8732ebc3e4</t>
  </si>
  <si>
    <t>Virtualization layer security challenges and intrusion detection/prevention systems in cloud computing: a comprehensive review</t>
  </si>
  <si>
    <t>{"CorpusId": 12120, "DBLP": "journals/tjs/ModiA17", "DOI": "10.1007/s11227-016-1805-9", "MAG": "2470845252"}</t>
  </si>
  <si>
    <t>10.1007/s11227-016-1805-9</t>
  </si>
  <si>
    <t>1192-1234</t>
  </si>
  <si>
    <t>21; 3</t>
  </si>
  <si>
    <t>f0a56e444728e37c9b3eb8cc42d546692b0096ec</t>
  </si>
  <si>
    <t>The Internet of Things: Secure Distributed Inference</t>
  </si>
  <si>
    <t>2018-06-24</t>
  </si>
  <si>
    <t>The growth in the number of devices connected to the Internet of Things (IoT) poses major challenges in security. The integrity and trustworthiness of data and data analytics are increasingly important concerns in IoT applications. These are compounded by the highly distributed nature of IoT devices, making it infeasible to prevent attacks and intrusions on all data sources. Adversaries may hijack devices and compromise their data. As a result, reactive countermeasures, such as intrusion detection and resilient analytics, become vital components of security. This article overviews algorithms for secure distributed inference in IoT.</t>
  </si>
  <si>
    <t>{"ArXiv": "1806.09199", "CorpusId": 49418171, "DBLP": "journals/corr/abs-1806-09199", "DOI": "10.1109/MSP.2018.2842097", "MAG": "2953214145"}</t>
  </si>
  <si>
    <t>10.1109/msp.2018.2842097</t>
  </si>
  <si>
    <t>https://doi.org/10.1109/msp.2018.2842097</t>
  </si>
  <si>
    <t>64-75</t>
  </si>
  <si>
    <t>11; 55; 75</t>
  </si>
  <si>
    <t>f1c7f3f0b728439da28c86c16ac56dd8141dafa6</t>
  </si>
  <si>
    <t>Feature selection techniques for intrusion detection using non-bio-inspired and bio-inspired optimization algorithms</t>
  </si>
  <si>
    <t>2017-12-29</t>
  </si>
  <si>
    <t>{"CorpusId": 34079515, "DBLP": "journals/jcin/BalasaraswathiS17", "DOI": "10.1007/s41650-017-0033-7", "MAG": "2777579789"}</t>
  </si>
  <si>
    <t>10.1007/s41650-017-0033-7</t>
  </si>
  <si>
    <t>https://link.springer.com/content/pdf/10.1007%2Fs41650-017-0033-7.pdf</t>
  </si>
  <si>
    <t>107-119</t>
  </si>
  <si>
    <t>6; 9; 17</t>
  </si>
  <si>
    <t>10.66666666666667</t>
  </si>
  <si>
    <t>f3707a07c3dc0152391a1ad434e83e55609b4ee6</t>
  </si>
  <si>
    <t>Intrusion Detection System: A Review</t>
  </si>
  <si>
    <t>2015-05-31</t>
  </si>
  <si>
    <t>{"CorpusId": 10549267, "DOI": "10.14257/IJSIA.2015.9.5.07", "MAG": "2289716850"}</t>
  </si>
  <si>
    <t>10.14257/ijsia.2015.9.5.07</t>
  </si>
  <si>
    <t>https://doi.org/10.14257/ijsia.2015.9.5.07</t>
  </si>
  <si>
    <t>69-76</t>
  </si>
  <si>
    <t>5; 2</t>
  </si>
  <si>
    <t>f3cbed481dde5acdf88011ed20655a7e001c0c24</t>
  </si>
  <si>
    <t>Virtual machine introspection: towards bridging the semantic gap</t>
  </si>
  <si>
    <t>2014-10-25</t>
  </si>
  <si>
    <t>Virtual machine introspection is a technique used to inspect and analyse the code running on a given virtual machine. Virtual machine introspection has gained considerable attention in the field of computer security research. In recent years, it has been applied in various areas, ranging from intrusion detection and malware analysis to complete cloud monitoring platforms. A survey of existing virtual machine introspection tools is necessary to address various possible research gaps and to focus on key features required for wide application of virtual machine introspection techniques. In this paper, we focus on the evolution of virtual machine introspection tools and their ability to address the semantic gap problem.</t>
  </si>
  <si>
    <t>{"CorpusId": 14616457, "DBLP": "journals/jcloudc/MoreT14", "DOI": "10.1186/s13677-014-0016-2", "MAG": "2098367901"}</t>
  </si>
  <si>
    <t>10.1186/s13677-014-0016-2</t>
  </si>
  <si>
    <t>https://journalofcloudcomputing.springeropen.com/track/pdf/10.1186/s13677-014-0016-2</t>
  </si>
  <si>
    <t>f42d941f216a27fd5eace0bec549f2c6a0263d10</t>
  </si>
  <si>
    <t>Security of embedded automotive networks: state of the art and a research proposal</t>
  </si>
  <si>
    <t>2013-09-24</t>
  </si>
  <si>
    <t>{"CorpusId": 16431647, "DBLP": "conf/safecomp/StudniaNADKL13", "MAG": "2408008555"}</t>
  </si>
  <si>
    <t>4; 19; 17; 27; 30; 8</t>
  </si>
  <si>
    <t>f4e0428df4058dad30652bd7f97bcdd7ed48453d</t>
  </si>
  <si>
    <t>Intrusion Detection Systems: A Survey and Analysis of Classification Techniques</t>
  </si>
  <si>
    <t>{"CorpusId": 54692787, "MAG": "2182207358"}</t>
  </si>
  <si>
    <t>7; 5; 6</t>
  </si>
  <si>
    <t>f790c50935f60c41c60be3ae2f7e7095c94bed56</t>
  </si>
  <si>
    <t>Anomaly Intrusion Detection Using an Hybrid Of Decision Tree And K-Nearest Neighbor</t>
  </si>
  <si>
    <t>{"CorpusId": 114623113, "MAG": "2546565743"}</t>
  </si>
  <si>
    <t>fd139229436e4ef85f36924651711da98a055190</t>
  </si>
  <si>
    <t>Intrusion Detection Systems: A Cross-Domain Overview</t>
  </si>
  <si>
    <t>2019-06-12</t>
  </si>
  <si>
    <t>97</t>
  </si>
  <si>
    <t>Nowadays, network technologies are essential for transferring and storing various information of users, companies, and industries. However, the growth of the information transfer rate expands the attack surface, offering a rich environment to intruders. Intrusion detection systems (IDSs) are widespread systems able to passively or actively control intrusive activities in a defined host and network perimeter. Recently, different IDSs have been proposed by integrating various detection techniques, generic or adapted to a specific domain and to the nature of attacks operating on. The cybersecurity landscape deals with tremendous diverse event streams that exponentially increase the attack vectors. Event stream processing (ESP) methods appear to be solutions that leverage event streams to provide actionable insights and faster detection. In this paper, we briefly describe domains (as well as their vulnerabilities) on which recent papers were-based. We also survey standards for vulnerability assessment and attack classification. Afterwards, we carry out a classification of IDSs, evaluation metrics, and datasets. Next, we provide the technical details and an evaluation of the most recent work on IDS techniques and ESP approaches covering different dimensions (axes): domains, architectures, and local communication technologies. Finally, we discuss challenges and strategies to improve IDS in terms of accuracy, performance, and robustness.</t>
  </si>
  <si>
    <t>{"CorpusId": 196176910, "DBLP": "journals/comsur/TidjonFM19", "DOI": "10.1109/COMST.2019.2922584", "MAG": "2951105308"}</t>
  </si>
  <si>
    <t>10.1109/comst.2019.2922584</t>
  </si>
  <si>
    <t>3639-3681</t>
  </si>
  <si>
    <t>310</t>
  </si>
  <si>
    <t>7; 18; 14</t>
  </si>
  <si>
    <t>BROAD</t>
  </si>
  <si>
    <t>a27089efabc5f4abd5ddf2be2a409bff41f31199</t>
  </si>
  <si>
    <t>Toward Generating a New Intrusion Detection Dataset and Intrusion Traffic Characterization</t>
  </si>
  <si>
    <t>JournalArticle</t>
  </si>
  <si>
    <t>406</t>
  </si>
  <si>
    <t>3508</t>
  </si>
  <si>
    <t>: With exponential growth in the size of computer networks and developed applications, the signiﬁcant in-creasing of the potential damage that can be caused by launching attacks is becoming obvious. Meanwhile, Intrusion Detection Systems (IDSs) and Intrusion Prevention Systems (IPSs) are one of the most important defense tools against the sophisticated and ever-growing network attacks. Due to the lack of adequate dataset, anomaly-based approaches in intrusion detection systems are suffering from accurate deployment, analysis and evaluation. There exist a number of such datasets such as DARPA98, KDD99, ISC2012, and ADFA13 that have been used by the researchers to evaluate the performance of their proposed intrusion detection and intrusion prevention approaches. Based on our study over eleven available datasets since 1998, many such datasets are out of date and unreliable to use. Some of these datasets suffer from lack of trafﬁc diversity and volumes, some of them do not cover the variety of attacks, while others anonymized packet information and payload which cannot reﬂect the current trends, or they lack feature set and metadata. This paper produces a reliable dataset that contains benign and seven common attack network ﬂows, which meets real world criteria and is publicly avaliable. Consequently, the paper evaluates the performance of a comprehensive set of network trafﬁc features and machine learning algorithms to indicate the best set of features for detecting the certain attack categories.</t>
  </si>
  <si>
    <t>{"CorpusId": 4707749, "DBLP": "conf/icissp/SharafaldinLG18", "DOI": "10.5220/0006639801080116", "MAG": "2789828921"}</t>
  </si>
  <si>
    <t>10.5220/0006639801080116</t>
  </si>
  <si>
    <t>https://doi.org/10.5220/0006639801080116</t>
  </si>
  <si>
    <t>108-116</t>
  </si>
  <si>
    <t>7; 32; 53</t>
  </si>
  <si>
    <t>0e7af8e91b8cb2cea1164be5ac5d280b0d12c153</t>
  </si>
  <si>
    <t>UNSW-NB15: a comprehensive data set for network intrusion detection systems (UNSW-NB15 network data set)</t>
  </si>
  <si>
    <t>2015-12-10</t>
  </si>
  <si>
    <t>Conference; JournalArticle</t>
  </si>
  <si>
    <t>296</t>
  </si>
  <si>
    <t>2740</t>
  </si>
  <si>
    <t>{"CorpusId": 18965349, "DBLP": "conf/milcis/MoustafaS15", "DOI": "10.1109/MilCIS.2015.7348942", "MAG": "2296509296"}</t>
  </si>
  <si>
    <t>10.1109/milcis.2015.7348942</t>
  </si>
  <si>
    <t>50; 23</t>
  </si>
  <si>
    <t>36.5</t>
  </si>
  <si>
    <t>c0387e788a52f10bf35d4d50659cfa515d89fbec</t>
  </si>
  <si>
    <t>MARS: A Video Benchmark for Large-Scale Person Re-Identification</t>
  </si>
  <si>
    <t>2016-10-08</t>
  </si>
  <si>
    <t>1009</t>
  </si>
  <si>
    <t>{"CorpusId": 2214158, "DBLP": "conf/eccv/ZhengBSWSWT16", "DOI": "10.1007/978-3-319-46466-4_52", "MAG": "2520433280"}</t>
  </si>
  <si>
    <t>10.1007/978-3-319-46466-4_52</t>
  </si>
  <si>
    <t>868-884</t>
  </si>
  <si>
    <t>62; 3; 26; 75; 18; 48; 85</t>
  </si>
  <si>
    <t>45.28571428571428</t>
  </si>
  <si>
    <t>3d1f9a530e710fdd4e2313bda4c8a1f574e60ab6</t>
  </si>
  <si>
    <t>Neural Factorization Machines for Sparse Predictive Analytics</t>
  </si>
  <si>
    <t>2017-08-07</t>
  </si>
  <si>
    <t>Book; Conference; JournalArticle</t>
  </si>
  <si>
    <t>1326</t>
  </si>
  <si>
    <t>Many predictive tasks of web applications need to model categorical variables, such as user IDs and demographics like genders and occupations. To apply standard machine learning techniques, these categorical predictors are always converted to a set of binary features via one-hot encoding, making the resultant feature vector highly sparse. To learn from such sparse data effectively, it is crucial to account for the interactions between features. Factorization Machines (FMs) are a popular solution for efficiently using the second-order feature interactions. However, FM models feature interactions in a linear way, which can be insufficient for capturing the non-linear and complex inherent structure of real-world data. While deep neural networks have recently been applied to learn non-linear feature interactions in industry, such as the Wide&amp;Deep by Google and DeepCross by Microsoft, the deep structure meanwhile makes them difficult to train. In this paper, we propose a novel model Neural Factorization Machine (NFM) for prediction under sparse settings. NFM seamlessly combines the linearity of FM in modelling second-order feature interactions and the non-linearity of neural network in modelling higher-order feature interactions. Conceptually, NFM is more expressive than FM since FM can be seen as a special case of NFM without hidden layers. Empirical results on two regression tasks show that with one hidden layer only, NFM significantly outperforms FM with a 7.3% relative improvement. Compared to the recent deep learning methods Wide&amp;Deep and DeepCross, our NFM uses a shallower structure but offers better performance, being much easier to train and tune in practice.</t>
  </si>
  <si>
    <t>{"ArXiv": "1708.05027", "CorpusId": 2021204, "DBLP": "conf/sigir/0001C17", "DOI": "10.1145/3077136.3080777", "MAG": "2963323306"}</t>
  </si>
  <si>
    <t>10.1145/3077136.3080777</t>
  </si>
  <si>
    <t>https://arxiv.org/pdf/1708.05027</t>
  </si>
  <si>
    <t>95; 109</t>
  </si>
  <si>
    <t>b3dbb682bb8b71723538f433b1dd007ed0b9b244</t>
  </si>
  <si>
    <t>Image-Image Domain Adaptation with Preserved Self-Similarity and Domain-Dissimilarity for Person Re-identification</t>
  </si>
  <si>
    <t>2017-11-19</t>
  </si>
  <si>
    <t>913</t>
  </si>
  <si>
    <t>Person re-identification (re-ID) models trained on one domain often fail to generalize well to another. In our attempt, we present a "learning via translation" framework. In the baseline, we translate the labeled images from source to target domain in an unsupervised manner. We then train re-ID models with the translated images by supervised methods. Yet, being an essential part of this framework, unsupervised image-image translation suffers from the information loss of source-domain labels during translation. Our motivation is two-fold. First, for each image, the discriminative cues contained in its ID label should be maintained after translation. Second, given the fact that two domains have entirely different persons, a translated image should be dissimilar to any of the target IDs. To this end, we propose to preserve two types of unsupervised similarities, 1) self-similarity of an image before and after translation, and 2) domain-dissimilarity of a translated source image and a target image. Both constraints are implemented in the similarity preserving generative adversarial network (SPGAN) which consists of an Siamese network and a CycleGAN. Through domain adaptation experiment, we show that images generated by SPGAN are more suitable for domain adaptation and yield consistent and competitive re-ID accuracy on two large-scale datasets.</t>
  </si>
  <si>
    <t>{"ArXiv": "1711.07027", "CorpusId": 40461189, "DBLP": "conf/cvpr/Deng0YK0J18", "DOI": "10.1109/CVPR.2018.00110", "MAG": "2953105073"}</t>
  </si>
  <si>
    <t>10.1109/cvpr.2018.00110</t>
  </si>
  <si>
    <t>http://arxiv.org/pdf/1711.07027</t>
  </si>
  <si>
    <t>994-1003</t>
  </si>
  <si>
    <t>12; 62; 23; 65; 52; 37</t>
  </si>
  <si>
    <t>41.83333333333334</t>
  </si>
  <si>
    <t>fa11df1157486731afe86af7d6d9254a82d4dbd6</t>
  </si>
  <si>
    <t>Kitsune: An Ensemble of Autoencoders for Online Network Intrusion Detection</t>
  </si>
  <si>
    <t>2018-02-25</t>
  </si>
  <si>
    <t>837</t>
  </si>
  <si>
    <t>Neural networks have become an increasingly popular solution for network intrusion detection systems (NIDS). Their capability of learning complex patterns and behaviors make them a suitable solution for differentiating between normal traffic and network attacks. However, a drawback of neural networks is the amount of resources needed to train them. Many network gateways and routers devices, which could potentially host an NIDS, simply do not have the memory or processing power to train and sometimes even execute such models. More importantly, the existing neural network solutions are trained in a supervised manner. Meaning that an expert must label the network traffic and update the model manually from time to time. 
In this paper, we present Kitsune: a plug and play NIDS which can learn to detect attacks on the local network, without supervision, and in an efficient online manner. Kitsune's core algorithm (KitNET) uses an ensemble of neural networks called autoencoders to collectively differentiate between normal and abnormal traffic patterns. KitNET is supported by a feature extraction framework which efficiently tracks the patterns of every network channel. Our evaluations show that Kitsune can detect various attacks with a performance comparable to offline anomaly detectors, even on a Raspberry PI. This demonstrates that Kitsune can be a practical and economic NIDS.</t>
  </si>
  <si>
    <t>{"ArXiv": "1802.09089", "CorpusId": 3502091, "DBLP": "conf/ndss/MirskyDES18", "DOI": "10.14722/ndss.2018.23211", "MAG": "2950839178"}</t>
  </si>
  <si>
    <t>10.14722/ndss.2018.23211</t>
  </si>
  <si>
    <t>https://doi.org/10.14722/ndss.2018.23211</t>
  </si>
  <si>
    <t>21; 3; 69; 45</t>
  </si>
  <si>
    <t>1bc042ec7a58ca8040ee08178433752f2c16f25e</t>
  </si>
  <si>
    <t>Outlier Analysis</t>
  </si>
  <si>
    <t>2013-01-11</t>
  </si>
  <si>
    <t>127</t>
  </si>
  <si>
    <t>1613</t>
  </si>
  <si>
    <t>{"CorpusId": 13546720, "DBLP": "books/sp/Aggarwal2013", "DOI": "10.1007/978-1-4614-6396-2", "MAG": "2338990760"}</t>
  </si>
  <si>
    <t>10.1007/978-1-4614-6396-2</t>
  </si>
  <si>
    <t>478</t>
  </si>
  <si>
    <t>c36fd59b4bb3d9fd1bd3acf09661a4e5a5d91c7e</t>
  </si>
  <si>
    <t>The IUPHAR/BPS Guide to PHARMACOLOGY in 2016: towards curated quantitative interactions between 1300 protein targets and 6000 ligands</t>
  </si>
  <si>
    <t>2015-10-12</t>
  </si>
  <si>
    <t>Biology; Computer Science; Medicine</t>
  </si>
  <si>
    <t>1102</t>
  </si>
  <si>
    <t>The IUPHAR/BPS Guide to PHARMACOLOGY (GtoPdb, http://www.guidetopharmacology.org) provides expert-curated molecular interactions between successful and potential drugs and their targets in the human genome. Developed by the International Union of Basic and Clinical Pharmacology (IUPHAR) and the British Pharmacological Society (BPS), this resource, and its earlier incarnation as IUPHAR-DB, is described in our 2014 publication. This update incorporates changes over the intervening seven database releases. The unique model of content capture is based on established and new target class subcommittees collaborating with in-house curators. Most information comes from journal articles, but we now also index kinase cross-screening panels. Targets are specified by UniProtKB IDs. Small molecules are defined by PubChem Compound Identifiers (CIDs); ligand capture also includes peptides and clinical antibodies. We have extended the capture of ligands and targets linked via published quantitative binding data (e.g. Ki, IC50 or Kd). The resulting pharmacological relationship network now defines a data-supported druggable genome encompassing 7% of human proteins. The database also provides an expanded substrate for the biennially published compendium, the Concise Guide to PHARMACOLOGY. This article covers content increase, entity analysis, revised curation strategies, new website features and expanded download options.</t>
  </si>
  <si>
    <t>{"CorpusId": 6786671, "DBLP": "journals/nar/SouthanSBFPABDM16", "DOI": "10.1093/nar/gkv1037", "MAG": "2194756172", "PubMed": "26464438", "PubMedCentral": "4702778"}</t>
  </si>
  <si>
    <t>10.1093/nar/gkv1037</t>
  </si>
  <si>
    <t>https://academic.oup.com/nar/article-pdf/44/D1/D1054/16661201/gkv1037.pdf</t>
  </si>
  <si>
    <t>D1054 - D1068</t>
  </si>
  <si>
    <t>57; 42; 23; 53; 55; 69; 29; 77; 41; 76; 67; 157; 85; 61; 5</t>
  </si>
  <si>
    <t>59.8</t>
  </si>
  <si>
    <t>846fcf30dc75f04886092891e754791e9704f69f</t>
  </si>
  <si>
    <t>Toward developing a systematic approach to generate benchmark datasets for intrusion detection</t>
  </si>
  <si>
    <t>2012-05-01</t>
  </si>
  <si>
    <t>1246</t>
  </si>
  <si>
    <t>{"CorpusId": 19232355, "DBLP": "journals/compsec/ShiraviSTG12", "DOI": "10.1016/j.cose.2011.12.012", "MAG": "2031163547"}</t>
  </si>
  <si>
    <t>10.1016/j.cose.2011.12.012</t>
  </si>
  <si>
    <t>357-374</t>
  </si>
  <si>
    <t>3; 3; 8; 53</t>
  </si>
  <si>
    <t>16.75</t>
  </si>
  <si>
    <t>894cffb4f8351679f8ab52f861f62e5d825265c5</t>
  </si>
  <si>
    <t>Adaptation, Learning, and Optimization over Networks</t>
  </si>
  <si>
    <t>2014-06-30</t>
  </si>
  <si>
    <t>777</t>
  </si>
  <si>
    <t>{"CorpusId": 207179167, "DBLP": "journals/ftml/Sayed14", "DOI": "10.1561/2200000051", "MAG": "2012445782"}</t>
  </si>
  <si>
    <t>10.1561/2200000051</t>
  </si>
  <si>
    <t>https://infoscience.epfl.ch/record/233482/files/problems.pdf</t>
  </si>
  <si>
    <t>311-801</t>
  </si>
  <si>
    <t>491</t>
  </si>
  <si>
    <t>283</t>
  </si>
  <si>
    <t>0ef9ae1ce8c91ce671a211bdda792bf3752d1522</t>
  </si>
  <si>
    <t>A Deep Learning Approach for Intrusion Detection Using Recurrent Neural Networks</t>
  </si>
  <si>
    <t>2017-10-12</t>
  </si>
  <si>
    <t>1396</t>
  </si>
  <si>
    <t>Intrusion detection plays an important role in ensuring information security, and the key technology is to accurately identify various attacks in the network. In this paper, we explore how to model an intrusion detection system based on deep learning, and we propose a deep learning approach for intrusion detection using recurrent neural networks (RNN-IDS). Moreover, we study the performance of the model in binary classification and multiclass classification, and the number of neurons and different learning rate impacts on the performance of the proposed model. We compare it with those of J48, artificial neural network, random forest, support vector machine, and other machine learning methods proposed by previous researchers on the benchmark data set. The experimental results show that RNN-IDS is very suitable for modeling a classification model with high accuracy and that its performance is superior to that of traditional machine learning classification methods in both binary and multiclass classification. The RNN-IDS model improves the accuracy of the intrusion detection and provides a new research method for intrusion detection.</t>
  </si>
  <si>
    <t>{"CorpusId": 1946600, "DBLP": "journals/access/YinZFH17", "DOI": "10.1109/ACCESS.2017.2762418", "MAG": "2762776925"}</t>
  </si>
  <si>
    <t>10.1109/access.2017.2762418</t>
  </si>
  <si>
    <t>https://doi.org/10.1109/access.2017.2762418</t>
  </si>
  <si>
    <t>21954-21961</t>
  </si>
  <si>
    <t>3; 18; 6; 2</t>
  </si>
  <si>
    <t>7.25</t>
  </si>
  <si>
    <t>a3bfe87159938a96d3f2037ff0fe10adca0d21b0</t>
  </si>
  <si>
    <t>Fingerprinting Electronic Control Units for Vehicle Intrusion Detection</t>
  </si>
  <si>
    <t>2016-08-10</t>
  </si>
  <si>
    <t>495</t>
  </si>
  <si>
    <t>{"CorpusId": 14729648, "DBLP": "conf/uss/ChoS16", "MAG": "2464037380"}</t>
  </si>
  <si>
    <t>911-927</t>
  </si>
  <si>
    <t>11; 101</t>
  </si>
  <si>
    <t>62a6c0bc00825f49adf4e28284f76c5c4b310f5d</t>
  </si>
  <si>
    <t>SVELTE: Real-time intrusion detection in the Internet of Things</t>
  </si>
  <si>
    <t>2013-11-01</t>
  </si>
  <si>
    <t>846</t>
  </si>
  <si>
    <t>{"CorpusId": 16113507, "DBLP": "journals/adhoc/RazaWV13", "DOI": "10.1016/j.adhoc.2013.04.014", "MAG": "1976262362"}</t>
  </si>
  <si>
    <t>10.1016/j.adhoc.2013.04.014</t>
  </si>
  <si>
    <t>2661-2674</t>
  </si>
  <si>
    <t>26; 3; 53</t>
  </si>
  <si>
    <t>27.33333333333333</t>
  </si>
  <si>
    <t>5d30653a2937f6b58ed29aa14303d74477090e1c</t>
  </si>
  <si>
    <t>Intrusion Detection in 802.11 Networks: Empirical Evaluation of Threats and a Public Dataset</t>
  </si>
  <si>
    <t>2016-01-21</t>
  </si>
  <si>
    <t>444</t>
  </si>
  <si>
    <t>{"CorpusId": 8407788, "DBLP": "journals/comsur/KoliasKSG16", "DOI": "10.1109/COMST.2015.2402161", "MAG": "2028070713"}</t>
  </si>
  <si>
    <t>10.1109/comst.2015.2402161</t>
  </si>
  <si>
    <t>184-208</t>
  </si>
  <si>
    <t>18; 43; 40; 43</t>
  </si>
  <si>
    <t>2efa356db7a6f866736b40b92dde41e58b6dc91b</t>
  </si>
  <si>
    <t>Model-free control</t>
  </si>
  <si>
    <t>2013-05-30</t>
  </si>
  <si>
    <t>934</t>
  </si>
  <si>
    <t>‘Model-free control’and the corresponding ‘intelligent’ PID controllers (iPIDs), which already had many successful concrete applications, are presented here for the first time in an unified manner, where the new advances are taken into account. The basics of model-free control is now employing some old functional analysis and some elementary differential algebra. The estimation techniques become quite straightforward via a recent online parameter identification approach. The importance of iPIs and especially of iPs is deduced from the presence of friction. The strange industrial ubiquity of classic PIDs and the great difficulty for tuning them in complex situations is deduced, via an elementary sampling, from their connections with iPIDs. Several numerical simulations are presented which include some infinite-dimensional systems. They demonstrate not only the power of our intelligent controllers but also the great simplicity for tuning them.</t>
  </si>
  <si>
    <t>{"ArXiv": "1305.7085", "CorpusId": 15974344, "DBLP": "journals/ijcon/FliessJ13", "DOI": "10.1080/00207179.2013.810345", "MAG": "2019375098"}</t>
  </si>
  <si>
    <t>10.1080/00207179.2013.810345</t>
  </si>
  <si>
    <t>https://arxiv.org/pdf/1305.7085</t>
  </si>
  <si>
    <t>2228 - 2252</t>
  </si>
  <si>
    <t>51; 31</t>
  </si>
  <si>
    <t>78f7c6818c97383b5ae4b61664ffc6cde7974466</t>
  </si>
  <si>
    <t>A Deep Learning Approach to Network Intrusion Detection</t>
  </si>
  <si>
    <t>2018-01-23</t>
  </si>
  <si>
    <t>1188</t>
  </si>
  <si>
    <t>{"CorpusId": 3306364, "DBLP": "journals/tetci/ShoneTPS18", "DOI": "10.1109/TETCI.2017.2772792", "MAG": "2783741806"}</t>
  </si>
  <si>
    <t>10.1109/tetci.2017.2772792</t>
  </si>
  <si>
    <t>https://researchonline.ljmu.ac.uk/id/eprint/7479/1/A_Deep_Learning_Approach_to_Network_Intrusion_Detection_FINAL.pdf</t>
  </si>
  <si>
    <t>41-50</t>
  </si>
  <si>
    <t>10; 0; 4; 4</t>
  </si>
  <si>
    <t>886800987225c3a5d4c8bbf1d69294de9b891d48</t>
  </si>
  <si>
    <t>Malware traffic classification using convolutional neural network for representation learning</t>
  </si>
  <si>
    <t>770</t>
  </si>
  <si>
    <t>{"CorpusId": 3725747, "DBLP": "conf/icoin/WangZZYS17", "DOI": "10.1109/ICOIN.2017.7899588", "MAG": "2606697812"}</t>
  </si>
  <si>
    <t>10.1109/icoin.2017.7899588</t>
  </si>
  <si>
    <t>712-717</t>
  </si>
  <si>
    <t>8; 7; 8; 7; 9</t>
  </si>
  <si>
    <t>7.8</t>
  </si>
  <si>
    <t>2a56ca15bea4f9a911835bfd08a2f4526091d785</t>
  </si>
  <si>
    <t>The evaluation of Network Anomaly Detection Systems: Statistical analysis of the UNSW-NB15 data set and the comparison with the KDD99 data set</t>
  </si>
  <si>
    <t>2016-04-01</t>
  </si>
  <si>
    <t>{"CorpusId": 27653988, "DBLP": "journals/isjgp/MoustafaS16", "DOI": "10.1080/19393555.2015.1125974", "MAG": "2334853001"}</t>
  </si>
  <si>
    <t>10.1080/19393555.2015.1125974</t>
  </si>
  <si>
    <t>18 - 31</t>
  </si>
  <si>
    <t>355692eb86b06a0a23af45c106cfb02c95bf380e</t>
  </si>
  <si>
    <t>A Comparative Evaluation of Unsupervised Anomaly Detection Algorithms for Multivariate Data</t>
  </si>
  <si>
    <t>2016-04-19</t>
  </si>
  <si>
    <t>JournalArticle; Study</t>
  </si>
  <si>
    <t>872</t>
  </si>
  <si>
    <t>Anomaly detection is the process of identifying unexpected items or events in datasets, which differ from the norm. In contrast to standard classification tasks, anomaly detection is often applied on unlabeled data, taking only the internal structure of the dataset into account. This challenge is known as unsupervised anomaly detection and is addressed in many practical applications, for example in network intrusion detection, fraud detection as well as in the life science and medical domain. Dozens of algorithms have been proposed in this area, but unfortunately the research community still lacks a comparative universal evaluation as well as common publicly available datasets. These shortcomings are addressed in this study, where 19 different unsupervised anomaly detection algorithms are evaluated on 10 different datasets from multiple application domains. By publishing the source code and the datasets, this paper aims to be a new well-funded basis for unsupervised anomaly detection research. Additionally, this evaluation reveals the strengths and weaknesses of the different approaches for the first time. Besides the anomaly detection performance, computational effort, the impact of parameter settings as well as the global/local anomaly detection behavior is outlined. As a conclusion, we give an advise on algorithm selection for typical real-world tasks.</t>
  </si>
  <si>
    <t>{"CorpusId": 3562477, "DOI": "10.1371/journal.pone.0152173", "MAG": "2337344967", "PubMed": "27093601", "PubMedCentral": "4836738"}</t>
  </si>
  <si>
    <t>10.1371/journal.pone.0152173</t>
  </si>
  <si>
    <t>https://journals.plos.org/plosone/article/file?id=10.1371/journal.pone.0152173&amp;type=printable</t>
  </si>
  <si>
    <t>13; 33</t>
  </si>
  <si>
    <t>39c2ae603902ea664adf9e74914117f79df2e612</t>
  </si>
  <si>
    <t>Large Scale Image Completion via Co-Modulated Generative Adversarial Networks</t>
  </si>
  <si>
    <t>2021-03-18</t>
  </si>
  <si>
    <t>308</t>
  </si>
  <si>
    <t>Numerous task-specific variants of conditional generative adversarial networks have been developed for image completion. Yet, a serious limitation remains that all existing algorithms tend to fail when handling large-scale missing regions. To overcome this challenge, we propose a generic new approach that bridges the gap between image-conditional and recent modulated unconditional generative architectures via co-modulation of both conditional and stochastic style representations. Also, due to the lack of good quantitative metrics for image completion, we propose the new Paired/Unpaired Inception Discriminative Score (P-IDS/U-IDS), which robustly measures the perceptual fidelity of inpainted images compared to real images via linear separability in a feature space. Experiments demonstrate superior performance in terms of both quality and diversity over state-of-the-art methods in free-form image completion and easy generalization to image-to-image translation. Code is available at https://github.com/zsyzzsoft/co-mod-gan.</t>
  </si>
  <si>
    <t>{"ArXiv": "2103.10428", "CorpusId": 232269984, "DBLP": "journals/corr/abs-2103-10428"}</t>
  </si>
  <si>
    <t>10; 22; 4; 3; 3; 31; 24</t>
  </si>
  <si>
    <t>13.85714285714286</t>
  </si>
  <si>
    <t>d05d86db86a4ac0d95e6dcd951b42a9651939793</t>
  </si>
  <si>
    <t>Deep Learning Approach for Intelligent Intrusion Detection System</t>
  </si>
  <si>
    <t>2019-04-03</t>
  </si>
  <si>
    <t>1191</t>
  </si>
  <si>
    <t>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</si>
  <si>
    <t>{"CorpusId": 115196194, "DBLP": "journals/access/VinayakumarASPA19", "DOI": "10.1109/ACCESS.2019.2895334", "MAG": "2926701059"}</t>
  </si>
  <si>
    <t>10.1109/access.2019.2895334</t>
  </si>
  <si>
    <t>https://ieeexplore.ieee.org/ielx7/6287639/8600701/08681044.pdf</t>
  </si>
  <si>
    <t>41525-41550</t>
  </si>
  <si>
    <t>29; 77; 1; 29; 12; 25</t>
  </si>
  <si>
    <t>28.83333333333333</t>
  </si>
  <si>
    <t>b3acb6f183b5f4b651f53c0eec5cb5c805224ac1</t>
  </si>
  <si>
    <t>Efficient GAN-Based Anomaly Detection</t>
  </si>
  <si>
    <t>2018-02-12</t>
  </si>
  <si>
    <t>66</t>
  </si>
  <si>
    <t>573</t>
  </si>
  <si>
    <t>Generative adversarial networks (GANs) are able to model the complex highdimensional distributions of real-world data, which suggests they could be effective for anomaly detection. However, few works have explored the use of GANs for the anomaly detection task. We leverage recently developed GAN models for anomaly detection, and achieve state-of-the-art performance on image and network intrusion datasets, while being several hundred-fold faster at test time than the only published GAN-based method.</t>
  </si>
  <si>
    <t>{"ArXiv": "1802.06222", "CorpusId": 3305321, "DBLP": "journals/corr/abs-1802-06222", "MAG": "2787947370"}</t>
  </si>
  <si>
    <t>9; 26; 12; 5; 40</t>
  </si>
  <si>
    <t>18.4</t>
  </si>
  <si>
    <t>16c1244bb58da1dead5db0ea5cff371e44bbd08e</t>
  </si>
  <si>
    <t>In-vehicle network intrusion detection using deep convolutional neural network</t>
  </si>
  <si>
    <t>2020-01-01</t>
  </si>
  <si>
    <t>461</t>
  </si>
  <si>
    <t>{"CorpusId": 208091240, "DBLP": "journals/vcomm/SongWK20", "DOI": "10.1016/j.vehcom.2019.100198", "MAG": "2979202956"}</t>
  </si>
  <si>
    <t>10.1016/j.vehcom.2019.100198</t>
  </si>
  <si>
    <t>8; 20; 33</t>
  </si>
  <si>
    <t>20.33333333333333</t>
  </si>
  <si>
    <t>f00d9a1533b296a878656db4589246a0e1597db0</t>
  </si>
  <si>
    <t>A Study on NSL-KDD Dataset for Intrusion Detection System Based on Classification Algorithms</t>
  </si>
  <si>
    <t>61</t>
  </si>
  <si>
    <t>623</t>
  </si>
  <si>
    <t>{"CorpusId": 16298036, "MAG": "2938241353"}</t>
  </si>
  <si>
    <t>1; 3</t>
  </si>
  <si>
    <t>21b7dea0b9751c6bc7db2086109b6b1a4f9e60b5</t>
  </si>
  <si>
    <t>GIDS: GAN based Intrusion Detection System for In-Vehicle Network</t>
  </si>
  <si>
    <t>345</t>
  </si>
  <si>
    <t>A Controller Area Network (CAN) bus in the vehicles is an efficient standard bus enabling communication between all Electronic Control Units (ECU). However, CAN bus is not enough to protect itself because of lack of security features. To detect suspicious network connections effectively, the intrusion detection system (IDS) is strongly required. Unlike the traditional IDS for Internet, there are small number of known attack signatures for vehicle networks. Also, IDS for vehicle requires high accuracy because any false-positive error can seriously affect the safety of the driver. To solve this problem, we propose a novel IDS model for in-vehicle networks, GIDS (GAN based Intrusion Detection System) using deep-learning model, Generative Adversarial Nets. GIDS can learn to detect unknown attacks using only normal data. As experiment result, GIDS shows high detection accuracy for four unknown attacks.</t>
  </si>
  <si>
    <t>{"ArXiv": "1907.07377", "CorpusId": 53234493, "DBLP": "conf/pst/SeoSK18", "DOI": "10.1109/PST.2018.8514157", "MAG": "2959120033"}</t>
  </si>
  <si>
    <t>10.1109/pst.2018.8514157</t>
  </si>
  <si>
    <t>https://arxiv.org/pdf/1907.07377</t>
  </si>
  <si>
    <t>2; 8; 33</t>
  </si>
  <si>
    <t>7eebae9c294f68d8061d921e7c2bb76a06b15889</t>
  </si>
  <si>
    <t>A C/C++ Code Vulnerability Dataset with Code Changes and CVE Summaries</t>
  </si>
  <si>
    <t>2020-05-01</t>
  </si>
  <si>
    <t>We collected a large C/C++ code vulnerability dataset from open-source Github projects, namely Big-Vul. We crawled the public Common Vulnerabilities and Exposures (CVE) database and CVE-related source code repositories. Specifically, we collected the descriptive information of the vulnerabilities from the CVE database, e.g., CVE IDs, CVE severity scores, and CVE summaries. With the CVE information and its related published Github code repository links, we downloaded all of the code repositories and extracted vulnerability related code changes. In total, Big-Vul contains 3,754 code vulnerabilities spanning 91 different vulnerability types. All these code vulnerabilities are extracted from 348 Github projects. All information is stored in the CSV format. We linked the code changes with the CVE descriptive information. Thus, our Big-Vul can be used for various research topics, e.g., detecting and fixing vulnerabilities, analyzing the vulnerability related code changes. Big-Vul is publicly available on Github.</t>
  </si>
  <si>
    <t>{"CorpusId": 221784842, "DBLP": "conf/msr/FanL0N20", "DOI": "10.1145/3379597.3387501", "MAG": "3091588759"}</t>
  </si>
  <si>
    <t>10.1145/3379597.3387501</t>
  </si>
  <si>
    <t>508-512</t>
  </si>
  <si>
    <t>1; 13; 17; 50</t>
  </si>
  <si>
    <t>20.25</t>
  </si>
  <si>
    <t>0cfe631a0f99242a751a5a8bfd28dfb18f37f23e</t>
  </si>
  <si>
    <t>Anomaly Detection in Streams with Extreme Value Theory</t>
  </si>
  <si>
    <t>2017-08-13</t>
  </si>
  <si>
    <t>485</t>
  </si>
  <si>
    <t>{"CorpusId": 22057, "DBLP": "conf/kdd/SifferFTL17", "DOI": "10.1145/3097983.3098144", "MAG": "2743617586"}</t>
  </si>
  <si>
    <t>10.1145/3097983.3098144</t>
  </si>
  <si>
    <t>https://hal.archives-ouvertes.fr/hal-01640325/file/siffer_kdd_17.pdf</t>
  </si>
  <si>
    <t>3; 48; 20; 11</t>
  </si>
  <si>
    <t>20.5</t>
  </si>
  <si>
    <t>17750e76d4d3a33b1eada72f39238acd0246bd37</t>
  </si>
  <si>
    <t>A comprehensive study on deep learning bug characteristics</t>
  </si>
  <si>
    <t>2019-06-03</t>
  </si>
  <si>
    <t>Book; JournalArticle</t>
  </si>
  <si>
    <t>320</t>
  </si>
  <si>
    <t>Deep learning has gained substantial popularity in recent years. Developers mainly rely on libraries and tools to add deep learning capabilities to their software. What kinds of bugs are frequently found in such software? What are the root causes of such bugs? What impacts do such bugs have? Which stages of deep learning pipeline are more bug prone? Are there any antipatterns? Understanding such characteristics of bugs in deep learning software has the potential to foster the development of better deep learning platforms, debugging mechanisms, development practices, and encourage the development of analysis and verification frameworks. Therefore, we study 2716 high-quality posts from Stack Overflow and 500 bug fix commits from Github about five popular deep learning libraries Caffe, Keras, Tensorflow, Theano, and Torch to understand the types of bugs, root causes of bugs, impacts of bugs, bug-prone stage of deep learning pipeline as well as whether there are some common antipatterns found in this buggy software. The key findings of our study include: data bug and logic bug are the most severe bug types in deep learning software appearing more than 48% of the times, major root causes of these bugs are Incorrect Model Parameter (IPS) and Structural Inefficiency (SI) showing up more than 43% of the times.We have also found that the bugs in the usage of deep learning libraries have some common antipatterns.</t>
  </si>
  <si>
    <t>{"ArXiv": "1906.01388", "CorpusId": 174797734, "DBLP": "conf/sigsoft/IslamNPR19", "DOI": "10.1145/3338906.3338955", "MAG": "2948096068"}</t>
  </si>
  <si>
    <t>10.1145/3338906.3338955</t>
  </si>
  <si>
    <t>https://dl.acm.org/doi/pdf/10.1145/3338906.3338955</t>
  </si>
  <si>
    <t>6; 5; 9; 31</t>
  </si>
  <si>
    <t>12.75</t>
  </si>
  <si>
    <t>47c27885c80ded97209f39e257ff6c4ab1eb34d6</t>
  </si>
  <si>
    <t>DGIdb 3.0: a redesign and expansion of the drug–gene interaction database</t>
  </si>
  <si>
    <t>2017-10-09</t>
  </si>
  <si>
    <t>729</t>
  </si>
  <si>
    <t>The Drug-Gene Interaction Database (DGIdb, www.dgidb.org) consolidates, organizes, and presents drug-gene interactions and gene druggability information from papers, databases, and web resources. DGIdb normalizes content from more than thirty disparate sources and allows for user-friendly advanced browsing, searching and filtering for ease of access through an intuitive web user interface, application programming interface (API), and public cloud-based server image. DGIdb v3.0 represents a major update of the database. Nine of the previously included twenty-eight sources were updated. Six new resources were added, bringing the total number of sources to thirty-three. These updates and additions of sources have cumulatively resulted in 56,309 interaction claims. This has also substantially expanded the comprehensive catalogue of druggable genes and antineoplastic drug-gene interactions included in the DGIdb. Along with these content updates, v3.0 has received a major overhaul of its codebase, including an updated user interface, preset interaction search filters, consolidation of interaction information into interaction groups, greatly improved search response times, and upgrading the underlying web application framework. In addition, the expanded API features new endpoints which allow users to extract more detailed information about queried drugs, genes, and drug-gene interactions, including listings of PubMed IDs (PMIDs), interaction type, and other interaction metadata.</t>
  </si>
  <si>
    <t>{"CorpusId": 3559342, "DOI": "10.1101/200527", "MAG": "2761386711", "PubMed": "29156001", "PubMedCentral": "5888642"}</t>
  </si>
  <si>
    <t>10.1101/200527</t>
  </si>
  <si>
    <t>https://academic.oup.com/nar/article-pdf/46/D1/D1068/23162452/gkx1143.pdf</t>
  </si>
  <si>
    <t>D1068 - D1073</t>
  </si>
  <si>
    <t>11; 24; 7; 11; 12; 1; 3; 1; 67; 66</t>
  </si>
  <si>
    <t>20.3</t>
  </si>
  <si>
    <t>85a2ba580f6faa73f38672b0517cbcdeb84cf6c5</t>
  </si>
  <si>
    <t>VERI-Wild: A Large Dataset and a New Method for Vehicle Re-Identification in the Wild</t>
  </si>
  <si>
    <t>2019-06-01</t>
  </si>
  <si>
    <t>261</t>
  </si>
  <si>
    <t>Vehicle Re-identification (ReID) is of great significance to the intelligent transportation and public security. However, many challenging issues of Vehicle ReID in real-world scenarios have not been fully investigated, e.g., the high viewpoint variations, extreme illumination conditions, complex backgrounds, and different camera sources. To promote the research of vehicle ReID in the wild, we collect a new dataset called VERI-Wild with the following distinct features: 1) The vehicle images are captured by a large surveillance system containing 174 cameras covering a large urban district (more than 200km^2) The camera network continuously captures vehicles for 24 hours in each day and lasts for 1 month. 3) It is the first vehicle ReID dataset that is collected from unconstrained conditionsns. It is also a large dataset containing more than 400 thousand images of 40 thousand vehicle IDs. In this paper, we also propose a new method for vehicle ReID, in which, the ReID model is coupled into a Feature Distance Adversarial Network (FDA-Net), and a novel feature distance adversary scheme is designed to generate hard negative samples in feature space to facilitate ReID model training. The comprehensive results show the effectiveness of our method on the proposed dataset and the other two existing datasets.</t>
  </si>
  <si>
    <t>{"CorpusId": 195822757, "DBLP": "conf/cvpr/LouB0WD19", "DOI": "10.1109/CVPR.2019.00335", "MAG": "2953759675"}</t>
  </si>
  <si>
    <t>10.1109/cvpr.2019.00335</t>
  </si>
  <si>
    <t>3230-3238</t>
  </si>
  <si>
    <t>19; 15; 15; 44; 50</t>
  </si>
  <si>
    <t>28.6</t>
  </si>
  <si>
    <t>25deaf0adeb9ea455a2f2d211ee86890eb64b69b</t>
  </si>
  <si>
    <t>A Deep Learning Approach for Network Intrusion Detection System</t>
  </si>
  <si>
    <t>2016-05-24</t>
  </si>
  <si>
    <t>1061</t>
  </si>
  <si>
    <t>A Network Intrusion Detection System (NIDS) helps system administrators to detect network security breaches in 
their organizations. However, many challenges arise while 
developing a flexible and efficient NIDS for unforeseen and unpredictable attacks. We propose a deep learning based approach for developing such an efficient and flexible NIDS. 
We use Self-taught Learning (STL), a deep learning based technique, on NSL-KDD - a benchmark dataset for network 
intrusion. We present the performance of our approach and compare it with a few previous work. Compared metrics include accuracy, precision, recall, and f-measure values.</t>
  </si>
  <si>
    <t>{"CorpusId": 31835902, "DBLP": "conf/bionetics/JavaidNSA15", "DOI": "10.4108/eai.3-12-2015.2262516", "MAG": "2584770732"}</t>
  </si>
  <si>
    <t>10.4108/eai.3-12-2015.2262516</t>
  </si>
  <si>
    <t>http://eudl.eu/pdf/10.4108/eai.3-12-2015.2262516</t>
  </si>
  <si>
    <t>21-26</t>
  </si>
  <si>
    <t>22; 15; 19; 25</t>
  </si>
  <si>
    <t>d827388ec32e4da0fce0beefe21fd97da83d4485</t>
  </si>
  <si>
    <t>Edge-IIoTset: A New Comprehensive Realistic Cyber Security Dataset of IoT and IIoT Applications for Centralized and Federated Learning</t>
  </si>
  <si>
    <t>2022-01-27</t>
  </si>
  <si>
    <t>524</t>
  </si>
  <si>
    <t>In this paper, we propose a new comprehensive realistic cyber security dataset of IoT and IIoT applications, called Edge-IIoTset, which can be used by machine learning-based intrusion detection systems in two different modes, namely, centralized and federated learning. Specifically, the dataset has been generated using a purpose-built IoT/IIoT testbed with a large representative set of devices, sensors, protocols and cloud/edge configurations. The IoT data are generated from various IoT devices (more than 10 types) such as Low-cost digital sensors for sensing temperature and humidity, Ultrasonic sensor, Water level detection sensor, pH Sensor Meter, Soil Moisture sensor, Heart Rate Sensor, Flame Sensor, etc.). Furthermore, we identify and analyze fourteen attacks related to IoT and IIoT connectivity protocols, which are categorized into five threats, including, DoS/DDoS attacks, Information gathering, Man in the middle attacks, Injection attacks, and Malware attacks. In addition, we extract features obtained from different sources, including alerts, system resources, logs, network traffic, and propose new 61 features with high correlations from 1176 found features. After processing and analyzing the proposed realistic cyber security dataset, we provide a primary exploratory data analysis and evaluate the performance of machine learning approaches (i.e., traditional machine learning as well as deep learning) in both centralized and federated learning modes. The Edge-IIoTset dataset can be publicly accessed from [1].</t>
  </si>
  <si>
    <t>{"CorpusId": 246367315, "DBLP": "journals/access/FerragFHMJ22", "DOI": "10.1109/ACCESS.2022.3165809"}</t>
  </si>
  <si>
    <t>10.1109/access.2022.3165809</t>
  </si>
  <si>
    <t>https://ieeexplore.ieee.org/ielx7/6287639/9668973/09751703.pdf</t>
  </si>
  <si>
    <t>41; 8; 6; 14; 33</t>
  </si>
  <si>
    <t>20.4</t>
  </si>
  <si>
    <t>91cade2d5641e72dc88d30883215ef1a526faa57</t>
  </si>
  <si>
    <t>BLAKE2: Simpler, Smaller, Fast as MD5</t>
  </si>
  <si>
    <t>2013-06-25</t>
  </si>
  <si>
    <t>322</t>
  </si>
  <si>
    <t>{"CorpusId": 3019276, "DBLP": "conf/acns/AumassonNWW13", "DOI": "10.1007/978-3-642-38980-1_8", "MAG": "3031013482"}</t>
  </si>
  <si>
    <t>10.1007/978-3-642-38980-1_8</t>
  </si>
  <si>
    <t>https://link.springer.com/content/pdf/10.1007%2F978-3-642-38980-1_8.pdf</t>
  </si>
  <si>
    <t>23; 12; 5; 2</t>
  </si>
  <si>
    <t>50dfd272a4a7da2b643f80064eec6192d0e7279c</t>
  </si>
  <si>
    <t>PhotoMaker: Customizing Realistic Human Photos via Stacked ID Embedding</t>
  </si>
  <si>
    <t>2023-12-07</t>
  </si>
  <si>
    <t>Recent advances in text-to-image generation have made remarkable progress in synthesizing realistic human photos conditioned on given text prompts. However, existing per-sonalized generation methods cannot simultaneously sat-isfy the requirements of high efficiency, promising identity (ID) fidelity, and flexible text controllability. In this work, we introduce PhotoMaker, an efficient personalized text-to-image generation method, which mainly encodes an arbitrary number of input ID images into a stack ID embed-ding for preserving ID information. Such an embedding, serving as a unified ID representation, can not only encap-sulate the characteristics of the same input ID comprehen-sively, but also accommodate the characteristics of differ-ent IDs for subsequent integration. This paves the way for more intriguing and practically valuable applications. Be-sides, to drive the training of our PhotoMaker, we propose an ID-oriented data construction pipeline to assemble the training data. Under the nourishment of the dataset constructed through the proposed pipeline, our PhotoMaker demonstrates better ID preservation ability than test-time fine-tuning based methods, yet provides significant speed improvements, high-quality generation results, strong gen-eralization capabilities, and a wide range of applications.</t>
  </si>
  <si>
    <t>{"ArXiv": "2312.04461", "CorpusId": 266052536, "DBLP": "journals/corr/abs-2312-04461", "DOI": "10.1109/CVPR52733.2024.00825"}</t>
  </si>
  <si>
    <t>10.1109/cvpr52733.2024.00825</t>
  </si>
  <si>
    <t>https://arxiv.org/pdf/2312.04461</t>
  </si>
  <si>
    <t>8640-8650</t>
  </si>
  <si>
    <t>1; 4; 24; 21; 2; 23</t>
  </si>
  <si>
    <t>1a54a6486d8e4c906e6a334157ee6832ad01871c</t>
  </si>
  <si>
    <t>Deep learning for cyber security intrusion detection: Approaches, datasets, and comparative study</t>
  </si>
  <si>
    <t>785</t>
  </si>
  <si>
    <t>{"CorpusId": 210699215, "DBLP": "journals/istr/FerragMMJ20", "DOI": "10.1016/j.jisa.2019.102419", "MAG": "2991507433"}</t>
  </si>
  <si>
    <t>10.1016/j.jisa.2019.102419</t>
  </si>
  <si>
    <t>https://dora.dmu.ac.uk/bitstreams/93f78d74-c01b-46e3-9123-88d2f2d5376e/download</t>
  </si>
  <si>
    <t>41; 41; 19; 33</t>
  </si>
  <si>
    <t>bea985ec6e9dd5b46fb04f3e7774559ba9d96f83</t>
  </si>
  <si>
    <t>De-duplication of database search results for systematic reviews in EndNote.</t>
  </si>
  <si>
    <t>2016-09-12</t>
  </si>
  <si>
    <t>1394</t>
  </si>
  <si>
    <t>When conducting exhaustive searches for systematic reviews, information professionals search multiple databases with overlapping content [1–4]. They typically remove duplicate records to reduce the reviewers' workload associated with screening titles and abstracts; sometimes the reviewers remove the duplicates. Several articles have been published recently on de-duplication methods. In the authors' opinion, these methods are either very time consuming [5] or impractical, as they require uploading large files to an online platform [6, 7]. A recent overview article compared existing software programs but found that none was truly satisfactory [8]. 
Unique identifiers for journal articles are digital object identifiers (DOIs) and PubMed IDs (PMIDs). However, these identifiers are not present in every database. When they are present, they often cannot be exported easily. Thus, they cannot be relied upon to identify duplicates. An alternative involves using pagination, because the often large page numbers in scientific journals, in combination with other fields, can serve as a type of unique identifier. However, this is complicated by variations in the way page numbers are stored. Most biomedical databases use a long format (e.g., 1008–1012), but two important databases (MEDLINE and the Cochrane Library) use an abbreviated one (e.g., 1008–12).</t>
  </si>
  <si>
    <t>{"CorpusId": 29752218, "DOI": "10.3163/1536-5050.104.3.014", "MAG": "2471940872", "PubMed": "27366130"}</t>
  </si>
  <si>
    <t>10.3163/1536-5050.104.3.014</t>
  </si>
  <si>
    <t>https://jmla.pitt.edu/ojs/jmla/article/download/24/18</t>
  </si>
  <si>
    <t xml:space="preserve">
          240-3
        </t>
  </si>
  <si>
    <t>50; 20; 3; 1; 12</t>
  </si>
  <si>
    <t>17.2</t>
  </si>
  <si>
    <t>463b5d0ddade077182fce105f95ead0213fe484d</t>
  </si>
  <si>
    <t>BlindBox: Deep Packet Inspection over Encrypted Traffic</t>
  </si>
  <si>
    <t>2015-08-17</t>
  </si>
  <si>
    <t>380</t>
  </si>
  <si>
    <t>{"CorpusId": 5797773, "DBLP": "conf/sigcomm/SherryLPR15", "DOI": "10.1145/2785956.2787502", "MAG": "2062805799"}</t>
  </si>
  <si>
    <t>10.1145/2785956.2787502</t>
  </si>
  <si>
    <t>https://dl.acm.org/doi/pdf/10.1145/2785956.2787502</t>
  </si>
  <si>
    <t>21; 9; 46; 63</t>
  </si>
  <si>
    <t>34.75</t>
  </si>
  <si>
    <t>d327a5f065a3e9ceaeae001c156dd65a71f4b405</t>
  </si>
  <si>
    <t>Faster top-k document retrieval using block-max indexes</t>
  </si>
  <si>
    <t>2011-07-24</t>
  </si>
  <si>
    <t>241</t>
  </si>
  <si>
    <t>{"CorpusId": 216307, "DBLP": "conf/sigir/DingS11", "DOI": "10.1145/2009916.2010048", "MAG": "1980344365"}</t>
  </si>
  <si>
    <t>10.1145/2009916.2010048</t>
  </si>
  <si>
    <t>8; 43</t>
  </si>
  <si>
    <t>65313425b7cd5658f7c488cabf51c9197ebac99e</t>
  </si>
  <si>
    <t>Hawkeye: Towards a Desired Directed Grey-box Fuzzer</t>
  </si>
  <si>
    <t>2018-10-08</t>
  </si>
  <si>
    <t>298</t>
  </si>
  <si>
    <t>Grey-box fuzzing is a practically effective approach to test real-world programs. However, most existing grey-box fuzzers lack directedness, i.e. the capability of executing towards user-specified target sites in the program. To emphasize existing challenges in directed fuzzing, we propose Hawkeye to feature four desired properties of directed grey-box fuzzers. Owing to a novel static analysis on the program under test and the target sites, Hawkeye precisely collects the information such as the call graph, function and basic block level distances to the targets. During fuzzing, Hawkeye evaluates exercised seeds based on both static information and the execution traces to generate the dynamic metrics, which are then used for seed prioritization, power scheduling and adaptive mutating. These strategies help Hawkeye to achieve better directedness and gravitate towards the target sites. We implemented Hawkeye as a fuzzing framework and evaluated it on various real-world programs under different scenarios. The experimental results showed that Hawkeye can reach the target sites and reproduce the crashes much faster than state-of-the-art grey-box fuzzers such as AFL and AFLGo. Specially, Hawkeye can reduce the time to exposure for certain vulnerabilities from about 3.5 hours to 0.5 hour. By now, Hawkeye has detected more than 41 previously unknown crashes in projects such as Oniguruma, MJS with the target sites provided by vulnerability prediction tools; all these crashes are confirmed and 15 of them have been assigned CVE IDs.</t>
  </si>
  <si>
    <t>{"CorpusId": 53109507, "DBLP": "conf/ccs/ChenXLCXWL18", "DOI": "10.1145/3243734.3243849", "MAG": "2891235722"}</t>
  </si>
  <si>
    <t>10.1145/3243734.3243849</t>
  </si>
  <si>
    <t>https://ink.library.smu.edu.sg/context/sis_research/article/8066/viewcontent/3243734.3243849.pdf</t>
  </si>
  <si>
    <t>15; 28; 27; 26; 41; 4; 12</t>
  </si>
  <si>
    <t>21.85714285714286</t>
  </si>
  <si>
    <t>383061c39d9835d24d9bddb6bf11f2cdd11a23f2</t>
  </si>
  <si>
    <t>DÏoT: A Federated Self-learning Anomaly Detection System for IoT</t>
  </si>
  <si>
    <t>2018-04-20</t>
  </si>
  <si>
    <t>513</t>
  </si>
  <si>
    <t>IoT devices are increasingly deployed in daily life. Many of these devices are, however, vulnerable due to insecure design, implementation, and configuration. As a result, many networks already have vulnerable IoT devices that are easy to compromise. This has led to a new category of malware specifically targeting IoT devices. However, existing intrusion detection techniques are not effective in detecting compromised IoT devices given the massive scale of the problem in terms of the number of different types of devices and manufacturers involved. In this paper, we present DÏoT, an autonomous self-learning distributed system for detecting compromised IoT devices. DÏoT builds effectively on device-type-specific communication profiles without human intervention nor labeled data that are subsequently used to detect anomalous deviations in devices' communication behavior, potentially caused by malicious adversaries. DÏoT utilizes a federated learning approach for aggregating behavior profiles efficiently. To the best of our knowledge, it is the first system to employ a federated learning approach to anomaly-detection-based intrusion detection. Consequently, DÏoT can cope with emerging new and unknown attacks. We systematically and extensively evaluated more than 30 off-the-shelf IoT devices over a long term and show that DÏoT is highly effective (95.6% detection rate) and fast (257 ms) at detecting devices compromised by, for instance, the infamous Mirai malware. DÏoT reported no false alarms when evaluated in a real-world smart home deployment setting.</t>
  </si>
  <si>
    <t>{"ArXiv": "1804.07474", "CorpusId": 56482410, "DBLP": "conf/icdcs/NguyenMMFAS19", "DOI": "10.1109/ICDCS.2019.00080", "MAG": "2982426954"}</t>
  </si>
  <si>
    <t>10.1109/icdcs.2019.00080</t>
  </si>
  <si>
    <t>https://arxiv.org/pdf/1804.07474</t>
  </si>
  <si>
    <t>756-767</t>
  </si>
  <si>
    <t>18; 22; 25; 17; 19; 89</t>
  </si>
  <si>
    <t>31.66666666666667</t>
  </si>
  <si>
    <t>d7598dc4da0e93768068ed3b640935ad77ac7841</t>
  </si>
  <si>
    <t>TON_IoT Telemetry Dataset: A New Generation Dataset of IoT and IIoT for Data-Driven Intrusion Detection Systems</t>
  </si>
  <si>
    <t>442</t>
  </si>
  <si>
    <t>Although the Internet of Things (IoT) can increase efficiency and productivity through intelligent and remote management, it also increases the risk of cyber-attacks. The potential threats to IoT applications and the need to reduce risk have recently become an interesting research topic. It is crucial that effective Intrusion Detection Systems (IDSs) tailored to IoT applications be developed. Such IDSs require an updated and representative IoT dataset for training and evaluation. However, there is a lack of benchmark IoT and IIoT datasets for assessing IDSs-enabled IoT systems. This paper addresses this issue and proposes a new data-driven IoT/IIoT dataset with the ground truth that incorporates a label feature indicating normal and attack classes, as well as a type feature indicating the sub-classes of attacks targeting IoT/IIoT applications for multi-classification problems. The proposed dataset, which is named TON_IoT, includes Telemetry data of IoT/IIoT services, as well as Operating Systems logs and Network traffic of IoT network, collected from a realistic representation of a medium-scale network at the Cyber Range and IoT Labs at the UNSW Canberra (Australia). This paper also describes the proposed dataset of the Telemetry data of IoT/IIoT services and their characteristics. TON_IoT has various advantages that are currently lacking in the state-of-the-art datasets: i) it has various normal and attack events for different IoT/IIoT services, and ii) it includes heterogeneous data sources. We evaluated the performance of several popular Machine Learning (ML) methods and a Deep Learning model in both binary and multi-class classification problems for intrusion detection purposes using the proposed Telemetry dataset.</t>
  </si>
  <si>
    <t>{"CorpusId": 221848814, "DBLP": "journals/access/AlsaediMTMA20", "DOI": "10.1109/ACCESS.2020.3022862", "MAG": "3085955590"}</t>
  </si>
  <si>
    <t>10.1109/access.2020.3022862</t>
  </si>
  <si>
    <t>https://ieeexplore.ieee.org/ielx7/6287639/8948470/09189760.pdf</t>
  </si>
  <si>
    <t>165130-165150</t>
  </si>
  <si>
    <t>3; 50; 43; 31; 32</t>
  </si>
  <si>
    <t>31.8</t>
  </si>
  <si>
    <t>54881bf440dfe611a20f7ef1bcc4c83f985aad69</t>
  </si>
  <si>
    <t>Partial FC: Training 10 Million Identities on a Single Machine</t>
  </si>
  <si>
    <t>2020-10-11</t>
  </si>
  <si>
    <t>233</t>
  </si>
  <si>
    <t>Face recognition has been an active and vital topic among computer vision community for a long time. Previous researches mainly focus on loss functions used for facial feature extraction network, among which the improvements of softmax-based loss functions greatly promote the performance of face recognition. However, the contradiction between the drastically increasing number of face identities and the shortage of GPU memory is gradually becoming irreconcilable. In this work, we theoretically analyze the upper limit of model parallelism in face recognition in the first place. Then we propose a load-balanced sparse distributed classification training method, Partial FC, which is capable of using a machine with only 8 Nvidia Tesla V100 GPUs to implement training on a face recognition data set with up to 29 million IDs. Furthermore, we are able to train on data set with 100 million IDs in 64 RTX2080Ti GPUs. We have verified the effectiveness of Partial FC in 8 mainstream face recognition trainsets, and find that Partial FC is effective in all face recognition training sets. The code of this paper has been made available at https://github.com/deepinsight/insightface/tree/master/recognition/partial_fc.</t>
  </si>
  <si>
    <t>{"ArXiv": "2010.05222", "CorpusId": 222291700, "DBLP": "journals/corr/abs-2010-05222", "DOI": "10.1109/ICCVW54120.2021.00166", "MAG": "3092005893"}</t>
  </si>
  <si>
    <t>10.1109/iccvw54120.2021.00166</t>
  </si>
  <si>
    <t>https://arxiv.org/pdf/2010.05222</t>
  </si>
  <si>
    <t>1445-1449</t>
  </si>
  <si>
    <t>10; 3; 22; 1; 7; 2; 2; 14; 5</t>
  </si>
  <si>
    <t>6bd33530e5dcd90f367748bf88ba1ff337b7caf4</t>
  </si>
  <si>
    <t>CryptoLock (and Drop It): Stopping Ransomware Attacks on User Data</t>
  </si>
  <si>
    <t>2016-06-27</t>
  </si>
  <si>
    <t>413</t>
  </si>
  <si>
    <t>{"CorpusId": 8273170, "DBLP": "conf/icdcs/ScaifeCTB16", "DOI": "10.1109/ICDCS.2016.46", "MAG": "2513529237"}</t>
  </si>
  <si>
    <t>10.1109/icdcs.2016.46</t>
  </si>
  <si>
    <t>303-312</t>
  </si>
  <si>
    <t>11; 10; 40; 39</t>
  </si>
  <si>
    <t>fc4dbff143839daec45c572c46bff76795c5d843</t>
  </si>
  <si>
    <t>Decentralized Privacy-Preserving Proximity Tracing</t>
  </si>
  <si>
    <t>2020-05-25</t>
  </si>
  <si>
    <t>365</t>
  </si>
  <si>
    <t>This document describes and analyzes a system for secure and privacy-preserving proximity tracing at large scale. This system, referred to as DP3T, provides a technological foundation to help slow the spread of SARS-CoV-2 by simplifying and accelerating the process of notifying people who might have been exposed to the virus so that they can take appropriate measures to break its transmission chain. The system aims to minimise privacy and security risks for individuals and communities and guarantee the highest level of data protection. The goal of our proximity tracing system is to determine who has been in close physical proximity to a COVID-19 positive person and thus exposed to the virus, without revealing the contact's identity or where the contact occurred. To achieve this goal, users run a smartphone app that continually broadcasts an ephemeral, pseudo-random ID representing the user's phone and also records the pseudo-random IDs observed from smartphones in close proximity. When a patient is diagnosed with COVID-19, she can upload pseudo-random IDs previously broadcast from her phone to a central server. Prior to the upload, all data remains exclusively on the user's phone. Other users' apps can use data from the server to locally estimate whether the device's owner was exposed to the virus through close-range physical proximity to a COVID-19 positive person who has uploaded their data. In case the app detects a high risk, it will inform the user.</t>
  </si>
  <si>
    <t>{"ArXiv": "2005.12273", "CorpusId": 218889427, "DBLP": "journals/debu/TroncosoPHSLLSP20", "MAG": "3029901056"}</t>
  </si>
  <si>
    <t>36-66</t>
  </si>
  <si>
    <t>36; 42; 87; 4; 54; 26; 15; 8; 13; 18; 7; 7; 54; 1; 56; 37; 3; 14; 11; 79; 65; 14; 6; 22; 38; 70; 39; 27; 56; 70; 34; 26; 19; 21</t>
  </si>
  <si>
    <t>31.73529411764706</t>
  </si>
  <si>
    <t>0a77313fa10a864e14f538c73d417d7b4d6f320e</t>
  </si>
  <si>
    <t>On the (Statistical) Detection of Adversarial Examples</t>
  </si>
  <si>
    <t>2017-02-21</t>
  </si>
  <si>
    <t>723</t>
  </si>
  <si>
    <t>Machine Learning (ML) models are applied in a variety of tasks such as network intrusion detection or Malware classification. Yet, these models are vulnerable to a class of malicious inputs known as adversarial examples. These are slightly perturbed inputs that are classified incorrectly by the ML model. The mitigation of these adversarial inputs remains an open problem. As a step towards understanding adversarial examples, we show that they are not drawn from the same distribution than the original data, and can thus be detected using statistical tests. Using thus knowledge, we introduce a complimentary approach to identify specific inputs that are adversarial. Specifically, we augment our ML model with an additional output, in which the model is trained to classify all adversarial inputs. We evaluate our approach on multiple adversarial example crafting methods (including the fast gradient sign and saliency map methods) with several datasets. The statistical test flags sample sets containing adversarial inputs confidently at sample sizes between 10 and 100 data points. Furthermore, our augmented model either detects adversarial examples as outliers with high accuracy (&gt; 80%) or increases the adversary's cost - the perturbation added - by more than 150%. In this way, we show that statistical properties of adversarial examples are essential to their detection.</t>
  </si>
  <si>
    <t>{"ArXiv": "1702.06280", "CorpusId": 16863734, "DBLP": "journals/corr/GrosseMP0M17", "MAG": "2590523583"}</t>
  </si>
  <si>
    <t>12; 9; 41; 70; 75</t>
  </si>
  <si>
    <t>41.4</t>
  </si>
  <si>
    <t>dfe5a726609c318baf509af7cf41bf3840884c0b</t>
  </si>
  <si>
    <t>NoDoze: Combatting Threat Alert Fatigue with Automated Provenance Triage</t>
  </si>
  <si>
    <t>333</t>
  </si>
  <si>
    <t>—Large enterprises are increasingly relying on threat detection softwares (e.g., Intrusion Detection Systems) to allow them to spot suspicious activities. These softwares generate alerts which must be investigated by cyber analysts to ﬁgure out if they are true attacks. Unfortunately, in practice, there are more alerts than cyber analysts can properly investigate. This leads to a “threat alert fatigue” or information overload problem where cyber analysts miss true attack alerts in the noise of false alarms. In this paper, we present N O D OZE to combat this challenge using contextual and historical information of generated threat alert. N O D OZE ﬁrst generates a causal dependency graph of an alert event. Then, it assigns an anomaly score to each edge in the dependency graph based on the frequency with which related events have happened before in the enterprise. N O D OZE then propagates those scores along the neighboring edges of the graph using a novel network diffusion algorithm and generates an aggregate anomaly score which is used for triaging. We deployed and evaluated N O D OZE at NEC Labs America. Evaluation on our dataset of 364 threat alerts shows that N O D OZE consistently ranked the true alerts higher than the false alerts based on aggregate anomaly scores. Further, through the introduction of a cutoff threshold for anomaly scores, we estimate that our system decreases the volume of false alarms by 84%, saving analysts’ more than 90 hours of investigation time per week. N O D OZE generates alert dependency graphs that are two orders of magnitude smaller than those generated by traditional tools without sacriﬁcing the vital information needed for the investigation. Our system has a low average runtime overhead and can be deployed with any threat detection software.</t>
  </si>
  <si>
    <t>{"CorpusId": 56436113, "DBLP": "conf/ndss/HassanGLCJL019", "DOI": "10.14722/ndss.2019.23349", "MAG": "2947745012"}</t>
  </si>
  <si>
    <t>10.14722/ndss.2019.23349</t>
  </si>
  <si>
    <t>https://doi.org/10.14722/ndss.2019.23349</t>
  </si>
  <si>
    <t>16; 16; 14; 29; 16; 30; 32</t>
  </si>
  <si>
    <t>aa0918110ae4b03bd63a6ab60a5574242c4f63ca</t>
  </si>
  <si>
    <t>RAM: A Region-Aware Deep Model for Vehicle Re-Identification</t>
  </si>
  <si>
    <t>2018-06-25</t>
  </si>
  <si>
    <t>223</t>
  </si>
  <si>
    <t>Previous works on vehicle Re-ID mainly focus on extracting global features and learning distance metrics. Because some vehicles commonly share same model and maker, it is hard to distinguish them based on their global appearances. Compared with the global appearance, local regions such as decorations and inspection stickers attached to the windshield, may be more distinctive for vehicle Re-ID. To embed the detailed visual cues in those local regions, we propose a Region-Aware deep Model (RAM). Specifically, in addition to extracting global features, RAM also extracts features from a series of local regions. As each local region conveys more distinctive visual cues, RAM encourages the deep model to learn discriminative features. We also introduce a novel learning algorithm to jointly use vehicle IDs, types/models, and colors to train the RAM. This strategy fuses more cues for training and results in more discriminative global and regional features. We evaluate our methods on two large-scale vehicle Re-ID datasets, i.e., VeRi and VehicleID. Experimental results show our methods achieve promising performance in comparison with recent works.</t>
  </si>
  <si>
    <t>{"ArXiv": "1806.09283", "CorpusId": 49405935, "DBLP": "journals/corr/abs-1806-09283", "DOI": "10.1109/ICME.2018.8486589", "MAG": "2949832259"}</t>
  </si>
  <si>
    <t>10.1109/icme.2018.8486589</t>
  </si>
  <si>
    <t>https://arxiv.org/pdf/1806.09283</t>
  </si>
  <si>
    <t>10; 48; 78; 44</t>
  </si>
  <si>
    <t>f2397b7fba51573918ef19ea19091942b5552996</t>
  </si>
  <si>
    <t>Routing Attacks and Countermeasures in the RPL-Based Internet of Things</t>
  </si>
  <si>
    <t>452</t>
  </si>
  <si>
    <t>{"CorpusId": 13377331, "DBLP": "journals/ijdsn/WallgrenRV13", "DOI": "10.1155/2013/794326", "MAG": "2026609766"}</t>
  </si>
  <si>
    <t>10.1155/2013/794326</t>
  </si>
  <si>
    <t>https://uu.diva-portal.org/smash/get/diva2:652146/FULLTEXT01</t>
  </si>
  <si>
    <t>3; 26; 53</t>
  </si>
  <si>
    <t>00f7114d88a80a797c7aad8770c33dcb537bf951</t>
  </si>
  <si>
    <t>Performance analysis of NSL-KDD dataset using ANN</t>
  </si>
  <si>
    <t>2015-03-12</t>
  </si>
  <si>
    <t>Conference</t>
  </si>
  <si>
    <t>304</t>
  </si>
  <si>
    <t>{"CorpusId": 10378805, "DOI": "10.1109/SPACES.2015.7058223", "MAG": "1995678176"}</t>
  </si>
  <si>
    <t>10.1109/spaces.2015.7058223</t>
  </si>
  <si>
    <t>92-96</t>
  </si>
  <si>
    <t>2; 28</t>
  </si>
  <si>
    <t>1a3f697d2951d65708558583c35a0bbd6b2de175</t>
  </si>
  <si>
    <t>Generation of a new IDS test dataset: Time to retire the KDD collection</t>
  </si>
  <si>
    <t>305</t>
  </si>
  <si>
    <t>{"CorpusId": 16699394, "DBLP": "conf/wcnc/CreechH13", "DOI": "10.1109/WCNC.2013.6555301", "MAG": "1981738628"}</t>
  </si>
  <si>
    <t>10.1109/wcnc.2013.6555301</t>
  </si>
  <si>
    <t>4487-4492</t>
  </si>
  <si>
    <t>12; 61</t>
  </si>
  <si>
    <t>c88900f11d93df3b02448686e74619349e3d3ab4</t>
  </si>
  <si>
    <t>ReLink: recovering links between bugs and changes</t>
  </si>
  <si>
    <t>2011-09-05</t>
  </si>
  <si>
    <t>401</t>
  </si>
  <si>
    <t>{"CorpusId": 6249233, "DBLP": "conf/sigsoft/WuZKC11", "DOI": "10.1145/2025113.2025120", "MAG": "2068430427"}</t>
  </si>
  <si>
    <t>10.1145/2025113.2025120</t>
  </si>
  <si>
    <t>15-25</t>
  </si>
  <si>
    <t>25; 34; 55; 48</t>
  </si>
  <si>
    <t>40.5</t>
  </si>
  <si>
    <t>0c9a2adda11ed49d091948211fcfd517113b5243</t>
  </si>
  <si>
    <t>Personalized Transformer for Explainable Recommendation</t>
  </si>
  <si>
    <t>Personalization of natural language generation plays a vital role in a large spectrum of tasks, such as explainable recommendation, review summarization and dialog systems. In these tasks, user and item IDs are important identifiers for personalization. Transformer, which is demonstrated with strong language modeling capability, however, is not personalized and fails to make use of the user and item IDs since the ID tokens are not even in the same semantic space as the words. To address this problem, we present a PErsonalized Transformer for Explainable Recommendation (PETER), on which we design a simple and effective learning objective that utilizes the IDs to predict the words in the target explanation, so as to endow the IDs with linguistic meanings and to achieve personalized Transformer. Besides generating explanations, PETER can also make recommendations, which makes it a unified model for the whole recommendation-explanation pipeline. Extensive experiments show that our small unpretrained model outperforms fine-tuned BERT on the generation task, in terms of both effectiveness and efficiency, which highlights the importance and the nice utility of our design.</t>
  </si>
  <si>
    <t>{"ACL": "2021.acl-long.383", "ArXiv": "2105.11601", "CorpusId": 235187032, "DBLP": "journals/corr/abs-2105-11601", "DOI": "10.18653/v1/2021.acl-long.383"}</t>
  </si>
  <si>
    <t>10.18653/v1/2021.acl-long.383</t>
  </si>
  <si>
    <t>https://aclanthology.org/2021.acl-long.383.pdf</t>
  </si>
  <si>
    <t>11; 31; 7</t>
  </si>
  <si>
    <t>e7f3f2b77994c2cabad612ba0881e63763ec2dad</t>
  </si>
  <si>
    <t>Towards Universal Sequence Representation Learning for Recommender Systems</t>
  </si>
  <si>
    <t>2022-06-13</t>
  </si>
  <si>
    <t>252</t>
  </si>
  <si>
    <t>In order to develop effective sequential recommenders, a series of sequence representation learning (SRL) methods are proposed to model historical user behaviors. Most existing SRL methods rely on explicit item IDs for developing the sequence models to better capture user preference. Though effective to some extent, these methods are difficult to be transferred to new recommendation scenarios, due to the limitation by explicitly modeling item IDs. To tackle this issue, we present a novel universal sequence representation learning approach, named UniSRec. The proposed approach utilizes the associated description text of items to learn transferable representations across different recommendation scenarios. For learning universal item representations, we design a lightweight item encoding architecture based on parametric whitening and mixture-of-experts enhanced adaptor. For learning universal sequence representations, we introduce two contrastive pre-training tasks by sampling multi-domain negatives. With the pre-trained universal sequence representation model, our approach can be effectively transferred to new recommendation domains or platforms in a parameter-efficient way, under either inductive or transductive settings. Extensive experiments conducted on real-world datasets demonstrate the effectiveness of the proposed approach. Especially, our approach also leads to a performance improvement in a cross-platform setting, showing the strong transferability of the proposed universal SRL method. The code and pre-trained model are available at: https://github.com/RUCAIBox/UniSRec.</t>
  </si>
  <si>
    <t>{"ArXiv": "2206.05941", "CorpusId": 249625869, "DBLP": "journals/corr/abs-2206-05941", "DOI": "10.1145/3534678.3539381"}</t>
  </si>
  <si>
    <t>10.1145/3534678.3539381</t>
  </si>
  <si>
    <t>https://arxiv.org/pdf/2206.05941</t>
  </si>
  <si>
    <t>18; 7; 66; 47; 50; 53</t>
  </si>
  <si>
    <t>40.16666666666666</t>
  </si>
  <si>
    <t>2d319e2f19306e5fde837afac4e214209f42deb1</t>
  </si>
  <si>
    <t>Security Evaluation of Pattern Classifiers under Attack</t>
  </si>
  <si>
    <t>Computer Science; Engineering; Mathematics</t>
  </si>
  <si>
    <t>446</t>
  </si>
  <si>
    <t>Pattern classification systems are commonly used in adversarial applications, like biometric authentication, network intrusion detection, and spam filtering, in which data can be purposely manipulated by humans to undermine their operation. As this adversarial scenario is not taken into account by classical design methods, pattern classification systems may exhibit vulnerabilities, whose exploitation may severely affect their performance, and consequently limit their practical utility. Extending pattern classification theory and design methods to adversarial settings is thus a novel and very relevant research direction, which has not yet been pursued in a systematic way. In this paper, we address one of the main open issues: evaluating at design phase the security of pattern classifiers, namely, the performance degradation under potential attacks they may incur during operation. We propose a framework for empirical evaluation of classifier security that formalizes and generalizes the main ideas proposed in the literature, and give examples of its use in three real applications. Reported results show that security evaluation can provide a more complete understanding of the classifier's behavior in adversarial environments, and lead to better design choices.</t>
  </si>
  <si>
    <t>{"ArXiv": "1709.00609", "CorpusId": 10022042, "DBLP": "journals/tkde/BiggioFR14", "DOI": "10.1109/TKDE.2013.57", "MAG": "2952055912"}</t>
  </si>
  <si>
    <t>10.1109/tkde.2013.57</t>
  </si>
  <si>
    <t>https://arxiv.org/pdf/1709.00609</t>
  </si>
  <si>
    <t>984-996</t>
  </si>
  <si>
    <t>45; 40; 74</t>
  </si>
  <si>
    <t>3cf7f1025a92524cd00e2cabc14af46a8073ee06</t>
  </si>
  <si>
    <t>Interactive Oracle Proofs</t>
  </si>
  <si>
    <t>2016-10-31</t>
  </si>
  <si>
    <t>317</t>
  </si>
  <si>
    <t>{"CorpusId": 8363041, "DBLP": "conf/tcc/Ben-SassonCS16", "DOI": "10.1007/978-3-662-53644-5_2", "MAG": "2952410412"}</t>
  </si>
  <si>
    <t>10.1007/978-3-662-53644-5_2</t>
  </si>
  <si>
    <t>40; 41; 17</t>
  </si>
  <si>
    <t>32.66666666666666</t>
  </si>
  <si>
    <t>92b4f173d8c84c7b59ad1822d744c7f8e5ba0871</t>
  </si>
  <si>
    <t>A Semantic Approach to Host-Based Intrusion Detection Systems Using Contiguousand Discontiguous System Call Patterns</t>
  </si>
  <si>
    <t>{"CorpusId": 6319995, "DBLP": "journals/tc/CreechH14", "DOI": "10.1109/TC.2013.13", "MAG": "2167240430"}</t>
  </si>
  <si>
    <t>10.1109/tc.2013.13</t>
  </si>
  <si>
    <t>807-819</t>
  </si>
  <si>
    <t>b7ebe844f02fe60c489bc7e199164bd3a68d1a73</t>
  </si>
  <si>
    <t>Statistical analysis of honeypot data and building of Kyoto 2006+ dataset for NIDS evaluation</t>
  </si>
  <si>
    <t>2011-04-10</t>
  </si>
  <si>
    <t>314</t>
  </si>
  <si>
    <t>{"CorpusId": 3431133, "DBLP": "conf/badgers/SongTOEIN11", "DOI": "10.1145/1978672.1978676", "MAG": "2008224380"}</t>
  </si>
  <si>
    <t>10.1145/1978672.1978676</t>
  </si>
  <si>
    <t>29-36</t>
  </si>
  <si>
    <t>12; 15; 18; 12; 20; 14</t>
  </si>
  <si>
    <t>15.16666666666667</t>
  </si>
  <si>
    <t>d7257e47cdd257fa73af986342fd966d047b8e50</t>
  </si>
  <si>
    <t>{"CorpusId": 5426105, "DBLP": "journals/tc/AmbusaidiHNT16", "DOI": "10.1109/TC.2016.2519914", "MAG": "2267339884"}</t>
  </si>
  <si>
    <t>10.1109/tc.2016.2519914</t>
  </si>
  <si>
    <t>https://ris.utwente.nl/ws/files/6412474/07387736.pdf</t>
  </si>
  <si>
    <t>2986-2998</t>
  </si>
  <si>
    <t>5; 45; 29; 27</t>
  </si>
  <si>
    <t>26.5</t>
  </si>
  <si>
    <t>ddcbd56bc260428a08c56415477a3f5034e84748</t>
  </si>
  <si>
    <t>Verifying and enforcing network paths with icing</t>
  </si>
  <si>
    <t>2011-12-06</t>
  </si>
  <si>
    <t>{"CorpusId": 7251576, "DBLP": "conf/conext/NaousWNMMS11", "DOI": "10.1145/2079296.2079326", "MAG": "2006435204"}</t>
  </si>
  <si>
    <t>10.1145/2079296.2079326</t>
  </si>
  <si>
    <t>http://www.scs.stanford.edu/%7Edm/home/papers/naous%3Aicing.pdf</t>
  </si>
  <si>
    <t>10; 30; 15; 53; 2; 3</t>
  </si>
  <si>
    <t>02ebf1827a1cb08eea241e2fc80f8269f4d5a041</t>
  </si>
  <si>
    <t>Video Panoptic Segmentation</t>
  </si>
  <si>
    <t>182</t>
  </si>
  <si>
    <t>Panoptic segmentation has become a new standard of visual recognition task by unifying previous semantic segmentation and instance segmentation tasks in concert. In this paper, we propose and explore a new video extension of this task, called video panoptic segmentation. The task requires generating consistent panoptic segmentation as well as an association of instance ids across video frames. To invigorate research on this new task, we present two types of video panoptic datasets. The first is a re-organization of the synthetic VIPER dataset into the video panoptic format to exploit its large-scale pixel annotations. The second is a temporal extension on the Cityscapes val. set, by providing new video panoptic annotations (Cityscapes-VPS). Moreover, we propose a novel video panoptic segmentation network (VPSNet) which jointly predicts object classes, bounding boxes, masks, instance id tracking, and semantic segmentation in video frames. To provide appropriate metrics for this task, we propose a video panoptic quality (VPQ) metric and evaluate our method and several other baselines. Experimental results demonstrate the effectiveness of the presented two datasets. We achieve state-of-the-art results in image PQ on Cityscapes and also in VPQ on Cityscapes-VPS and VIPER datasets.</t>
  </si>
  <si>
    <t>{"ArXiv": "2006.11339", "CorpusId": 219965906, "DBLP": "conf/cvpr/KimWLK20", "DOI": "10.1109/cvpr42600.2020.00988", "MAG": "3036118383"}</t>
  </si>
  <si>
    <t>10.1109/cvpr42600.2020.00988</t>
  </si>
  <si>
    <t>https://arxiv.org/pdf/2006.11339</t>
  </si>
  <si>
    <t>9856-9865</t>
  </si>
  <si>
    <t>17; 22; 15; 25</t>
  </si>
  <si>
    <t>4818e89c1bf821ab8fede2306d73771fa3d73384</t>
  </si>
  <si>
    <t>Anomalydae: Dual Autoencoder for Anomaly Detection on Attributed Networks</t>
  </si>
  <si>
    <t>2020-02-10</t>
  </si>
  <si>
    <t>175</t>
  </si>
  <si>
    <t>Anomaly detection on attributed networks aims at finding nodes whose patterns deviate significantly from the majority of reference nodes, which is pervasive in many applications such as network intrusion detection and social spammer detection. However, most existing methods neglect the complex cross-modality interactions between network structure and node attribute. In this paper, we propose a deep joint representation learning framework for anomaly detection through a dual autoencoder (AnomalyDAE), which captures the complex interactions between network structure and node attribute for high-quality embeddings. Specifically, Anoma-lyDAE consists of a structure autoencoder and an attribute autoencoder to learn both node embedding and attribute embedding jointly in latent space. Moreover, attention mechanism is employed in structure encoder to learn the importance between a node and its neighbors for an effective capturing of structure pattern, which is important to anomaly detection. Besides, by taking both the node embedding and attribute embedding as inputs of attribute decoder, the cross-modality interactions between network structure and node attribute are learned during the reconstruction of node attribute. Finally, anomalies can be detected by measuring the reconstruction errors of nodes from both the structure and attribute perspectives. Extensive experiments on real-world datasets demonstrate the effectiveness of the proposed method.</t>
  </si>
  <si>
    <t>{"ArXiv": "2002.03665", "CorpusId": 211069030, "DBLP": "conf/icassp/FanZL20", "DOI": "10.1109/ICASSP40776.2020.9053387", "MAG": "3015799890"}</t>
  </si>
  <si>
    <t>10.1109/icassp40776.2020.9053387</t>
  </si>
  <si>
    <t>https://arxiv.org/pdf/2002.03665</t>
  </si>
  <si>
    <t>5685-5689</t>
  </si>
  <si>
    <t>14; 11; 28</t>
  </si>
  <si>
    <t>633e8d65bbc7e11b66e99d01972d6c5cc0489b52</t>
  </si>
  <si>
    <t>A Detailed Analysis on NSL-KDD Dataset Using Various Machine Learning Techniques for Intrusion Detection</t>
  </si>
  <si>
    <t>2013-12-20</t>
  </si>
  <si>
    <t>441</t>
  </si>
  <si>
    <t>{"CorpusId": 62085104, "MAG": "2287408518"}</t>
  </si>
  <si>
    <t>9; 7</t>
  </si>
  <si>
    <t>e37226a2f099c9a1ad13edce395ccca29225193c</t>
  </si>
  <si>
    <t>Support Vector Machines Under Adversarial Label Noise</t>
  </si>
  <si>
    <t>2011-11-17</t>
  </si>
  <si>
    <t>{"CorpusId": 2649314, "DBLP": "journals/jmlr/BiggioNL11", "MAG": "2187013920"}</t>
  </si>
  <si>
    <t>97-112</t>
  </si>
  <si>
    <t>45; 23; 35</t>
  </si>
  <si>
    <t>49f202fb16bb2897d4866844d4d8624a4dfa506d</t>
  </si>
  <si>
    <t>E-GraphSAGE: A Graph Neural Network based Intrusion Detection System for IoT</t>
  </si>
  <si>
    <t>2021-03-30</t>
  </si>
  <si>
    <t>This paper presents a new Network Intrusion Detection System (NIDS) based on Graph Neural Networks (GNNs). GNNs are a relatively new sub-field of deep neural networks, which can leverage the inherent structure of graph-based data. Training and evaluation data for NIDSs are typically represented as flow records, which can naturally be represented in a graph format. In this paper, we propose E-GraphSAGE, a GNN approach that allows capturing both the edge features of a graph as well as the topological information for network intrusion detection in IoT networks. To the best of our knowledge, our proposal is the first successful, practical, and extensively evaluated approach of applying GNNs on the problem of network intrusion detection for IoT using flow-based data. Our extensive experimental evaluation on four recent NIDS benchmark datasets shows that our approach outperforms the state-of-the-art in terms of key classification metrics, which demonstrates the potential of GNNs in network intrusion detection, and provides motivation for further research.</t>
  </si>
  <si>
    <t>{"ArXiv": "2103.16329", "CorpusId": 232417583, "DBLP": "conf/noms/LoLSGP22", "DOI": "10.1109/NOMS54207.2022.9789878"}</t>
  </si>
  <si>
    <t>10.1109/noms54207.2022.9789878</t>
  </si>
  <si>
    <t>https://arxiv.org/pdf/2103.16329</t>
  </si>
  <si>
    <t>1-9</t>
  </si>
  <si>
    <t>9; 20; 16; 32; 30</t>
  </si>
  <si>
    <t>21.4</t>
  </si>
  <si>
    <t>6753c8df7355487b7187106d224f4d439976f9c1</t>
  </si>
  <si>
    <t>OTIDS: A Novel Intrusion Detection System for In-vehicle Network by Using Remote Frame</t>
  </si>
  <si>
    <t>2017-08-01</t>
  </si>
  <si>
    <t>293</t>
  </si>
  <si>
    <t>{"CorpusId": 52916016, "DBLP": "conf/pst/LeeJK17", "DOI": "10.1109/PST.2017.00017", "MAG": "2897929592"}</t>
  </si>
  <si>
    <t>10.1109/pst.2017.00017</t>
  </si>
  <si>
    <t>57-5709</t>
  </si>
  <si>
    <t>5653</t>
  </si>
  <si>
    <t>8; 9; 33</t>
  </si>
  <si>
    <t>2cf435278f4a3d44660d13e502b69bc0f1dbc539</t>
  </si>
  <si>
    <t>CADE: Detecting and Explaining Concept Drift Samples for Security Applications</t>
  </si>
  <si>
    <t>{"CorpusId": 227947686, "DBLP": "conf/uss/Yang0HCAX021"}</t>
  </si>
  <si>
    <t>2327-2344</t>
  </si>
  <si>
    <t>10; 14; 5; 12; 3; 33; 14</t>
  </si>
  <si>
    <t>92969e72abf7f8b5a8b5332667fbcda612ea01b1</t>
  </si>
  <si>
    <t>ATLAS: A Sequence-based Learning Approach for Attack Investigation</t>
  </si>
  <si>
    <t>{"CorpusId": 232138052, "DBLP": "conf/uss/AlsaheelNMYWC0X21"}</t>
  </si>
  <si>
    <t>3005-3022</t>
  </si>
  <si>
    <t>4; 15; 41; 17; 3; 17; 83; 58</t>
  </si>
  <si>
    <t>29.75</t>
  </si>
  <si>
    <t>29c99503e8a15df7621b3f1f6ac6457a65f179c1</t>
  </si>
  <si>
    <t>Network Intrusion Detection Combined Hybrid Sampling With Deep Hierarchical Network</t>
  </si>
  <si>
    <t>Intrusion detection system (IDS) plays an important role in network security by discovering and preventing malicious activities. Due to the complex and time-varying network environment, the network intrusion samples are submerged into a large number of normal samples, which leads to insufficient samples for model training and detection results with a high false detection rate. According to the problem of data imbalance, we propose a network intrusion detection algorithm combined hybrid sampling with deep hierarchical network. Firstly, we use the one-side selection (OSS) to reduce the noise samples in majority category, and then increase the minority samples by Synthetic Minority Over-sampling Technique (SMOTE). In this way, a balanced dataset can be established to make the model fully learn the features of minority samples and greatly reduce the model training time. Secondly, we use convolution neural network (CNN) to extract spatial features and Bi-directional long short-term memory (BiLSTM) to extract temporal features, which forms a deep hierarchical network model. The proposed network intrusion detection algorithm was verified by experiments on the NSL-KDD and UNSW-NB15 dataset, and the classification accuracy can achieve 83.58% and 77.16%, respectively.</t>
  </si>
  <si>
    <t>{"CorpusId": 211298591, "DBLP": "journals/access/JiangWWW20", "DOI": "10.1109/ACCESS.2020.2973730", "MAG": "3005805195"}</t>
  </si>
  <si>
    <t>10.1109/access.2020.2973730</t>
  </si>
  <si>
    <t>https://ieeexplore.ieee.org/ielx7/6287639/8948470/08998253.pdf</t>
  </si>
  <si>
    <t>32464-32476</t>
  </si>
  <si>
    <t>7; 4; 13; 10</t>
  </si>
  <si>
    <t>52577536f156ed9a86be40390c34d0fdd4f33134</t>
  </si>
  <si>
    <t>MTH-IDS: A Multitiered Hybrid Intrusion Detection System for Internet of Vehicles</t>
  </si>
  <si>
    <t>2021-05-26</t>
  </si>
  <si>
    <t>Modern vehicles, including connected vehicles and autonomous vehicles, nowadays involve many electronic control units connected through intravehicle networks (IVNs) to implement various functionalities and perform actions. Modern vehicles are also connected to external networks through vehicle-to-everything technologies, enabling their communications with other vehicles, infrastructures, and smart devices. However, the improving functionality and connectivity of modern vehicles also increase their vulnerabilities to cyber-attacks targeting both intravehicle and external networks due to the large attack surfaces. To secure vehicular networks, many researchers have focused on developing intrusion detection systems (IDSs) that capitalize on machine learning methods to detect malicious cyber-attacks. In this article, the vulnerabilities of intravehicle and external networks are discussed, and a multitiered hybrid IDS that incorporates a signature-based IDS and an anomaly-based IDS is proposed to detect both known and unknown attacks on vehicular networks. Experimental results illustrate that the proposed system can detect various types of known attacks with 99.99% accuracy on the CAN-intrusion-dataset representing the IVN data and 99.88% accuracy on the CICIDS2017 data set illustrating the external vehicular network data. For the zero-day attack detection, the proposed system achieves high F1-scores of 0.963 and 0.800 on the above two data sets, respectively. The average processing time of each data packet on a vehicle-level machine is less than 0.6 ms, which shows the feasibility of implementing the proposed system in real-time vehicle systems. This emphasizes the effectiveness and efficiency of the proposed IDS.</t>
  </si>
  <si>
    <t>{"ArXiv": "2105.13289", "CorpusId": 235212223, "DBLP": "journals/corr/abs-2105-13289", "DOI": "10.1109/JIOT.2021.3084796"}</t>
  </si>
  <si>
    <t>10.1109/jiot.2021.3084796</t>
  </si>
  <si>
    <t>https://arxiv.org/pdf/2105.13289</t>
  </si>
  <si>
    <t>616-632</t>
  </si>
  <si>
    <t>100</t>
  </si>
  <si>
    <t>14; 23; 48</t>
  </si>
  <si>
    <t>864fe713fd082585b67198ad7942a1568e536bd2</t>
  </si>
  <si>
    <t>Group-Sensitive Triplet Embedding for Vehicle Reidentification</t>
  </si>
  <si>
    <t>247</t>
  </si>
  <si>
    <t>The widespread use of surveillance cameras toward smart and safe cities poses the critical but challenging problem of vehicle reidentification (Re-ID). The state-of-the-art research work performed vehicle Re-ID relying on deep metric learning with a triplet network. However, most existing methods basically ignore the impact of intraclass variance-incorporated embedding on the performance of vehicle reidentification, in which robust fine-grained features for large-scale vehicle Re-ID have not been fully studied. In this paper, we propose a deep metric learning method, group-sensitive-triplet embedding (GS-TRE), to recognize and retrieve vehicles, in which intraclass variance is elegantly modeled by incorporating an intermediate representation “group” between samples and each individual vehicle in the triplet network learning. To capture the intraclass variance attributes of each individual vehicle, we utilize an online grouping method to partition samples within each vehicle ID into a few groups, and build up the triplet samples at multiple granularities across different vehicle IDs as well as different groups within the same vehicle ID to learn fine-grained features. In particular, we construct a large-scale vehicle database “PKU-Vehicle,” consisting of 10 million vehicle images captured by different surveillance cameras in several cities, to evaluate the vehicle Re-ID performance in real-world video surveillance applications. Extensive experiments over benchmark datasets VehicleID, VeRI, and CompCar have shown that the proposed GS-TRE significantly outperforms the state-of-the-art approaches for vehicle Re-ID.</t>
  </si>
  <si>
    <t>{"CorpusId": 52019590, "DBLP": "journals/tmm/BaiLGWWD18", "DOI": "10.1109/TMM.2018.2796240", "MAG": "2789546350"}</t>
  </si>
  <si>
    <t>10.1109/tmm.2018.2796240</t>
  </si>
  <si>
    <t>2385-2399</t>
  </si>
  <si>
    <t>15; 19; 8; 44; 27; 50</t>
  </si>
  <si>
    <t>27.16666666666667</t>
  </si>
  <si>
    <t>efd38ec4ddaefab12d0d772448a178f8cbba2bb2</t>
  </si>
  <si>
    <t>Addressing Trust Bias for Unbiased Learning-to-Rank</t>
  </si>
  <si>
    <t>2019-05-13</t>
  </si>
  <si>
    <t>Existing unbiased learning-to-rank models use counterfactual inference, notably Inverse Propensity Scoring (IPS), to learn a ranking function from biased click data. They handle the click incompleteness bias, but usually assume that the clicks are noise-free, i.e., a clicked document is always assumed to be relevant. In this paper, we relax this unrealistic assumption and study click noise explicitly in the unbiased learning-to-rank setting. Specifically, we model the noise as the position-dependent trust bias and propose a noise-aware Position-Based Model, named TrustPBM, to better capture user click behavior. We propose an Expectation-Maximization algorithm to estimate both examination and trust bias from click data in TrustPBM. Furthermore, we show that it is difficult to use a pure IPS method to incorporate click noise and thus propose a novel method that combines a Bayes rule application with IPS for unbiased learning-to-rank. We evaluate our proposed methods on three personal search data sets and demonstrate that our proposed model can significantly outperform the existing unbiased learning-to-rank methods.</t>
  </si>
  <si>
    <t>{"CorpusId": 86792659, "DBLP": "conf/www/AgarwalWLBN19", "DOI": "10.1145/3308558.3313697", "MAG": "2911802745"}</t>
  </si>
  <si>
    <t>10.1145/3308558.3313697</t>
  </si>
  <si>
    <t>8; 38; 24; 40; 43</t>
  </si>
  <si>
    <t>30.6</t>
  </si>
  <si>
    <t>0aab3b9671c54b6439d93e236ebb0ccdca7ec8e3</t>
  </si>
  <si>
    <t>NICE: Network Intrusion Detection and Countermeasure Selection in Virtual Network Systems</t>
  </si>
  <si>
    <t>336</t>
  </si>
  <si>
    <t>{"CorpusId": 108393727, "DBLP": "journals/tdsc/ChungKXLH13", "DOI": "10.1109/TDSC.2013.8", "MAG": "2031175798"}</t>
  </si>
  <si>
    <t>10.1109/tdsc.2013.8</t>
  </si>
  <si>
    <t>198-211</t>
  </si>
  <si>
    <t>11; 3; 10; 33; 42</t>
  </si>
  <si>
    <t>19.8</t>
  </si>
  <si>
    <t>117f12f75cfe4d5705d7beabbe961b2ced0d7025</t>
  </si>
  <si>
    <t>Optimal and Adaptive Off-policy Evaluation in Contextual Bandits</t>
  </si>
  <si>
    <t>2016-12-04</t>
  </si>
  <si>
    <t>224</t>
  </si>
  <si>
    <t>We study the off-policy evaluation problem---estimating the value of a target policy using data collected by another policy---under the contextual bandit model. We consider the general (agnostic) setting without access to a consistent model of rewards and establish a minimax lower bound on the mean squared error (MSE). The bound is matched up to constants by the inverse propensity scoring (IPS) and doubly robust (DR) estimators. This highlights the difficulty of the agnostic contextual setting, in contrast with multi-armed bandits and contextual bandits with access to a consistent reward model, where IPS is suboptimal. We then propose the SWITCH estimator, which can use an existing reward model (not necessarily consistent) to achieve a better bias-variance tradeoff than IPS and DR. We prove an upper bound on its MSE and demonstrate its benefits empirically on a diverse collection of data sets, often outperforming prior work by orders of magnitude.</t>
  </si>
  <si>
    <t>{"ArXiv": "1612.01205", "CorpusId": 12473094, "DBLP": "conf/icml/WangAD17", "MAG": "2952722811"}</t>
  </si>
  <si>
    <t>42; 59; 34</t>
  </si>
  <si>
    <t>1875e0822933a8e3bc76d269266af804c54b0f10</t>
  </si>
  <si>
    <t>IDSGAN: Generative Adversarial Networks for Attack Generation against Intrusion Detection</t>
  </si>
  <si>
    <t>2018-09-06</t>
  </si>
  <si>
    <t>As an important tool in security, the intrusion detection system bears the responsibility of the defense to network attacks performed by malicious traffic. Nowadays, with the help of machine learning algorithms, the intrusion detection system develops rapidly. However, the robustness of this system is questionable when it faces the adversarial attacks. To improve the detection system, more potential attack approaches should be researched. In this paper, a framework of the generative adversarial networks, IDSGAN, is proposed to generate the adversarial attacks, which can deceive and evade the intrusion detection system. Considering that the internal structure of the detection system is unknown to attackers, adversarial attack examples perform the black-box attacks against the detection system. IDSGAN leverages a generator to transform original malicious traffic into adversarial malicious traffic. A discriminator classifies traffic examples and simulates the black-box detection system. More significantly, we only modify part of the attacks' nonfunctional features to guarantee the validity of the intrusion. Based on the dataset NSL-KDD, the feasibility of the model is demonstrated to attack many detection systems with different attacks and the excellent results are achieved. Moreover, the robustness of IDSGAN is verified by changing the amount of the unmodified features.</t>
  </si>
  <si>
    <t>{"ArXiv": "1809.02077", "CorpusId": 52168025, "DBLP": "journals/corr/abs-1809-02077", "DOI": "10.1007/978-3-031-05981-0_7", "MAG": "2889836475"}</t>
  </si>
  <si>
    <t>10.1007/978-3-031-05981-0_7</t>
  </si>
  <si>
    <t>4; 10; 11</t>
  </si>
  <si>
    <t>8.333333333333334</t>
  </si>
  <si>
    <t>295e9f9484ef05946b4553127360eaf3d7d1fc8f</t>
  </si>
  <si>
    <t>An Ensemble Intrusion Detection Technique Based on Proposed Statistical Flow Features for Protecting Network Traffic of Internet of Things</t>
  </si>
  <si>
    <t>407</t>
  </si>
  <si>
    <t>Internet of Things (IoT) plays an increasingly significant role in our daily activities, connecting physical objects around us into digital services. In other words, IoT is the driving force behind home automation, smart cities, modern health systems, and advanced manufacturing. This also increases the likelihood of cyber threats against IoT devices and services. Attackers may attempt to exploit vulnerabilities in application protocols, including Domain Name System (DNS), Hyper Text Transfer Protocol (HTTP) and Message Queue Telemetry Transport (MQTT) that interact directly with backend database systems and client–server applications to store data of IoT services. Successful exploitation of one or more of these protocols can result in data leakage and security breaches. In this paper, an ensemble intrusion detection technique is proposed to mitigate malicious events, in particular botnet attacks against DNS, HTTP, and MQTT protocols utilized in IoT networks. New statistical flow features are generated from the protocols based on an analysis of their potential properties. Then, an AdaBoost ensemble learning method is developed using three machine learning techniques, namely decision tree, Naive Bayes (NB), and artificial neural network, to evaluate the effect of these features and detect malicious events effectively. The UNSW-NB15 and NIMS botnet datasets with simulated IoT sensors’ data are used to extract the proposed features and evaluate the ensemble technique. The experimental results show that the proposed features have the potential characteristics of normal and malicious activity using the correntropy and correlation coefficient measures. Moreover, the proposed ensemble technique provides a higher detection rate and a lower false positive rate compared with each classification technique included in the framework and three other state-of-the-art techniques.</t>
  </si>
  <si>
    <t>{"CorpusId": 69947231, "DBLP": "journals/iotj/MoustafaTC19", "DOI": "10.1109/JIOT.2018.2871719", "MAG": "2892556724"}</t>
  </si>
  <si>
    <t>10.1109/jiot.2018.2871719</t>
  </si>
  <si>
    <t>4815-4830</t>
  </si>
  <si>
    <t>50; 22; 100</t>
  </si>
  <si>
    <t>57.33333333333334</t>
  </si>
  <si>
    <t>72102c56de69cdb263d60723d4292d8a3aea75b4</t>
  </si>
  <si>
    <t>Performance Analysis of Intrusion Detection Systems Using a Feature Selection Method on the UNSW-NB15 Dataset</t>
  </si>
  <si>
    <t>2020-11-25</t>
  </si>
  <si>
    <t>369</t>
  </si>
  <si>
    <t>Computer networks intrusion detection systems (IDSs) and intrusion prevention systems (IPSs) are critical aspects that contribute to the success of an organization. Over the past years, IDSs and IPSs using different approaches have been developed and implemented to ensure that computer networks within enterprises are secure, reliable and available. In this paper, we focus on IDSs that are built using machine learning (ML) techniques. IDSs based on ML methods are effective and accurate in detecting networks attacks. However, the performance of these systems decreases for high dimensional data spaces. Therefore, it is crucial to implement an appropriate feature extraction method that can prune some of the features that do not possess a great impact in the classification process. Moreover, many of the ML based IDSs suffer from an increase in false positive rate and a low detection accuracy when the models are trained on highly imbalanced datasets. In this paper, we present an analysis the UNSW-NB15 intrusion detection dataset that will be used for training and testing our models. Moreover, we apply a filter-based feature reduction technique using the XGBoost algorithm. We then implement the following ML approaches using the reduced feature space: Support Vector Machine (SVM), k-Nearest-Neighbour (kNN), Logistic Regression (LR), Artificial Neural Network (ANN) and Decision Tree (DT). In our experiments, we considered both the binary and multiclass classification configurations. The results demonstrated that the XGBoost-based feature selection method allows for methods such as the DT to increase its test accuracy from 88.13 to 90.85% for the binary classification scheme.</t>
  </si>
  <si>
    <t>{"CorpusId": 227180052, "DBLP": "journals/jbd/KasongoS20", "DOI": "10.1186/s40537-020-00379-6", "MAG": "3106741970"}</t>
  </si>
  <si>
    <t>10.1186/s40537-020-00379-6</t>
  </si>
  <si>
    <t>https://journalofbigdata.springeropen.com/track/pdf/10.1186/s40537-020-00379-6</t>
  </si>
  <si>
    <t>11; 32</t>
  </si>
  <si>
    <t>7a5fa9f1f5b2539e1e938fe3da0b45b5e5eb3687</t>
  </si>
  <si>
    <t>GNN3DMOT: Graph Neural Network for 3D Multi-Object Tracking With 2D-3D Multi-Feature Learning</t>
  </si>
  <si>
    <t>3D Multi-object tracking (MOT) is crucial to autonomous systems. Recent work uses a standard tracking-by-detection pipeline, where feature extraction is first performed independently for each object in order to compute an affinity matrix. Then the affinity matrix is passed to the Hungarian algorithm for data association. A key process of this standard pipeline is to learn discriminative features for different objects in order to reduce confusion during data association. In this work, we propose two techniques to improve the discriminative feature learning for MOT: (1) instead of obtaining features for each object independently, we propose a novel feature interaction mechanism by introducing the Graph Neural Network. As a result, the feature of one object is informed of the features of other objects so that the object feature can lean towards the object with similar feature (i.e., object probably with a same ID) and deviate from objects with dissimilar features (i.e., object probably with different IDs), leading to a more discriminative feature for each object; (2) instead of obtaining the feature from either 2D or 3D space in prior work, we propose a novel joint feature extractor to learn appearance and motion features from 2D and 3D space simultaneously. As features from different modalities often have complementary information, the joint feature can be more discriminate than feature from each individual modality. To ensure that the joint feature extractor does not heavily rely on one modality, we also propose an ensemble training paradigm. Through extensive evaluation, our proposed method achieves state-of-the-art performance on KITTI and nuScenes 3D MOT benchmarks. Our code will be made available at https://github.com/xinshuoweng/GNN3DMOT</t>
  </si>
  <si>
    <t>{"ArXiv": "2006.07327", "CorpusId": 221543285, "DBLP": "conf/cvpr/WengWMK20", "DOI": "10.1109/cvpr42600.2020.00653", "MAG": "3034739212"}</t>
  </si>
  <si>
    <t>10.1109/cvpr42600.2020.00653</t>
  </si>
  <si>
    <t>6498-6507</t>
  </si>
  <si>
    <t>21; 10; 7; 44</t>
  </si>
  <si>
    <t>853c129cace76b1f51cf1744ea304784211f14c1</t>
  </si>
  <si>
    <t>A novel hybrid KPCA and SVM with GA model for intrusion detection</t>
  </si>
  <si>
    <t>2014-05-01</t>
  </si>
  <si>
    <t>408</t>
  </si>
  <si>
    <t>{"CorpusId": 6628916, "DBLP": "journals/asc/KuangXZ14", "DOI": "10.1016/j.asoc.2014.01.028", "MAG": "2097034581"}</t>
  </si>
  <si>
    <t>10.1016/j.asoc.2014.01.028</t>
  </si>
  <si>
    <t>178-184</t>
  </si>
  <si>
    <t>5; 8; 11</t>
  </si>
  <si>
    <t>9b5c09c49d65f7a0a088408432fefa5cb9262858</t>
  </si>
  <si>
    <t>A GA-LR wrapper approach for feature selection in network intrusion detection</t>
  </si>
  <si>
    <t>2017-09-01</t>
  </si>
  <si>
    <t>{"CorpusId": 32588286, "DBLP": "journals/compsec/KhammassiK17", "DOI": "10.1016/j.cose.2017.06.005", "MAG": "2626468835"}</t>
  </si>
  <si>
    <t>10.1016/j.cose.2017.06.005</t>
  </si>
  <si>
    <t>255-277</t>
  </si>
  <si>
    <t>2; 21</t>
  </si>
  <si>
    <t>9d2c9a7c3ff8f760b43fdd6a7082069a467c8956</t>
  </si>
  <si>
    <t>Adapting Large Language Models by Integrating Collaborative Semantics for Recommendation</t>
  </si>
  <si>
    <t>2023-11-15</t>
  </si>
  <si>
    <t>Recently, large language models (LLMs) have shown great potential in recommender systems, either improving existing recommendation models or serving as the backbone. However, there exists a large semantic gap between LLMs and recommender systems, since items to be recommended are often indexed by discrete identifiers (item ID) out of the LLM's vocabulary. In essence, LLMs capture language semantics while recommender systems imply collaborative semantics, making it difficult to sufficiently leverage the model capacity of LLMs for recommendation. To address this challenge, in this paper, we propose a new LLM-based recommendation model called LC-Rec, which can better integrate language and collaborative semantics for recommender systems. Our approach can directly generate items from the entire item set for recommendation, without relying on candidate items. Specifically, we make two major contributions in our approach. For item indexing, we design a learning-based vector quantization method with uniform semantic mapping, which can assign meaningful and non-conflicting IDs (called item indices) for items. For alignment tuning, we propose a series of specially designed tuning tasks to enhance the integration of collaborative semantics in LLMs. Our fine-tuning tasks enforce LLMs to deeply integrate language and collaborative semantics (characterized by the learned item indices), so as to achieve an effective adaptation to recommender systems. Extensive experiments demonstrate the effectiveness of our method, showing that our approach can outperform a number of competitive baselines including traditional recommenders and existing LLM-based recommenders. Our code is available at https://github.com/RUCAIBox/LC-Rec/.</t>
  </si>
  <si>
    <t>{"ArXiv": "2311.09049", "CorpusId": 265213194, "DBLP": "journals/corr/abs-2311-09049", "DOI": "10.1109/ICDE60146.2024.00118"}</t>
  </si>
  <si>
    <t>10.1109/icde60146.2024.00118</t>
  </si>
  <si>
    <t>https://arxiv.org/pdf/2311.09049</t>
  </si>
  <si>
    <t>1435-1448</t>
  </si>
  <si>
    <t>5; 18; 3; 3; 20; 53</t>
  </si>
  <si>
    <t>c37480fd588ef464b741338738b7dbfddb045659</t>
  </si>
  <si>
    <t>HAST-IDS: Learning Hierarchical Spatial-Temporal Features Using Deep Neural Networks to Improve Intrusion Detection</t>
  </si>
  <si>
    <t>497</t>
  </si>
  <si>
    <t>The development of an anomaly-based intrusion detection system (IDS) is a primary research direction in the field of intrusion detection. An IDS learns normal and anomalous behavior by analyzing network traffic and can detect unknown and new attacks. However, the performance of an IDS is highly dependent on feature design, and designing a feature set that can accurately characterize network traffic is still an ongoing research issue. Anomaly-based IDSs also have the problem of a high false alarm rate (FAR), which seriously restricts their practical applications. In this paper, we propose a novel IDS called the hierarchical spatial-temporal features-based intrusion detection system (HAST-IDS), which first learns the low-level spatial features of network traffic using deep convolutional neural networks (CNNs) and then learns high-level temporal features using long short-term memory networks. The entire process of feature learning is completed by the deep neural networks automatically; no feature engineering techniques are required. The automatically learned traffic features effectively reduce the FAR. The standard DARPA1998 and ISCX2012 data sets are used to evaluate the performance of the proposed system. The experimental results show that the HAST-IDS outperforms other published approaches in terms of accuracy, detection rate, and FAR, which successfully demonstrates its effectiveness in both feature learning and FAR reduction.</t>
  </si>
  <si>
    <t>{"CorpusId": 3441568, "DBLP": "journals/access/WangSWZYHZ18", "DOI": "10.1109/ACCESS.2017.2780250", "MAG": "2772317693"}</t>
  </si>
  <si>
    <t>10.1109/access.2017.2780250</t>
  </si>
  <si>
    <t>https://doi.org/10.1109/access.2017.2780250</t>
  </si>
  <si>
    <t>1792-1806</t>
  </si>
  <si>
    <t>8; 9; 9; 8; 7; 5; 7</t>
  </si>
  <si>
    <t>7.571428571428571</t>
  </si>
  <si>
    <t>e14432ee3fe3ae41c8724349f88f28f59dc9a69c</t>
  </si>
  <si>
    <t>Beyond Scalar Neuron: Adopting Vector-Neuron Capsules for Long-Term Person Re-Identification</t>
  </si>
  <si>
    <t>2020-10-01</t>
  </si>
  <si>
    <t>Current person re-identification (re-ID) works mainly focus on the short-term scenario where a person is less likely to change clothes. However, in the long-term re-ID scenario, a person has a great chance to change clothes. A sophisticated re-ID system should take such changes into account. To facilitate the study of long-term re-ID, this paper introduces a large-scale re-ID dataset called “Celeb-reID” to the community. Unlike previous datasets, the same person can change clothes in the proposed Celeb-reID dataset. Images of Celeb-reID are acquired from the Internet using street snap-shots of celebrities. There is a total of 1,052 IDs with 34,186 images making Celeb-reID being the largest long-term re-ID dataset so far. To tackle the challenge of cloth changes, we propose to use vector-neuron (VN) capsules instead of the traditional scalar neurons (SN) to design our network. Compared with SN, one extra-dimensional information in VN can perceive cloth changes of the same person. We introduce a well-designed ReIDCaps network and integrate capsules to deal with the person re-ID task. Soft Embedding Attention (SEA) and Feature Sparse Representation (FSR) mechanisms are adopted in our network for performance boosting. Experiments are conducted on the proposed long-term re-ID dataset and two common short-term re-ID datasets. Comprehensive analyses are given to demonstrate the challenge exposed in our datasets. Experimental results show that our ReIDCaps can outperform existing state-of-the-art methods by a large margin in the long-term scenario. The new dataset and code will be released to facilitate future researches.</t>
  </si>
  <si>
    <t>{"CorpusId": 208125234, "DBLP": "journals/tcsv/HuangXWZZZ20", "DOI": "10.1109/TCSVT.2019.2948093", "MAG": "2980791334"}</t>
  </si>
  <si>
    <t>10.1109/tcsvt.2019.2948093</t>
  </si>
  <si>
    <t>https://opus.lib.uts.edu.au/bitstream/10453/137156/4/Binder1.pdf</t>
  </si>
  <si>
    <t>3459-3471</t>
  </si>
  <si>
    <t>11; 20; 42; 10; 10; 58</t>
  </si>
  <si>
    <t>25.16666666666667</t>
  </si>
  <si>
    <t>f55ed4a673f4808120aa3ea759c2f04f3cd9415a</t>
  </si>
  <si>
    <t>Reward Reduces Conflict by Enhancing Attentional Control and Biasing Visual Cortical Processing</t>
  </si>
  <si>
    <t>Computer Science; Medicine; Psychology</t>
  </si>
  <si>
    <t>{"CorpusId": 6932993, "DBLP": "journals/jocn/PadmalaP11", "DOI": "10.1162/jocn_a_00011", "MAG": "2164766456", "PubMed": "21452938"}</t>
  </si>
  <si>
    <t>10.1162/jocn_a_00011</t>
  </si>
  <si>
    <t>https://europepmc.org/articles/pmc3175266?pdf=render</t>
  </si>
  <si>
    <t>3419-3432</t>
  </si>
  <si>
    <t>27; 64</t>
  </si>
  <si>
    <t>45.5</t>
  </si>
  <si>
    <t>077ef099cfd93ccd58cf2a8be55ca0e5dcb06e70</t>
  </si>
  <si>
    <t>Kitsune: An Ensemble of Autoencoders for Online Network Intrusion Detection.</t>
  </si>
  <si>
    <t>{"CorpusId": 260495159, "DOI": "10.14722/NDSS.2018.23204", "MAG": "2963197901"}</t>
  </si>
  <si>
    <t>10.14722/ndss.2018.23204</t>
  </si>
  <si>
    <t>https://doi.org/10.14722/ndss.2018.23204</t>
  </si>
  <si>
    <t>101b3fe3ee6eefb8306b9e9184f5137d895821ac</t>
  </si>
  <si>
    <t>EAACK—A Secure Intrusion-Detection System for MANETs</t>
  </si>
  <si>
    <t>2013-03-01</t>
  </si>
  <si>
    <t>{"CorpusId": 14810654, "DBLP": "journals/tie/ShakshukiKS13", "DOI": "10.1109/TIE.2012.2196010", "MAG": "2314159619"}</t>
  </si>
  <si>
    <t>10.1109/tie.2012.2196010</t>
  </si>
  <si>
    <t>1089-1098</t>
  </si>
  <si>
    <t>31; 5; 31</t>
  </si>
  <si>
    <t>570e4fec8c8f1c96b76accbb07d40e0528aafb4a</t>
  </si>
  <si>
    <t>Large Language Models Are Not Robust Multiple Choice Selectors</t>
  </si>
  <si>
    <t>2023-09-07</t>
  </si>
  <si>
    <t>288</t>
  </si>
  <si>
    <t>Multiple choice questions (MCQs) serve as a common yet important task format in the evaluation of large language models (LLMs). This work shows that modern LLMs are vulnerable to option position changes in MCQs due to their inherent"selection bias", namely, they prefer to select specific option IDs as answers (like"Option A"). Through extensive empirical analyses with 20 LLMs on three benchmarks, we pinpoint that this behavioral bias primarily stems from LLMs' token bias, where the model a priori assigns more probabilistic mass to specific option ID tokens (e.g., A/B/C/D) when predicting answers from the option IDs. To mitigate selection bias, we propose a label-free, inference-time debiasing method, called PriDe, which separates the model's prior bias for option IDs from the overall prediction distribution. PriDe first estimates the prior by permutating option contents on a small number of test samples, and then applies the estimated prior to debias the remaining samples. We demonstrate that it achieves interpretable and transferable debiasing with high computational efficiency. We hope this work can draw broader research attention to the bias and robustness of modern LLMs.</t>
  </si>
  <si>
    <t>{"ArXiv": "2309.03882", "CorpusId": 261582594, "DBLP": "journals/corr/abs-2309-03882", "DOI": "10.48550/arXiv.2309.03882"}</t>
  </si>
  <si>
    <t>10.48550/arxiv.2309.03882</t>
  </si>
  <si>
    <t>https://arxiv.org/pdf/2309.03882</t>
  </si>
  <si>
    <t>24; 7; 36; 61; 72</t>
  </si>
  <si>
    <t>e385d9f832162080025d681aaa8f6bc01ccadc4a</t>
  </si>
  <si>
    <t>k-means-: A Unified Approach to Clustering and Outlier Detection</t>
  </si>
  <si>
    <t>270</t>
  </si>
  <si>
    <t>{"CorpusId": 12826437, "DBLP": "conf/sdm/ChawlaG13", "DOI": "10.1137/1.9781611972832.21", "MAG": "2395916081"}</t>
  </si>
  <si>
    <t>10.1137/1.9781611972832.21</t>
  </si>
  <si>
    <t>189-197</t>
  </si>
  <si>
    <t>44; 63</t>
  </si>
  <si>
    <t>53.5</t>
  </si>
  <si>
    <t>26468c398e42d29eddc2e2b0154b65aae74647dd</t>
  </si>
  <si>
    <t>Towards a Standard Feature Set for Network Intrusion Detection System Datasets</t>
  </si>
  <si>
    <t>2021-01-27</t>
  </si>
  <si>
    <t>262</t>
  </si>
  <si>
    <t>Network Intrusion Detection Systems (NIDSs) are important tools for the protection of computer networks against increasingly frequent and sophisticated cyber attacks. Recently, a lot of research effort has been dedicated to the development of Machine Learning (ML) based NIDSs. As in any ML-based application, the availability of high-quality datasets is critical for the training and evaluation of ML-based NIDS. One of the key problems with the currently available NIDS datasets is the lack of a standard feature set. The use of a unique and proprietary set of features for each of the publicly available datasets makes it virtually impossible to compare the performance of ML-based traffic classifiers on different datasets, and hence to evaluate the ability of these systems to generalise across different network scenarios. To address that limitation, this paper proposes and evaluates standard NIDS feature sets based on the NetFlow network meta-data collection protocol and system. We evaluate and compare two NetFlow-based feature set variants, a version with 12 features, and another one with 43 features. For our evaluation, we converted four widely used NIDS datasets (UNSW-NB15, BoT-IoT, ToN-IoT, CSE-CIC-IDS2018) into new variants with our proposed NetFlow based feature sets. Based on an Extra Tree classifier, we compared the classification performance of the NetFlow-based feature sets with the proprietary feature sets provided with the original datasets. While the smaller feature set cannot match the classification performance of the proprietary feature sets, the larger set with 43 NetFlow features, surprisingly achieves a consistently higher classification performance compared to the original feature set, which was tailored to each of the considered NIDS datasets. The proposed NetFlow-based NIDS feature set, together with four benchmark datasets, made available to the research community, allow a fair comparison of ML-based network traffic classifiers across different NIDS datasets. We believe that having a standard feature set is critical for allowing a more rigorous and thorough evaluation of ML-based NIDSs and that it can help bridge the gap between academic research and the practical deployment of such systems.</t>
  </si>
  <si>
    <t>{"ArXiv": "2101.11315", "CorpusId": 234767614, "DBLP": "journals/monet/SarhanLP22", "DOI": "10.1007/s11036-021-01843-0"}</t>
  </si>
  <si>
    <t>10.1007/s11036-021-01843-0</t>
  </si>
  <si>
    <t>https://arxiv.org/pdf/2101.11315</t>
  </si>
  <si>
    <t>357 - 370</t>
  </si>
  <si>
    <t>16; 20; 30</t>
  </si>
  <si>
    <t>35067cc8153b7e6270797fffaefc5c9cefdfe515</t>
  </si>
  <si>
    <t>A Comprehensive Survey on Graph Anomaly Detection With Deep Learning</t>
  </si>
  <si>
    <t>2021-06-14</t>
  </si>
  <si>
    <t>607</t>
  </si>
  <si>
    <t>Anomalies are rare observations (e.g., data records or events) that deviate significantly from the others in the sample. Over the past few decades, research on anomaly mining has received increasing interests due to the implications of these occurrences in a wide range of disciplines - for instance, security, finance, and medicine. For this reason, anomaly detection, which aims to identify these rare observations, has become one of the most vital tasks in the world and has shown its power in preventing detrimental events, such as financial fraud, network intrusions, and social spam. The detection task is typically solved by identifying outlying data points in the feature space, which, inherently, overlooks the relational information in real-world data. At the same time, graphs have been prevalently used to represent the structural/relational information, which raises the graph anomaly detection problem - identifying anomalous graph objects (i.e., nodes, edges and sub-graphs) in a single graph, or anomalous graphs in a set/database of graphs. Conventional anomaly detection techniques cannot tackle this problem well because of the complexity of graph data (e.g., irregular structures, relational dependencies, node/edge types/attributes/directions/multiplicities/weights, large scale, etc.). However, thanks to the advent of deep learning in breaking these limitations, graph anomaly detection with deep learning has received a growing attention recently. In this survey, we aim to provide a systematic and comprehensive review of the contemporary deep learning techniques for graph anomaly detection. Specifically, we provide a taxonomy that follows a task-driven strategy and categorizes existing work according to the anomalous graph objects that they can detect. We especially focus on the challenges in this research area and discuss the key intuitions, technical details as well as relative strengths and weaknesses of various techniques in each category. From the survey results, we highlight 12 future research directions spanning unsolved and emerging problems introduced by graph data, anomaly detection, deep learning and real-world applications. Additionally, to provide a wealth of useful resources for future studies, we have compiled a set of open-source implementations, public datasets, and commonly-used evaluation metrics. With this survey, our goal is to create a “one-stop-shop” that provides a unified understanding of the problem categories and existing approaches, publicly available hands-on resources, and high-impact open challenges for graph anomaly detection using deep learning.</t>
  </si>
  <si>
    <t>{"ArXiv": "2106.07178", "CorpusId": 235421996, "DBLP": "journals/tkde/MaWXYZSXA23", "DOI": "10.1109/TKDE.2021.3118815"}</t>
  </si>
  <si>
    <t>10.1109/tkde.2021.3118815</t>
  </si>
  <si>
    <t>https://arxiv.org/pdf/2106.07178</t>
  </si>
  <si>
    <t>12012-12038</t>
  </si>
  <si>
    <t>225</t>
  </si>
  <si>
    <t>7; 19; 17; 14; 38; 60; 15</t>
  </si>
  <si>
    <t>24.28571428571428</t>
  </si>
  <si>
    <t>68a820f738046c41b075f4aa2e47663a465c648b</t>
  </si>
  <si>
    <t>Group-aware Label Transfer for Domain Adaptive Person Re-identification</t>
  </si>
  <si>
    <t>Unsupervised Domain Adaptive (UDA) person re-identification (ReID) aims at adapting the model trained on a labeled source-domain dataset to a target-domain dataset without any further annotations. Most successful UDA-ReID approaches combine clustering-based pseudo-label prediction with representation learning and perform the two steps in an alternating fashion. However, offline interaction between these two steps may allow noisy pseudo labels to substantially hinder the capability of the model. In this paper, we propose a Group-aware Label Transfer (GLT) algorithm, which enables the online interaction and mutual promotion of pseudo-label prediction and representation learning. Specifically, a label transfer algorithm simultaneously uses pseudo labels to train the data while refining the pseudo labels as an online clustering algorithm. It treats the online label refinery problem as an optimal transport problem, which explores the minimum cost for assigning M samples to N pseudo labels. More importantly, we introduce a group-aware strategy to assign implicit attribute group IDs to samples. The combination of the online label refining algorithm and the group-aware strategy can better correct the noisy pseudo label in an online fashion and narrow down the search space of the target identity. The effectiveness of the proposed GLT is demonstrated by the experimental results (Rank-1 accuracy) for Market1501→DukeMTMC (82.0%) and DukeMTMC→Market1501 (92.2%), remarkably closing the gap between unsupervised and supervised performance on person re-identification. 1</t>
  </si>
  <si>
    <t>{"ArXiv": "2103.12366", "CorpusId": 232320244, "DBLP": "conf/cvpr/ZhengLH0LZ21", "DOI": "10.1109/CVPR46437.2021.00527", "MAG": "3189423081"}</t>
  </si>
  <si>
    <t>10.1109/cvpr46437.2021.00527</t>
  </si>
  <si>
    <t>https://arxiv.org/pdf/2103.12366</t>
  </si>
  <si>
    <t>5306-5315</t>
  </si>
  <si>
    <t>16; 32; 19; 87; 100; 73</t>
  </si>
  <si>
    <t>54.5</t>
  </si>
  <si>
    <t>a289100678e7d94af836d91cd48d7821ebc5b83d</t>
  </si>
  <si>
    <t>Recommender Systems with Generative Retrieval</t>
  </si>
  <si>
    <t>2023-05-08</t>
  </si>
  <si>
    <t>Modern recommender systems perform large-scale retrieval by first embedding queries and item candidates in the same unified space, followed by approximate nearest neighbor search to select top candidates given a query embedding. In this paper, we propose a novel generative retrieval approach, where the retrieval model autoregressively decodes the identifiers of the target candidates. To that end, we create semantically meaningful tuple of codewords to serve as a Semantic ID for each item. Given Semantic IDs for items in a user session, a Transformer-based sequence-to-sequence model is trained to predict the Semantic ID of the next item that the user will interact with. To the best of our knowledge, this is the first Semantic ID-based generative model for recommendation tasks. We show that recommender systems trained with the proposed paradigm significantly outperform the current SOTA models on various datasets. In addition, we show that incorporating Semantic IDs into the sequence-to-sequence model enhances its ability to generalize, as evidenced by the improved retrieval performance observed for items with no prior interaction history.</t>
  </si>
  <si>
    <t>{"ArXiv": "2305.05065", "CorpusId": 258564854, "DBLP": "conf/nips/RajputMSKVHHT0S23", "DOI": "10.48550/arXiv.2305.05065"}</t>
  </si>
  <si>
    <t>10.48550/arxiv.2305.05065</t>
  </si>
  <si>
    <t>https://arxiv.org/pdf/2305.05065</t>
  </si>
  <si>
    <t>12; 9; 7; 11; 3; 9; 32; 59; 16; 1; 3; 77; 14</t>
  </si>
  <si>
    <t>19.46153846153846</t>
  </si>
  <si>
    <t>c940a2144b1e5cc89bbeb9003b5f3541e50fc9e1</t>
  </si>
  <si>
    <t>eXpose: A Character-Level Convolutional Neural Network with Embeddings For Detecting Malicious URLs, File Paths and Registry Keys</t>
  </si>
  <si>
    <t>2017-02-27</t>
  </si>
  <si>
    <t>209</t>
  </si>
  <si>
    <t>For years security machine learning research has promised to obviate the need for signature based detection by automatically learning to detect indicators of attack. Unfortunately, this vision hasn't come to fruition: in fact, developing and maintaining today's security machine learning systems can require engineering resources that are comparable to that of signature-based detection systems, due in part to the need to develop and continuously tune the "features" these machine learning systems look at as attacks evolve. Deep learning, a subfield of machine learning, promises to change this by operating on raw input signals and automating the process of feature design and extraction. In this paper we propose the eXpose neural network, which uses a deep learning approach we have developed to take generic, raw short character strings as input (a common case for security inputs, which include artifacts like potentially malicious URLs, file paths, named pipes, named mutexes, and registry keys), and learns to simultaneously extract features and classify using character-level embeddings and convolutional neural network. In addition to completely automating the feature design and extraction process, eXpose outperforms manual feature extraction based baselines on all of the intrusion detection problems we tested it on, yielding a 5%-10% detection rate gain at 0.1% false positive rate compared to these baselines.</t>
  </si>
  <si>
    <t>{"ArXiv": "1702.08568", "CorpusId": 10486135, "DBLP": "journals/corr/SaxeB17", "MAG": "2592440977"}</t>
  </si>
  <si>
    <t>11; 8</t>
  </si>
  <si>
    <t>d4ec6bc3f55864a34f01e4de38df7652eea17ec6</t>
  </si>
  <si>
    <t>Acing the IOC Game: Toward Automatic Discovery and Analysis of Open-Source Cyber Threat Intelligence</t>
  </si>
  <si>
    <t>2016-10-24</t>
  </si>
  <si>
    <t>{"CorpusId": 6118751, "DBLP": "conf/ccs/LiaoYWLXB16", "DOI": "10.1145/2976749.2978315", "MAG": "2538865281"}</t>
  </si>
  <si>
    <t>10.1145/2976749.2978315</t>
  </si>
  <si>
    <t>https://dl.acm.org/doi/pdf/10.1145/2976749.2978315</t>
  </si>
  <si>
    <t>24; 13; 59; 36; 19; 37</t>
  </si>
  <si>
    <t>31.33333333333333</t>
  </si>
  <si>
    <t>d8f15b9db476a7d90673ea186a621c3f0ae67e6d</t>
  </si>
  <si>
    <t>Optimal Denial-of-Service Attack Scheduling With Energy Constraint</t>
  </si>
  <si>
    <t>2015-03-04</t>
  </si>
  <si>
    <t>526</t>
  </si>
  <si>
    <t>{"CorpusId": 52853191, "DBLP": "journals/tac/ZhangCSC15", "DOI": "10.1109/TAC.2015.2409905", "MAG": "2063688797"}</t>
  </si>
  <si>
    <t>10.1109/tac.2015.2409905</t>
  </si>
  <si>
    <t>3023-3028</t>
  </si>
  <si>
    <t>10; 54; 54; 73</t>
  </si>
  <si>
    <t>47.75</t>
  </si>
  <si>
    <t>05c09c97121700a95801cb28e6c4854c2d25c55b</t>
  </si>
  <si>
    <t>dbNSFP v2.0: A Database of Human Non‐synonymous SNVs and Their Functional Predictions and Annotations</t>
  </si>
  <si>
    <t>2013-09-01</t>
  </si>
  <si>
    <t>Biology; Medicine</t>
  </si>
  <si>
    <t>619</t>
  </si>
  <si>
    <t>dbNSFP is a database developed for functional prediction and annotation of all potential non‐synonymous single‐nucleotide variants (nsSNVs) in the human genome. This database significantly facilitates the process of querying predictions and annotations from different databases/web‐servers for large amounts of nsSNVs discovered in exome‐sequencing studies. Here we report a recent major update of the database to version 2.0. We have rebuilt the SNV collection based on GENCODE 9 and currently the database includes 87,347,043 nsSNVs and 2,270,742 essential splice site SNVs (an 18% increase compared to dbNSFP v1.0). For each nsSNV dbNSFP v2.0 has added two prediction scores (MutationAssessor and FATHMM) and two conservation scores (GERP++ and SiPhy). The original five prediction and conservation scores in v1.0 (SIFT, Polyphen2, LRT, MutationTaster and PhyloP) have been updated. Rich functional annotations for SNVs and genes have also been added into the new version, including allele frequencies observed in the 1000 Genomes Project phase 1 data and the NHLBI Exome Sequencing Project, various gene IDs from different databases, functional descriptions of genes, gene expression and gene interaction information, among others. dbNSFP v2.0 is freely available for download at http://sites.google.com/site/jpopgen/dbNSFP. ©2013 Wiley‐Liss, Inc.</t>
  </si>
  <si>
    <t>{"CorpusId": 205921770, "DOI": "10.1002/humu.22376", "MAG": "2086072858", "PubMed": "23843252"}</t>
  </si>
  <si>
    <t>10.1002/humu.22376</t>
  </si>
  <si>
    <t>https://doi.org/10.1002/humu.22376</t>
  </si>
  <si>
    <t>25; 28; 200</t>
  </si>
  <si>
    <t>84.33333333333333</t>
  </si>
  <si>
    <t>463cebd03cd47d05b22cd8ad0587579701c96599</t>
  </si>
  <si>
    <t>Warm Up Cold-start Advertisements: Improving CTR Predictions via Learning to Learn ID Embeddings</t>
  </si>
  <si>
    <t>2019-04-25</t>
  </si>
  <si>
    <t>Click-through rate (CTR) prediction has been one of the most central problems in computational advertising. Lately, embedding techniques that produce low-dimensional representations of ad IDs drastically improve CTR prediction accuracies. However, such learning techniques are data demanding and work poorly on new ads with little logging data, which is known as the cold-start problem. In this paper, we aim to improve CTR predictions during both the cold-start phase and the warm-up phase when a new ad is added to the candidate pool. We propose Meta-Embedding, a meta-learning-based approach that learns to generate desirable initial embeddings for new ad IDs. The proposed method trains an embedding generator for new ad IDs by making use of previously learned ads through gradient-based meta-learning. In other words, our method learns how to learn better embeddings. When a new ad comes, the trained generator initializes the embedding of its ID by feeding its contents and attributes. Next, the generated embedding can speed up the model fitting during the warm-up phase when a few labeled examples are available, compared to the existing initialization methods. Experimental results on three real-world datasets showed that Meta-Embedding can significantly improve both the cold-start and warm-up performances for six existing CTR prediction models, ranging from lightweight models such as Factorization Machines to complicated deep models such as PNN and DeepFM. All of the above apply to conversion rate (CVR) predictions as well.</t>
  </si>
  <si>
    <t>{"ArXiv": "1904.11547", "CorpusId": 135465495, "DBLP": "conf/sigir/PanLATH19", "DOI": "10.1145/3331184.3331268", "MAG": "2941014662"}</t>
  </si>
  <si>
    <t>10.1145/3331184.3331268</t>
  </si>
  <si>
    <t>11; 6; 26; 23; 37</t>
  </si>
  <si>
    <t>20.6</t>
  </si>
  <si>
    <t>486e7bcc3526f4f271662f809740d87ac6fcee9f</t>
  </si>
  <si>
    <t>BAT: Deep Learning Methods on Network Intrusion Detection Using NSL-KDD Dataset</t>
  </si>
  <si>
    <t>271</t>
  </si>
  <si>
    <t>Intrusion detection can identify unknown attacks from network traffics and has been an effective means of network security. Nowadays, existing methods for network anomaly detection are usually based on traditional machine learning models, such as KNN, SVM, etc. Although these methods can obtain some outstanding features, they get a relatively low accuracy and rely heavily on manual design of traffic features, which has been obsolete in the age of big data. To solve the problems of low accuracy and feature engineering in intrusion detection, a traffic anomaly detection model BAT is proposed. The BAT model combines BLSTM (Bidirectional Long Short-term memory) and attention mechanism. Attention mechanism is used to screen the network flow vector composed of packet vectors generated by the BLSTM model, which can obtain the key features for network traffic classification. In addition, we adopt multiple convolutional layers to capture the local features of traffic data. As multiple convolutional layers are used to process data samples, we refer BAT model as BAT-MC. The softmax classifier is used for network traffic classification. The proposed end-to-end model does not use any feature engineering skills and can automatically learn the key features of the hierarchy. It can well describe the network traffic behavior and improve the ability of anomaly detection effectively. We test our model on a public benchmark dataset, and the experimental results demonstrate our model has better performance than other comparison methods.</t>
  </si>
  <si>
    <t>{"CorpusId": 211227741, "DBLP": "journals/access/SuSZWL20", "DOI": "10.1109/ACCESS.2020.2972627", "MAG": "3005630930"}</t>
  </si>
  <si>
    <t>10.1109/access.2020.2972627</t>
  </si>
  <si>
    <t>https://ieeexplore.ieee.org/ielx7/6287639/8948470/08988230.pdf</t>
  </si>
  <si>
    <t>29575-29585</t>
  </si>
  <si>
    <t>7; 7; 10; 4; 3</t>
  </si>
  <si>
    <t>6.2</t>
  </si>
  <si>
    <t>55e552306de9a960d86c94e50daf31d63ed6ac5b</t>
  </si>
  <si>
    <t>THREATRACE: Detecting and Tracing Host-Based Threats in Node Level Through Provenance Graph Learning</t>
  </si>
  <si>
    <t>2021-11-08</t>
  </si>
  <si>
    <t>Host-based threats such as Program Attack, Malware Implantation, and Advanced Persistent Threats (APT), are commonly adopted by modern attackers. Recent studies propose leveraging the rich contextual information in data provenance to detect threats in a host. Data provenance is a directed acyclic graph constructed from system audit data. Nodes in a provenance graph represent system entities (e.g., $processes$ and $files$ ) and edges represent system calls in the direction of information flow. However, previous studies, which extract features of the provenance graph, are not sensitive to the small quantity of threat-related entities and thus result in low performance when hunting stealthy threats. We present THREATRACE, an anomaly-based detector that detects host-based threats at system entity level without prior knowledge of attack patterns. We tailor GraphSAGE, an inductive graph neural network, to learn every benign entity’s role in a provenance graph. THREATRACE is a real-time system, which is scalable of monitoring a long-term running host and capable of detecting host-based intrusion in their early phase. We evaluate THREATRACE on five public datasets. The results show that THREATRACE outperforms seven state-of-the-art host intrusion detection systems.</t>
  </si>
  <si>
    <t>{"ArXiv": "2111.04333", "CorpusId": 243847506, "DBLP": "journals/corr/abs-2111-04333", "DOI": "10.1109/TIFS.2022.3208815"}</t>
  </si>
  <si>
    <t>10.1109/tifs.2022.3208815</t>
  </si>
  <si>
    <t>http://arxiv.org/pdf/2111.04333</t>
  </si>
  <si>
    <t>3972-3987</t>
  </si>
  <si>
    <t>9; 9; 9; 13; 22; 9; 9; 20; 14</t>
  </si>
  <si>
    <t>ad86e6aa3081a00a0fd73fb20130422c0e8dc4c9</t>
  </si>
  <si>
    <t>Building an efficient intrusion detection system based on feature selection and ensemble classifier</t>
  </si>
  <si>
    <t>2019-04-02</t>
  </si>
  <si>
    <t>377</t>
  </si>
  <si>
    <t>{"ArXiv": "1904.01352", "CorpusId": 263878571, "DBLP": "journals/cn/ZhouCJD20", "DOI": "10.1016/j.comnet.2020.107247", "MAG": "3014732532"}</t>
  </si>
  <si>
    <t>10.1016/j.comnet.2020.107247</t>
  </si>
  <si>
    <t>https://arxiv.org/pdf/1904.01352</t>
  </si>
  <si>
    <t>107247</t>
  </si>
  <si>
    <t>12; 5; 8; 2</t>
  </si>
  <si>
    <t>6.75</t>
  </si>
  <si>
    <t>b3e3a2ec4e411e07a31972745e2eea537b9eb20c</t>
  </si>
  <si>
    <t>Improved Zero-shot Neural Machine Translation via Ignoring Spurious Correlations</t>
  </si>
  <si>
    <t>2019-06-04</t>
  </si>
  <si>
    <t>Zero-shot translation, translating between language pairs on which a Neural Machine Translation (NMT) system has never been trained, is an emergent property when training the system in multilingual settings. However, naive training for zero-shot NMT easily fails, and is sensitive to hyper-parameter setting. The performance typically lags far behind the more conventional pivot-based approach which translates twice using a third language as a pivot. In this work, we address the degeneracy problem due to capturing spurious correlations by quantitatively analyzing the mutual information between language IDs of the source and decoded sentences. Inspired by this analysis, we propose to use two simple but effective approaches: (1) decoder pre-training; (2) back-translation. These methods show significant improvement (4 22 BLEU points) over the vanilla zero-shot translation on three challenging multilingual datasets, and achieve similar or better results than the pivot-based approach.</t>
  </si>
  <si>
    <t>{"ACL": "P19-1121", "ArXiv": "1906.01181", "CorpusId": 174798218, "DBLP": "journals/corr/abs-1906-01181", "DOI": "10.18653/v1/P19-1121", "MAG": "2952153923"}</t>
  </si>
  <si>
    <t>10.18653/v1/p19-1121</t>
  </si>
  <si>
    <t>https://www.aclweb.org/anthology/P19-1121.pdf</t>
  </si>
  <si>
    <t>50; 10; 92; 34</t>
  </si>
  <si>
    <t>46.5</t>
  </si>
  <si>
    <t>cc4038e142279849f758cd8c35898d88bb081525</t>
  </si>
  <si>
    <t>Platform 2012, a many-core computing accelerator for embedded SoCs: Performance evaluation of visual analytics applications</t>
  </si>
  <si>
    <t>2012-06-03</t>
  </si>
  <si>
    <t>{"CorpusId": 15725095, "DBLP": "conf/dac/MelpignanoBFJLHCD12", "DOI": "10.1145/2228360.2228568", "MAG": "1974927420"}</t>
  </si>
  <si>
    <t>10.1145/2228360.2228568</t>
  </si>
  <si>
    <t>1137-1142</t>
  </si>
  <si>
    <t>8; 106; 16; 2; 9; 11; 31; 13</t>
  </si>
  <si>
    <t>24.5</t>
  </si>
  <si>
    <t>f0b629d20e54ab62377434c4e5bfaa924bdc25a1</t>
  </si>
  <si>
    <t>FreeSolv: a database of experimental and calculated hydration free energies, with input files</t>
  </si>
  <si>
    <t>2014-06-14</t>
  </si>
  <si>
    <t>430</t>
  </si>
  <si>
    <t>{"CorpusId": 207165955, "DBLP": "journals/jcamd/MobleyG14", "DOI": "10.1007/s10822-014-9747-x", "MAG": "2008505552", "PubMed": "24928188"}</t>
  </si>
  <si>
    <t>10.1007/s10822-014-9747-x</t>
  </si>
  <si>
    <t>https://europepmc.org/articles/pmc4113415?pdf=render</t>
  </si>
  <si>
    <t>711-720</t>
  </si>
  <si>
    <t>57; 57; 31</t>
  </si>
  <si>
    <t>48.33333333333334</t>
  </si>
  <si>
    <t>172f096eecc0290442b35908fbef01d62e668e0a</t>
  </si>
  <si>
    <t>RFUZZ: Coverage-Directed Fuzz Testing of RTL on FPGAs</t>
  </si>
  <si>
    <t>2018-11-05</t>
  </si>
  <si>
    <t>135</t>
  </si>
  <si>
    <t>Dynamic verification is widely used to increase confidence in the correctness of RTL circuits during the pre-silicon design phase. Despite numerous attempts over the last decades to automate the stimuli generation based on coverage feedback, Coverage Directed Test Generation (CDG) has not found the widespread adoption that one would expect. Based on new ideas from the software testing community around coverage-guided mutational fuzz testing, we propose a new approach to the CDG problem which requires minimal setup and takes advantage of FPGA-accelerated simulation for rapid testing. We provide test input and coverage definitions that allow fuzz testing to be applied to RTL circuit verification. In addition we propose and implement a series of transformation passes that make it feasible to reset arbitrary RTL designs quickly, a requirement for deterministic test execution. Alongside this paper we provide rfuzz, a fully featured implementation of our testing methodology which we make available as open-source software to the research community. An empirical evaluation of RFUZZ shows promising results on archiving coverage for a wide range of different RTL designs ranging from communication IPs to an industry scale 64-bit CPU.</t>
  </si>
  <si>
    <t>{"CorpusId": 53233601, "DBLP": "conf/iccad/LaeuferKKBS18", "DOI": "10.1145/3240765.3240842", "MAG": "2899727632"}</t>
  </si>
  <si>
    <t>10.1145/3240765.3240842</t>
  </si>
  <si>
    <t>https://dl.acm.org/doi/pdf/10.1145/3240765.3240842</t>
  </si>
  <si>
    <t>1-8</t>
  </si>
  <si>
    <t>5; 7; 10; 27; 65</t>
  </si>
  <si>
    <t>191ff0c02d7fd09f7f85ca9a9651be51656ae4b4</t>
  </si>
  <si>
    <t>Fuzziness based semi-supervised learning approach for intrusion detection system</t>
  </si>
  <si>
    <t>2017-02-01</t>
  </si>
  <si>
    <t>{"CorpusId": 205464529, "DBLP": "journals/isci/AshfaqWHAH17", "DOI": "10.1016/j.ins.2016.04.019", "MAG": "2346714907"}</t>
  </si>
  <si>
    <t>10.1016/j.ins.2016.04.019</t>
  </si>
  <si>
    <t>484-497</t>
  </si>
  <si>
    <t>11; 46; 50; 4; 16</t>
  </si>
  <si>
    <t>23cff307ec800043b83103deefc27a8f3a15fbda</t>
  </si>
  <si>
    <t>Intrusion Detection System Using Deep Neural Network for In-Vehicle Network Security</t>
  </si>
  <si>
    <t>2016-06-07</t>
  </si>
  <si>
    <t>552</t>
  </si>
  <si>
    <t>A novel intrusion detection system (IDS) using a deep neural network (DNN) is proposed to enhance the security of in-vehicular network. The parameters building the DNN structure are trained with probability-based feature vectors that are extracted from the in-vehicular network packets. For a given packet, the DNN provides the probability of each class discriminating normal and attack packets, and, thus the sensor can identify any malicious attack to the vehicle. As compared to the traditional artificial neural network applied to the IDS, the proposed technique adopts recent advances in deep learning studies such as initializing the parameters through the unsupervised pre-training of deep belief networks (DBN), therefore improving the detection accuracy. It is demonstrated with experimental results that the proposed technique can provide a real-time response to the attack with a significantly improved detection ratio in controller area network (CAN) bus.</t>
  </si>
  <si>
    <t>{"CorpusId": 18256723, "DOI": "10.1371/journal.pone.0155781", "MAG": "2414564754", "PubMed": "27271802", "PubMedCentral": "4896428"}</t>
  </si>
  <si>
    <t>10.1371/journal.pone.0155781</t>
  </si>
  <si>
    <t>https://journals.plos.org/plosone/article/file?id=10.1371/journal.pone.0155781&amp;type=printable</t>
  </si>
  <si>
    <t>4; 4</t>
  </si>
  <si>
    <t>6dd19b32544413b457b2df4e173f89dc61ec6639</t>
  </si>
  <si>
    <t>Dynamic-MUSIC: accurate device-free indoor localization</t>
  </si>
  <si>
    <t>Device-free passive indoor localization is playing a critical role in many applications such as elderly care, intrusion detection, smart home, etc. However, existing device-free localization systems either suffer from labor-intensive offline training or require dedicated special-purpose devices. To address the challenges, we present our system named MaTrack, which is implemented on commodity off-the-shelf Intel 5300 Wi-Fi cards. MaTrack proposes a novel Dynamic-MUSIC method to detect the subtle reflection signals from human body and further differentiate them from those reflected signals from static objects (furniture, walls, etc.) to identify the human target's angle for localization. MaTrack does not require any offline training compared to existing signature-based systems and is insensitive to changes in environment. With just two receivers, MaTrack is able to achieve a median localization accuracy below 0.6 m when the human is walking, outperforming the state-of-the-art schemes.</t>
  </si>
  <si>
    <t>{"CorpusId": 5049172, "DBLP": "conf/huc/LiLZXWM16", "DOI": "10.1145/2971648.2971665", "MAG": "2509382177"}</t>
  </si>
  <si>
    <t>10.1145/2971648.2971665</t>
  </si>
  <si>
    <t>https://ink.library.smu.edu.sg/sis_research/3390</t>
  </si>
  <si>
    <t>7; 7; 79; 40; 17; 48</t>
  </si>
  <si>
    <t>8498daeeb893870524ffaa63086f8528795003d4</t>
  </si>
  <si>
    <t>Personalized Prompt Learning for Explainable Recommendation</t>
  </si>
  <si>
    <t>2022-02-15</t>
  </si>
  <si>
    <t>Providing user-understandable explanations to justify recommendations could help users better understand the recommended items, increase the system’s ease of use, and gain users’ trust. A typical approach to realize it is natural language generation. However, previous works mostly adopt recurrent neural networks to meet the ends, leaving the potentially more effective pre-trained Transformer models under-explored. In fact, user and item IDs, as important identifiers in recommender systems, are inherently in different semantic space as words that pre-trained models were already trained on. Thus, how to effectively fuse IDs into such models becomes a critical issue. Inspired by recent advancement in prompt learning, we come up with two solutions: find alternative words to represent IDs (called discrete prompt learning) and directly input ID vectors to a pre-trained model (termed continuous prompt learning). In the latter case, ID vectors are randomly initialized but the model is trained in advance on large corpora, so they are actually in different learning stages. To bridge the gap, we further propose two training strategies: sequential tuning and recommendation as regularization. Extensive experiments show that our continuous prompt learning approach equipped with the training strategies consistently outperforms strong baselines on three datasets of explainable recommendation.</t>
  </si>
  <si>
    <t>{"ArXiv": "2202.07371", "CorpusId": 246863587, "DBLP": "journals/corr/abs-2202-07371", "DOI": "10.1145/3580488"}</t>
  </si>
  <si>
    <t>10.1145/3580488</t>
  </si>
  <si>
    <t>https://arxiv.org/pdf/2202.07371</t>
  </si>
  <si>
    <t>85a184fb63ad75a06df858094c0de20a39670128</t>
  </si>
  <si>
    <t>An Adaptive Ensemble Machine Learning Model for Intrusion Detection</t>
  </si>
  <si>
    <t>346</t>
  </si>
  <si>
    <t>In recent years, advanced threat attacks are increasing, but the traditional network intrusion detection system based on feature filtering has some drawbacks which make it difficult to find new attacks in time. This paper takes NSL-KDD data set as the research object, analyses the latest progress and existing problems in the field of intrusion detection technology, and proposes an adaptive ensemble learning model. By adjusting the proportion of training data and setting up multiple decision trees, we construct a MultiTree algorithm. In order to improve the overall detection effect, we choose several base classifiers, including decision tree, random forest, kNN, DNN, and design an ensemble adaptive voting algorithm. We use NSL-KDD Test+ to verify our approach, the accuracy of the MultiTree algorithm is 84.2%, while the final accuracy of the adaptive voting algorithm reaches 85.2%. Compared with other research papers, it is proved that our ensemble model effectively improves detection accuracy. In addition, through the analysis of data, it is found that the quality of data features is an important factor to determine the detection effect. In the future, we should optimize the feature selection and preprocessing of intrusion detection data to achieve better results.</t>
  </si>
  <si>
    <t>{"CorpusId": 195832172, "DBLP": "journals/access/GaoSHNL19", "DOI": "10.1109/ACCESS.2019.2923640", "MAG": "2950250245"}</t>
  </si>
  <si>
    <t>10.1109/access.2019.2923640</t>
  </si>
  <si>
    <t>https://ieeexplore.ieee.org/ielx7/6287639/8600701/08740962.pdf</t>
  </si>
  <si>
    <t>82512-82521</t>
  </si>
  <si>
    <t>7; 11; 18; 7; 4</t>
  </si>
  <si>
    <t>9.4</t>
  </si>
  <si>
    <t>b47be75eb67d5650999a82ef399857ca2c3b9dc1</t>
  </si>
  <si>
    <t>Facebook users have become much more private: A large-scale study</t>
  </si>
  <si>
    <t>2012-03-19</t>
  </si>
  <si>
    <t>{"CorpusId": 16611468, "DBLP": "conf/percom/DeyJR12", "DOI": "10.1109/PerComW.2012.6197508", "MAG": "2118034740"}</t>
  </si>
  <si>
    <t>10.1109/percomw.2012.6197508</t>
  </si>
  <si>
    <t>http://cis.poly.edu/~ross/papers/FacebookPrivacy.pdf</t>
  </si>
  <si>
    <t>346-352</t>
  </si>
  <si>
    <t>11; 7; 68</t>
  </si>
  <si>
    <t>28.66666666666667</t>
  </si>
  <si>
    <t>c551ef5a45f72a689cbf02877290115606019106</t>
  </si>
  <si>
    <t>Text Is All You Need: Learning Language Representations for Sequential Recommendation</t>
  </si>
  <si>
    <t>2023-05-23</t>
  </si>
  <si>
    <t>Sequential recommendation aims to model dynamic user behavior from historical interactions. Existing methods rely on either explicit item IDs or general textual features for sequence modeling to understand user preferences. While promising, these approaches still struggle to model cold-start items or transfer knowledge to new datasets. In this paper, we propose to model user preferences and item features as language representations that can be generalized to new items and datasets. To this end, we present a novel framework, named Recformer, which effectively learns language representations for sequential recommendation. Specifically, we propose to formulate an item as a "sentence" (word sequence) by flattening item key-value attributes described by text so that an item sequence for a user becomes a sequence of sentences. For recommendation, Recformer is trained to understand the "sentence" sequence and retrieve the next "sentence". To encode item sequences, we design a bi-directional Transformer similar to the model Longformer but with different embedding layers for sequential recommendation. For effective representation learning, we propose novel pretraining and finetuning methods which combine language understanding and recommendation tasks. Therefore, Recformer can effectively recommend the next item based on language representations. Extensive experiments conducted on six datasets demonstrate the effectiveness of Recformer for sequential recommendation, especially in low-resource and cold-start settings.</t>
  </si>
  <si>
    <t>{"ArXiv": "2305.13731", "CorpusId": 258841284, "DBLP": "conf/kdd/LiWLFSSM23", "DOI": "10.1145/3580305.3599519"}</t>
  </si>
  <si>
    <t>10.1145/3580305.3599519</t>
  </si>
  <si>
    <t>https://dl.acm.org/doi/pdf/10.1145/3580305.3599519</t>
  </si>
  <si>
    <t>12; 2; 6; 8; 6; 29; 68</t>
  </si>
  <si>
    <t>18.71428571428572</t>
  </si>
  <si>
    <t>d219717aae02ee08ecc36cf015763bf03cbb84e0</t>
  </si>
  <si>
    <t>How to Index Item IDs for Recommendation Foundation Models</t>
  </si>
  <si>
    <t>2023-05-11</t>
  </si>
  <si>
    <t>Recommendation foundation model utilizes large language models (LLM) for recommendation by converting recommendation tasks into natural language tasks. It enables generative recommendation which directly generates the item(s) to recommend rather than calculating a ranking score for each and every candidate item as in traditional recommendation models, simplifying the recommendation pipeline from multi-stage filtering to single-stage filtering. To avoid generating excessively long text and hallucinated recommendations when deciding which item(s) to recommend, creating LLM-compatible item IDs to uniquely identify each item is essential for recommendation foundation models. In this study, we systematically examine the item ID creation and indexing problem for recommendation foundation models, using P5 as an example of the backbone LLM. To emphasize the importance of item indexing, we first discuss the issues of several trivial item indexing methods, such as random indexing, title indexing, and independent indexing. We then propose four simple yet effective solutions, including sequential indexing, collaborative indexing, semantic (content-based) indexing, and hybrid indexing. Our study highlights the significant influence of item indexing methods on the performance of LLM-based recommendation, and our results on real-world datasets validate the effectiveness of our proposed solutions. The research also demonstrates how recent advances on language modeling and traditional IR principles such as indexing can help each other for better learning and inference. Source code and data are available at https://github.com/Wenyueh/LLM-RecSys-ID.</t>
  </si>
  <si>
    <t>{"ArXiv": "2305.06569", "CorpusId": 258615345, "DBLP": "journals/corr/abs-2305-06569", "DOI": "10.1145/3624918.3625339"}</t>
  </si>
  <si>
    <t>10.1145/3624918.3625339</t>
  </si>
  <si>
    <t>https://arxiv.org/pdf/2305.06569</t>
  </si>
  <si>
    <t>20; 21; 30; 31</t>
  </si>
  <si>
    <t>d21b995b656f320244c17f00b925e49c17ca646c</t>
  </si>
  <si>
    <t>Flow-based benchmark data sets for intrusion detection</t>
  </si>
  <si>
    <t>{"CorpusId": 3637071, "MAG": "2965111056"}</t>
  </si>
  <si>
    <t>11; 5; 2; 19; 53</t>
  </si>
  <si>
    <t>03053dbfbac1af6159e11d20fc5806f84f3320a5</t>
  </si>
  <si>
    <t>Towards automated protocol reverse engineering using semantic information</t>
  </si>
  <si>
    <t>2014-06-04</t>
  </si>
  <si>
    <t>126</t>
  </si>
  <si>
    <t>{"CorpusId": 9258200, "DBLP": "conf/ccs/BossertGH14", "DOI": "10.1145/2590296.2590346", "MAG": "2018506753"}</t>
  </si>
  <si>
    <t>10.1145/2590296.2590346</t>
  </si>
  <si>
    <t>3; 2; 8</t>
  </si>
  <si>
    <t>3c1232c55389a1130fb9a03338624140adaf9ad2</t>
  </si>
  <si>
    <t>Unbiased offline recommender evaluation for missing-not-at-random implicit feedback</t>
  </si>
  <si>
    <t>2018-09-27</t>
  </si>
  <si>
    <t>Implicit-feedback Recommenders (ImplicitRec) leverage positive only user-item interactions, such as clicks, to learn personalized user preferences. Recommenders are often evaluated and compared offline using datasets collected from online platforms. These platforms are subject to popularity bias (i.e., popular items are more likely to be presented and interacted with), and therefore logged ground truth data are Missing-Not-At-Random (MNAR). As a result, the widely used Average-Over-All (AOA) evaluator is biased toward accurately recommending trendy items. In this paper, we (a) investigate evaluation bias of AOA and (b) develop an unbiased and practical offline evaluator for implicit MNAR datasets using the Inverse-Propensity-Scoring (IPS) technique. Through extensive experiments using four real-world datasets and four widely used algorithms, we show that (a) popularity bias is widely manifested in item presentation and interaction; (b) evaluation bias due to MNAR data pervasively exists in most cases where AOA is used to evaluate ImplicitRec; and (c) the unbiased estimator significantly reduces the AOA evaluation bias by more than 30% in the Yahoo! music dataset in terms of the Mean Absolute Error (MAE).</t>
  </si>
  <si>
    <t>{"CorpusId": 51992468, "DBLP": "conf/recsys/YangCXWBE18", "DOI": "10.1145/3240323.3240355", "MAG": "2892888989"}</t>
  </si>
  <si>
    <t>10.1145/3240323.3240355</t>
  </si>
  <si>
    <t>https://dl.acm.org/doi/pdf/10.1145/3240323.3240355</t>
  </si>
  <si>
    <t>19; 26; 1; 18; 101; 24</t>
  </si>
  <si>
    <t>31.5</t>
  </si>
  <si>
    <t>6c09ff5a42eb18873281a571840c837d79261247</t>
  </si>
  <si>
    <t>BEACON: Directed Grey-Box Fuzzing with Provable Path Pruning</t>
  </si>
  <si>
    <t>2022-05-01</t>
  </si>
  <si>
    <t>Unlike coverage-based fuzzing that gives equal attention to every part of a code, directed fuzzing aims to direct a fuzzer to a specific target in the code, e.g., the code with potential vulnerabilities. Despite much progress, we observe that existing directed fuzzers are still not efficient as they often symbolically or concretely execute a lot of program paths that cannot reach the target code. They thus waste a lot of computational resources. This paper presents BEACON, which can effectively direct a grey-box fuzzer in the sea of paths in a provable manner. That is, assisted by a lightweight static analysis that computes abstracted preconditions for reaching the target, we can prune 82.94% of the executing paths at runtime with negligible analysis overhead (&lt;5h) but with the guarantee that the pruned paths must be spurious with respect to the target. We have implemented our approach, BEACON, and compared it to five state-of-the-art (directed) fuzzers in the application scenario of vulnerability reproduction. The evaluation results demonstrate that BEACON is 11.50x faster on average than existing directed grey-box fuzzers and it can also improve the speed of the conventional coverage-guided fuzzers, AFL, AFL++, and Mopt, to reproduce specific bugs with 6.31x, 11.86x, and 10.92x speedup, respectively. More interestingly, when used to test the vulnerability patches, BEACON found 14 incomplete fixes of existing CVE-identified vulnerabilities and 8 new bugs while 10 of them are exploitable with new CVE ids assigned.</t>
  </si>
  <si>
    <t>{"CorpusId": 237589338, "DBLP": "conf/sp/HuangGSYWZ22", "DOI": "10.1109/sp46214.2022.9833751"}</t>
  </si>
  <si>
    <t>10.1109/sp46214.2022.9833751</t>
  </si>
  <si>
    <t>36-50</t>
  </si>
  <si>
    <t>8; 4; 15; 11; 25; 25</t>
  </si>
  <si>
    <t>7d5eee58523e0066057c4008a9afb03b0b6d224d</t>
  </si>
  <si>
    <t>Towards the Detection of Inconsistencies in Public Security Vulnerability Reports</t>
  </si>
  <si>
    <t>{"CorpusId": 148567276, "DBLP": "conf/uss/DongGCXZ019", "MAG": "2964738734"}</t>
  </si>
  <si>
    <t>869-885</t>
  </si>
  <si>
    <t>7; 24; 10; 33; 6; 4</t>
  </si>
  <si>
    <t>94ec8d62b43a74b649592c624653768eea851b44</t>
  </si>
  <si>
    <t>A Time Hierarchy Theorem for the LOCAL Model</t>
  </si>
  <si>
    <t>2017-04-20</t>
  </si>
  <si>
    <t>The celebrated Time Hierarchy Theorem for Turing machines states, informally, that more problems can be solved given more time. The extent to which a time hierarchy-type theorem holds in the classic distributed LOCAL model has been open for many years. In particular, it is consistent with previous results that all natural problems in the LOCAL model can be classified according to a small constant number of complexities, such as O(1), O(log* n), O(log n), 2^{O(sqrt{log n}), etc.In this paper we establish the first time hierarchy theorem for the LOCAL model and prove that several gaps exist in the LOCAL time hierarchy. Our main results are as follows:&amp;#x2022; We define an infinite set of simple coloring problems called Hierarchical 2&amp;#x00BD;-Coloring. A correctly colored graph can be confirmed by simply checking the neighborhood of each vertex, so this problem fits into the class of locally checkable labeling (LCL) problems. However, the complexity of the k-level Hierarchical 2&amp;#x00BD;-Coloring problem is &amp;#x0398;(n^{1/k}), for positive integer k. The upper and lower bounds hold for both general graphs and trees, and for both randomized and deterministic algorithms.&amp;#x2022; Consider any LCL problem on bounded degree trees. We prove an automatic-speedup theorem that states that any randomized n^{o(1)}-time algorithm solving the LCL can be transformed into a deterministic O(log n)-time algorithm. Together with a previous result, this establishes that on trees, there are no natural deterministic complexities in the ranges &amp;#x03C9;(log* n)&amp;#x2014;o(log n) or &amp;#x03C9;(log n)&amp;#x2014;n^{o(1)}.&amp;#x2022; We expose a gap in the randomized time hierarchy on general graphs. Roughly speaking, any randomized algorithm that solves an LCL problem in sublogarithmic time can be sped up to run in O(T_{LLL}) time, which is the complexity of the distributed Lovasz local lemma problem, currently known to be &amp;#x03A9;(log log n) and 2^{O(sqrt{log log n})} on bounded degree graphs.Finally, we revisit Naor and Stockmeyers characterization of O(1)-time LOCAL algorithms for LCL problems (as order-invariant w.r.t. vertex IDs) and calculate the complexity gaps that are directly implied by their proof. For n-rings we see a &amp;#x03C9;(1)&amp;#x2014;o(log* n) complexity gap, for (sqrt{n} &amp;#x00D7; &amp;#x221A;{n})-tori an &amp;#x03C9;(1)&amp;#x2014;o(sqrt{log* n}) gap, and for bounded degree trees and general graphs, an &amp;#x03C9;(1)&amp;#x2014;o(log(log* n)) complexity gap.</t>
  </si>
  <si>
    <t>{"ArXiv": "1704.06297", "CorpusId": 3404804, "DBLP": "conf/focs/ChangP17", "DOI": "10.1109/FOCS.2017.23", "MAG": "2907309485"}</t>
  </si>
  <si>
    <t>10.1109/focs.2017.23</t>
  </si>
  <si>
    <t>https://arxiv.org/pdf/1704.06297</t>
  </si>
  <si>
    <t>156-167</t>
  </si>
  <si>
    <t>21; 39</t>
  </si>
  <si>
    <t>9d8ee01d83c7466f28906d16ff62601de305ada8</t>
  </si>
  <si>
    <t>CICIDS-2017 Dataset Feature Analysis With Information Gain for Anomaly Detection</t>
  </si>
  <si>
    <t>246</t>
  </si>
  <si>
    <t>Feature selection (FS) is one of the important tasks of data preprocessing in data analytics. The data with a large number of features will affect the computational complexity, increase a huge amount of resource usage and time consumption for data analytics. The objective of this study is to analyze relevant and significant features of huge network traffic to be used to improve the accuracy of traffic anomaly detection and to decrease its execution time. Information Gain is the most feature selection technique used in Intrusion Detection System (IDS) research. This study uses Information Gain, ranking and grouping the features according to the minimum weight values to select relevant and significant features, and then implements Random Forest (RF), Bayes Net (BN), Random Tree (RT), Naive Bayes (NB) and J48 classifier algorithms in experiments on CICIDS-2017 dataset. The experiment results show that the number of relevant and significant features yielded by Information Gain affects significantly the improvement of detection accuracy and execution time. Specifically, the Random Forest algorithm has the highest accuracy of 99.86% using the relevant selected features of 22, whereas the J48 classifier algorithm provides an accuracy of 99.87% using 52 relevant selected features with longer execution time.</t>
  </si>
  <si>
    <t>{"CorpusId": 220886469, "DBLP": "journals/access/KurniabudiSDIBB20", "DOI": "10.1109/ACCESS.2020.3009843", "MAG": "3043530913"}</t>
  </si>
  <si>
    <t>10.1109/access.2020.3009843</t>
  </si>
  <si>
    <t>https://ieeexplore.ieee.org/ielx7/6287639/8948470/09142219.pdf</t>
  </si>
  <si>
    <t>132911-132921</t>
  </si>
  <si>
    <t>2; 18; 1; 4; 11; 22</t>
  </si>
  <si>
    <t>b7f01eedf8be50500aafa6051a812f4cb072707d</t>
  </si>
  <si>
    <t>Host-Based Intrusion Detection for VANETs: A Statistical Approach to Rogue Node Detection</t>
  </si>
  <si>
    <t>{"CorpusId": 26650513, "DBLP": "journals/tvt/ZaidiMRNR16", "DOI": "10.1109/TVT.2015.2480244", "MAG": "2498575077"}</t>
  </si>
  <si>
    <t>10.1109/tvt.2015.2480244</t>
  </si>
  <si>
    <t>https://openaccess.city.ac.uk/id/eprint/13055/1/Host%20Based%20IDS%20for%20VANETs.pdf</t>
  </si>
  <si>
    <t>6703-6714</t>
  </si>
  <si>
    <t>4; 5; 18; 81; 41</t>
  </si>
  <si>
    <t>29.8</t>
  </si>
  <si>
    <t>bdf7766a0c76b95a6b7e2a6293d9815cbc13bf0b</t>
  </si>
  <si>
    <t>Evolution of Indoor Positioning Technologies: A Survey</t>
  </si>
  <si>
    <t>2017-03-29</t>
  </si>
  <si>
    <t>427</t>
  </si>
  <si>
    <t>Indoor positioning systems (IPS) use sensors and communication technologies to locate objects in indoor environments. IPS are attracting scientific and enterprise interest because there is a big market opportunity for applying these technologies. There are many previous surveys on indoor positioning systems; however, most of them lack a solid classification scheme that would structurally map a wide field such as IPS, or omit several key technologies or have a limited perspective; finally, surveys rapidly become obsolete in an area as dynamic as IPS. The goal of this paper is to provide a technological perspective of indoor positioning systems, comprising a wide range of technologies and approaches. Further, we classify the existing approaches in a structure in order to guide the review and discussion of the different approaches. Finally, we present a comparison of indoor positioning approaches and present the evolution and trends that we foresee.</t>
  </si>
  <si>
    <t>{"CorpusId": 46642131, "DBLP": "journals/js/BrenaGGRRF17", "DOI": "10.1155/2017/2630413", "MAG": "2603071509"}</t>
  </si>
  <si>
    <t>10.1155/2017/2630413</t>
  </si>
  <si>
    <t>http://downloads.hindawi.com/journals/js/2017/2630413.pdf</t>
  </si>
  <si>
    <t>2630413:1-2630413:21</t>
  </si>
  <si>
    <t>17; 12; 19; 7; 17; 5</t>
  </si>
  <si>
    <t>12.83333333333333</t>
  </si>
  <si>
    <t>cec50957fe8ae37006ac7890d693856beaed4ac9</t>
  </si>
  <si>
    <t>WSN-DS: A Dataset for Intrusion Detection Systems in Wireless Sensor Networks</t>
  </si>
  <si>
    <t>2016-09-29</t>
  </si>
  <si>
    <t>Wireless Sensor Networks (WSN) have become increasingly one of the hottest research areas in computer science due to their wide range of applications including critical military and civilian applications. Such applications have created various security threats, especially in unattended environments. To ensure the security and dependability of WSN services, an Intrusion Detection System (IDS) should be in place. This IDS has to be compatible with the characteristics of WSNs and capable of detecting the largest possible number of security threats. In this paper a specialized dataset for WSN is developed to help better detect and classify four types of Denial of Service (DoS) attacks: Blackhole, Grayhole, Flooding, and Scheduling attacks. This paper considers the use of LEACH protocol which is one of the most popular hierarchical routing protocols in WSNs. A scheme has been defined to collect data from Network Simulator 2 (NS-2) and then processed to produce 23 features. The collected dataset is called WSN-DS. Artificial Neural Network (ANN) has been trained on the dataset to detect and classify different DoS attacks. The results show that WSN-DS improved the ability of IDS to achieve higher classification accuracy rate. WEKA toolbox was used with holdout and 10-Fold Cross Validation methods. The best results were achieved with 10-Fold Cross Validation with one hidden layer. The classification accuracies of attacks were 92.8%, 99.4%, 92.2%, 75.6%, and 99.8% for Blackhole, Flooding, Scheduling, and Grayhole attacks, in addition to the normal case (without attacks), respectively.</t>
  </si>
  <si>
    <t>{"CorpusId": 39586351, "DBLP": "journals/js/AlmomaniKA16", "DOI": "10.1155/2016/4731953", "MAG": "2525336835"}</t>
  </si>
  <si>
    <t>10.1155/2016/4731953</t>
  </si>
  <si>
    <t>http://downloads.hindawi.com/journals/js/2016/4731953.pdf</t>
  </si>
  <si>
    <t>4731953:1-4731953:16</t>
  </si>
  <si>
    <t>21; 2; 12</t>
  </si>
  <si>
    <t>11.66666666666667</t>
  </si>
  <si>
    <t>dd89ce69ee70b4c7b320538d65ea64c1e765987b</t>
  </si>
  <si>
    <t>GeneMarker® HID: A Reliable Software Tool for the Analysis of Forensic STR Data</t>
  </si>
  <si>
    <t>2011-01-01</t>
  </si>
  <si>
    <t>Engineering; Medicine</t>
  </si>
  <si>
    <t>155</t>
  </si>
  <si>
    <t>{"CorpusId": 35293471, "DOI": "10.1111/j.1556-4029.2010.01565.x", "MAG": "2148895984", "PubMed": "20887353"}</t>
  </si>
  <si>
    <t>10.1111/j.1556-4029.2010.01565.x</t>
  </si>
  <si>
    <t>27; 78</t>
  </si>
  <si>
    <t>52.5</t>
  </si>
  <si>
    <t>f038117332bd6d4b3f59d963bcc211337678f363</t>
  </si>
  <si>
    <t>16.2 A 0.19pJ/b PVT-variation-tolerant hybrid physically unclonable function circuit for 100% stable secure key generation in 22nm CMOS</t>
  </si>
  <si>
    <t>2014-03-06</t>
  </si>
  <si>
    <t>198</t>
  </si>
  <si>
    <t>{"CorpusId": 6786120, "DBLP": "conf/isscc/MathewSAKHACPKD14", "DOI": "10.1109/ISSCC.2014.6757433", "MAG": "2001067488"}</t>
  </si>
  <si>
    <t>10.1109/isscc.2014.6757433</t>
  </si>
  <si>
    <t>278-279</t>
  </si>
  <si>
    <t>36; 19; 33; 26; 30; 23; 26; 6; 40; 59</t>
  </si>
  <si>
    <t>f270e76c55c9ef7ca8337bc5e9fd4deda27d5ac9</t>
  </si>
  <si>
    <t>GO-Elite: a flexible solution for pathway and ontology over-representation</t>
  </si>
  <si>
    <t>2012-06-27</t>
  </si>
  <si>
    <t>Summary: We introduce GO-Elite, a flexible and powerful pathway analysis tool for a wide array of species, identifiers (IDs), pathways, ontologies and gene sets. In addition to the Gene Ontology (GO), GO-Elite allows the user to perform over-representation analysis on any structured ontology annotations, pathway database or biological IDs (e.g. gene, protein or metabolite). GO-Elite exploits the structured nature of biological ontologies to report a minimal set of non-overlapping terms. The results can be visualized on WikiPathways or as networks. Built-in support is provided for over 60 species and 50 ID systems, covering gene, disease and phenotype ontologies, multiple pathway databases, biomarkers, and transcription factor and microRNA targets. GO-Elite is available as a web interface, GenMAPP-CS plugin and as a cross-platform application. Availability: http://www.genmapp.org/go_elite Contact: nsalomonis@gladstone.ucsf.edu Supplementary Information: Supplementary data are available at Bioinformatics online.</t>
  </si>
  <si>
    <t>{"CorpusId": 15911430, "DBLP": "journals/bioinformatics/ZambonGHHVECPS12", "DOI": "10.1093/bioinformatics/bts366", "PubMed": "22743224", "PubMedCentral": "3413395"}</t>
  </si>
  <si>
    <t>10.1093/bioinformatics/bts366</t>
  </si>
  <si>
    <t>https://academic.oup.com/bioinformatics/article-pdf/28/16/2209/16906007/bts366.pdf</t>
  </si>
  <si>
    <t>2209 - 2210</t>
  </si>
  <si>
    <t>2010</t>
  </si>
  <si>
    <t>33; 17; 2; 29; 54; 48; 72; 47; 54</t>
  </si>
  <si>
    <t>39.55555555555556</t>
  </si>
  <si>
    <t>f6f4360d03cc2941620838c769a371aa9e256157</t>
  </si>
  <si>
    <t>CANet: An Unsupervised Intrusion Detection System for High Dimensional CAN Bus Data</t>
  </si>
  <si>
    <t>2019-06-06</t>
  </si>
  <si>
    <t>We propose a neural network architecture for detecting intrusions on the controller area network (CAN). The latter is the standard communication method between the electronic control units (ECUs) of automobiles. However, CAN lacks security mechanisms and it has recently been shown that it can be attacked remotely. Hence, it is desirable to monitor CAN traffic to detect intrusions. In order to find both, known and unknown intrusion scenarios, we consider a novel unsupervised learning approach which we call CANet. To our knowledge, this is the first deep learning based intrusion detection system (IDS) that naturally handles the data structure of the high dimensional CAN bus, where different message types are sent at different times. Our method is evaluated on real and synthetic CAN data. A comparison with previous machine learning based methods shows that CANet outperforms them by a significant margin. For reproducibility of the method, our synthetic data is publicly available.</t>
  </si>
  <si>
    <t>{"ArXiv": "1906.02492", "CorpusId": 174803009, "DBLP": "journals/access/HanselmannSDU20", "DOI": "10.1109/ACCESS.2020.2982544", "MAG": "3013201023"}</t>
  </si>
  <si>
    <t>10.1109/access.2020.2982544</t>
  </si>
  <si>
    <t>https://ieeexplore.ieee.org/ielx7/6287639/8948470/09044377.pdf</t>
  </si>
  <si>
    <t>58194-58205</t>
  </si>
  <si>
    <t>5; 9; 2; 5</t>
  </si>
  <si>
    <t>5.25</t>
  </si>
  <si>
    <t>0a1fc6f5d6955ec24f07902813f6e403db35ce1c</t>
  </si>
  <si>
    <t>Multi-resource fair queueing for packet processing</t>
  </si>
  <si>
    <t>2012-08-13</t>
  </si>
  <si>
    <t>{"CorpusId": 8093122, "DBLP": "conf/sigcomm/GhodsiSZS12", "DOI": "10.1145/2342356.2342358", "MAG": "2113551315"}</t>
  </si>
  <si>
    <t>10.1145/2342356.2342358</t>
  </si>
  <si>
    <t>https://dl.acm.org/doi/pdf/10.1145/2342356.2342358</t>
  </si>
  <si>
    <t>1-12</t>
  </si>
  <si>
    <t>59; 62; 75; 77</t>
  </si>
  <si>
    <t>68.25</t>
  </si>
  <si>
    <t>2788f382e4396290acfc8b21df45cc811586e66e</t>
  </si>
  <si>
    <t>Deep Attributes Driven Multi-Camera Person Re-identification</t>
  </si>
  <si>
    <t>2016-05-11</t>
  </si>
  <si>
    <t>410</t>
  </si>
  <si>
    <t>The visual appearance of a person is easily affected by many factors like pose variations, viewpoint changes and camera parameter differences. This makes person Re-Identification (ReID) among multiple cameras a very challenging task. This work is motivated to learn mid-level human attributes which are robust to such visual appearance variations. And we propose a semi-supervised attribute learning framework which progressively boosts the accuracy of attributes only using a limited number of labeled data. Specifically, this framework involves a three-stage training. A deep Convolutional Neural Network (dCNN) is first trained on an independent dataset labeled with attributes. Then it is fine-tuned on another dataset only labeled with person IDs using our defined triplet loss. Finally, the updated dCNN predicts attribute labels for the target dataset, which is combined with the independent dataset for the final round of fine-tuning. The predicted attributes, namely \emph{deep attributes} exhibit superior generalization ability across different datasets. By directly using the deep attributes with simple Cosine distance, we have obtained surprisingly good accuracy on four person ReID datasets. Experiments also show that a simple metric learning modular further boosts our method, making it significantly outperform many recent works.</t>
  </si>
  <si>
    <t>{"ArXiv": "1605.03259", "CorpusId": 5231143, "DBLP": "journals/corr/SuZX0T16", "DOI": "10.1007/978-3-319-46475-6_30", "MAG": "2361187101"}</t>
  </si>
  <si>
    <t>10.1007/978-3-319-46475-6_30</t>
  </si>
  <si>
    <t>18; 48; 50; 44; 85</t>
  </si>
  <si>
    <t>35035730522100837a8f62f01404f6492d266212</t>
  </si>
  <si>
    <t>Novel Geometric Area Analysis Technique for Anomaly Detection Using Trapezoidal Area Estimation on Large-Scale Networks</t>
  </si>
  <si>
    <t>2019-12-01</t>
  </si>
  <si>
    <t>The prevalence of interconnected appliances and ubiquitous computing face serious threats from the hostile activities of network attackers. Conventional Intrusion Detection Systems (IDSs) are incapable of detecting these intrusive events as their outcomes reflect high false positive rates (FPRs). In this paper, we present a novel Geometric Area Analysis (GAA) technique based on Trapezoidal Area Estimation (TAE) for each observation computed from the parameters of the Beta Mixture Model (BMM) for features and the distances between observations. As this GAA-based detection depends on the methodology of anomaly-based detection (ADS), it constructs the areas of normal observations in a normal profile with those of the testing set estimated from the same parameters to recognise abnormal patterns. We also design a scalable framework for handling large-scale networks, and our GAA technique considers a decision engine module in this framework. The performance of our GAA technique is evaluated using the NSL-KDD and UNSW-NB15 datasets. To reduce the high-dimensional data of network connections, we apply the Principal Component Analysis (PCA) and evaluate its influence on the GAA technique. The empirical results show that our technique achieves a higher detection rate and lower FPR with a lower processing time than other competing methods.</t>
  </si>
  <si>
    <t>{"CorpusId": 67146547, "DBLP": "journals/tbd/MoustafaSC19", "DOI": "10.1109/TBDATA.2017.2715166", "MAG": "2625602624"}</t>
  </si>
  <si>
    <t>10.1109/tbdata.2017.2715166</t>
  </si>
  <si>
    <t>481-494</t>
  </si>
  <si>
    <t>50; 23; 12</t>
  </si>
  <si>
    <t>382c536a9def85e77a4b227a955eaaea7ab42a19</t>
  </si>
  <si>
    <t>Intrusion Detection Based on Autoencoder and Isolation Forest in Fog Computing</t>
  </si>
  <si>
    <t>Fog Computing has emerged as an extension to cloud computing by providing an efficient infrastructure to support IoT. Fog computing acting as a mediator provides local processing of the end-users’ requests and reduced delays in communication between the end-users and the cloud via fog devices. Therefore, the authenticity of incoming network traffic on the fog devices is of immense importance. These devices are vulnerable to malicious attacks. All kinds of information, especially financial and health information travel through these devices. Attackers target these devices by sending malicious data packets. It is imperative to detect these intrusions to provide secure and reliable service to the user. So, an effective Intrusion Detection System (IDS) is essential for the secure functioning of fog without compromising efficiency. In this paper, we propose a method (Auto-IF) for intrusion detection based on deep learning approach using Autoencoder (AE) and Isolation Forest (IF) for the fog environment. This approach targets only binary classification of the incoming packets as fog devices are more concerned about differentiating attack from normal packets in real-time. We validate the proposed method on the benchmark NSL-KDD dataset. Our technique of intrusion detection achieves a high accuracy rate of 95.4% as compared to many other state-of-art intrusion detection methods.</t>
  </si>
  <si>
    <t>{"CorpusId": 221913248, "DBLP": "journals/access/SadafS20", "DOI": "10.1109/ACCESS.2020.3022855", "MAG": "3085865982"}</t>
  </si>
  <si>
    <t>10.1109/access.2020.3022855</t>
  </si>
  <si>
    <t>https://ieeexplore.ieee.org/ielx7/6287639/8948470/09189883.pdf</t>
  </si>
  <si>
    <t>167059-167068</t>
  </si>
  <si>
    <t>3; 9</t>
  </si>
  <si>
    <t>56e0605f0236be4d1b09cf6c6f62bd76c8581587</t>
  </si>
  <si>
    <t>SECURITY ENGINEERING: A GUIDE TO BUILDING DEPENDABLE DISTRIBUTED SYSTEMS</t>
  </si>
  <si>
    <t>{"CorpusId": 17625742}</t>
  </si>
  <si>
    <t>6906431861dff300461e595f756c13c95a9507cb</t>
  </si>
  <si>
    <t>A Survey on Security for Mobile Devices</t>
  </si>
  <si>
    <t>{"CorpusId": 6670217, "DBLP": "journals/comsur/PollaMS13", "DOI": "10.1109/SURV.2012.013012.00028", "MAG": "2116668505"}</t>
  </si>
  <si>
    <t>10.1109/surv.2012.013012.00028</t>
  </si>
  <si>
    <t>http://puma.isti.cnr.it/rmydownload.php?filename=cnr.iit/cnr.iit/2011-TR-026/2011-TR-026.pdf</t>
  </si>
  <si>
    <t>446-471</t>
  </si>
  <si>
    <t>5; 43; 22</t>
  </si>
  <si>
    <t>6c7e55e3b53029296097ee07ba75b6b6a98b14e5</t>
  </si>
  <si>
    <t>Intrusion detection system based on the analysis of time intervals of CAN messages for in-vehicle network</t>
  </si>
  <si>
    <t>2016-01-13</t>
  </si>
  <si>
    <t>339</t>
  </si>
  <si>
    <t>{"CorpusId": 9333718, "DBLP": "conf/icoin/SongKK16", "DOI": "10.1109/ICOIN.2016.7427089", "MAG": "2296701710"}</t>
  </si>
  <si>
    <t>10.1109/icoin.2016.7427089</t>
  </si>
  <si>
    <t>63-68</t>
  </si>
  <si>
    <t>8; 1; 33</t>
  </si>
  <si>
    <t>77462b767a378aa6207cbff5b100379fe8a55f6b</t>
  </si>
  <si>
    <t>AdSplit: Separating Smartphone Advertising from Applications</t>
  </si>
  <si>
    <t>2012-02-17</t>
  </si>
  <si>
    <t>265</t>
  </si>
  <si>
    <t>A wide variety of smartphone applications today rely on third-party advertising services, which provide libraries that are linked into the hosting application. This situation is undesirable for both the application author and the advertiser. Advertising libraries require their own permissions, resulting in additional permission requests to users. Likewise, a malicious application could simulate the behavior of the advertising library, forging the user's interaction and stealing money from the advertiser. This paper describes AdSplit, where we extended Android to allow an application and its advertising to run as separate processes, under separate user-ids, eliminating the need for applications to request permissions on behalf of their advertising libraries, and providing services to validate the legitimacy of clicks, locally and remotely. AdSplit automatically recompiles apps to extract their ad services, and we measure minimal runtime overhead. AdSplit also supports a system resource that allows advertisements to display their content in an embedded HTML widget, without requiring any native code.</t>
  </si>
  <si>
    <t>{"ArXiv": "1202.4030", "CorpusId": 1159052, "DBLP": "journals/usenix-login/ShekharDW12", "MAG": "2530409086"}</t>
  </si>
  <si>
    <t>553-567</t>
  </si>
  <si>
    <t>24; 5; 49</t>
  </si>
  <si>
    <t>c27762257f068fdbb2ad34e8f787d8af13fac7d1</t>
  </si>
  <si>
    <t>An Analysis of Anonymity in Bitcoin Using P2P Network Traffic</t>
  </si>
  <si>
    <t>2014-03-03</t>
  </si>
  <si>
    <t>{"CorpusId": 225868, "DBLP": "conf/fc/KoshyKM14", "DOI": "10.1007/978-3-662-45472-5_30", "MAG": "154851090"}</t>
  </si>
  <si>
    <t>10.1007/978-3-662-45472-5_30</t>
  </si>
  <si>
    <t>469-485</t>
  </si>
  <si>
    <t>4; 1; 75</t>
  </si>
  <si>
    <t>d1de5561f7d0285b57ff43e8cf4219e13f930c75</t>
  </si>
  <si>
    <t>Deep Learning Approach Combining Sparse Autoencoder With SVM for Network Intrusion Detection</t>
  </si>
  <si>
    <t>2018-09-24</t>
  </si>
  <si>
    <t>378</t>
  </si>
  <si>
    <t>Network intrusion detection systems (NIDSs) provide a better solution to network security than other traditional network defense technologies, such as firewall systems. The success of NIDS is highly dependent on the performance of the algorithms and improvement methods used to increase the classification accuracy and decrease the training and testing times of the algorithms. We propose an effective deep learning approach, self-taught learning (STL)-IDS, based on the STL framework. The proposed approach is used for feature learning and dimensionality reduction. It reduces training and testing time considerably and effectively improves the prediction accuracy of support vector machines (SVM) with regard to attacks. The proposed model is built using the sparse autoencoder mechanism, which is an effective learning algorithm for reconstructing a new feature representation in an unsupervised manner. After the pre-training stage, the new features are fed into the SVM algorithm to improve its detection capability for intrusion and classification accuracy. Moreover, the efficiency of the approach in binary and multiclass classification is studied and compared with that of shallow classification methods, such as J48, naive Bayesian, random forest, and SVM. Results show that our approach has accelerated SVM training and testing times and performed better than most of the previous approaches in terms of performance metrics in binary and multiclass classification. The proposed STL-IDS approach improves network intrusion detection and provides a new research method for intrusion detection.</t>
  </si>
  <si>
    <t>{"CorpusId": 52964800, "DBLP": "journals/access/Al-QatfYAA18", "DOI": "10.1109/ACCESS.2018.2869577", "MAG": "2890474333"}</t>
  </si>
  <si>
    <t>10.1109/access.2018.2869577</t>
  </si>
  <si>
    <t>https://doi.org/10.1109/access.2018.2869577</t>
  </si>
  <si>
    <t>52843-52856</t>
  </si>
  <si>
    <t>6; 6; 3; 8</t>
  </si>
  <si>
    <t>087905e62ba928ab6b25e67fc34b1e63814c929a</t>
  </si>
  <si>
    <t>Intrusion Detection Using Big Data and Deep Learning Techniques</t>
  </si>
  <si>
    <t>In this paper, Big Data and Deep Learning Techniques are integrated to improve the performance of intrusion detection systems. Three classifiers are used to classify network traffic datasets, and these are Deep Feed-Forward Neural Network (DNN) and two ensemble techniques, Random Forest and Gradient Boosting Tree (GBT). To select the most relevant attributes from the datasets, we use a homogeneity metric to evaluate features. Two recently published datasets UNSW NB15 and CICIDS2017 are used to evaluate the proposed method. 5-fold cross validation is used in this work to evaluate the machine learning models. We implemented the method using the distributed computing environment Apache Spark, integrated with Keras Deep Learning Library to implement the deep learning technique while the ensemble techniques are implemented using Apache Spark Machine Learning Library. The results show a high accuracy with DNN for binary and multiclass classification on UNSW NB15 dataset with accuracies at 99.16% for binary classification and 97.01% for multiclass classification. While GBT classifier achieved the best accuracy for binary classification with the CICIDS2017 dataset at 99.99%, for multiclass classification DNN has the highest accuracy with 99.56%.</t>
  </si>
  <si>
    <t>{"CorpusId": 146806722, "DBLP": "conf/ACMse/FakerD19", "DOI": "10.1145/3299815.3314439", "MAG": "2944643572"}</t>
  </si>
  <si>
    <t>10.1145/3299815.3314439</t>
  </si>
  <si>
    <t>1; 19</t>
  </si>
  <si>
    <t>12af1905986967798dc31ea646588695f95cf767</t>
  </si>
  <si>
    <t>UWB NLOS/LOS Classification Using Deep Learning Method</t>
  </si>
  <si>
    <t>Ultra-Wide-Band (UWB) was recognized as its great potential in constructing accurate indoor position system (IPS). However, indoor environments were full of complex objects, the signals might be reflected by the obstacles. Compared with the Line-Of-Sight (LOS) signal, the signal transmitting path delay contained in None-Line-Of-Sight (NLOS) signal would induce positive distance errors and position errors. Before employing ranging information from the channels to calculate the position, LOS/NLOS classification or identification was necessary for selecting the “clean” channels. In conventional method, features extracted from the UWB channel impulse response (CIR) or some other signal properties were employed as the input vector of the machine learning methods, e.g. Support Vector Machine (SVM), Multi-layer Perception (MLP). Deep learning methods represented by Convolutional neural network (CNN) and Long Short-Term Memory (LSTM) had performed superior performance in dealing with time series data classification. In this pap er, deep learning method CNN-LSTM was employed in the UWB NLOS/LOS signal classification. UWB CIR data was directly input to the CNN-LSTM. CNN was employed for exploring and extracting the features automatically, and then, the CNN outputs were fed into the LSTM for classification. Open source datasets collected from seven different sites were employed in the experiments. Classification accuracy of CNN-LSTM with different settings was compared for analyzing the performance. The results showed that CNN-LSTM obtained stat e-of-art classification performance.</t>
  </si>
  <si>
    <t>{"CorpusId": 222297672, "DBLP": "journals/icl/JiangSCCLB20", "DOI": "10.1109/LCOMM.2020.2999904", "MAG": "3033032209"}</t>
  </si>
  <si>
    <t>10.1109/lcomm.2020.2999904</t>
  </si>
  <si>
    <t>2226-2230</t>
  </si>
  <si>
    <t>20; 2; 21; 33; 5; 24</t>
  </si>
  <si>
    <t>4e1cff5dee4671db7138a938469a2d062cb5f025</t>
  </si>
  <si>
    <t>Information Directed Sampling and Bandits with Heteroscedastic Noise</t>
  </si>
  <si>
    <t>2018-01-29</t>
  </si>
  <si>
    <t>In the stochastic bandit problem, the goal is to maximize an unknown function via a sequence of noisy function evaluations. Typically, the observation noise is assumed to be independent of the evaluation point and satisfies a tail bound taken uniformly on the domain. In this work, we consider the setting of heteroscedastic noise, that is, we explicitly allow the noise distribution to depend on the evaluation point. We show that this leads to new trade-offs for information and regret, which are not taken into account by existing approaches like upper confidence bound algorithms (UCB) or Thompson Sampling. To address these shortcomings, we introduce a frequentist regret framework, that is similar to the Bayesian analysis of Russo and Van Roy (2014). We prove a new high-probability regret bound for general, possibly randomized policies, depending on a quantity we call the regret-information ratio. From this bound, we define a frequentist version of Information Directed Sampling (IDS) to minimize a surrogate of the regret-information ratio over all possible action sampling distributions. In order to construct the surrogate function, we generalize known concentration inequalities for least squares regression in separable Hilbert spaces to the case of heteroscedastic noise. This allows us to formulate several variants of IDS for linear and reproducing kernel Hilbert space response functions, yielding a family of novel algorithms for Bayesian optimization. We also provide frequentist regret bounds, which in the homoscedastic case are comparable to existing bounds for UCB, but can be much better when the noise is heteroscedastic. Finally, we empirically demonstrate in a linear setting, that some of our methods can outperform UCB and Thompson Sampling, even when the noise is homoscedastic.</t>
  </si>
  <si>
    <t>{"ArXiv": "1801.09667", "CorpusId": 13884040, "DBLP": "conf/colt/KirschnerK18", "DOI": "10.3929/ETHZ-B-000310984", "MAG": "2787284768"}</t>
  </si>
  <si>
    <t>10.3929/ethz-b-000310984</t>
  </si>
  <si>
    <t>358-384</t>
  </si>
  <si>
    <t>11; 90</t>
  </si>
  <si>
    <t>50.5</t>
  </si>
  <si>
    <t>67c5f51666a5e6220cf598a2b9b944903236401d</t>
  </si>
  <si>
    <t>Accurate modeling of Modbus/TCP for intrusion detection in SCADA systems</t>
  </si>
  <si>
    <t>295</t>
  </si>
  <si>
    <t>{"CorpusId": 7814432, "DBLP": "journals/ijcip/GoldenbergW13", "DOI": "10.1016/j.ijcip.2013.05.001", "MAG": "2089944128"}</t>
  </si>
  <si>
    <t>10.1016/j.ijcip.2013.05.001</t>
  </si>
  <si>
    <t>63-75</t>
  </si>
  <si>
    <t>2; 40</t>
  </si>
  <si>
    <t>87a75d7cd83e695ab4de1160519ae92acacef862</t>
  </si>
  <si>
    <t>A novel hybrid intrusion detection method integrating anomaly detection with misuse detection</t>
  </si>
  <si>
    <t>521</t>
  </si>
  <si>
    <t>{"CorpusId": 31074647, "DBLP": "journals/eswa/KimLK14", "DOI": "10.1016/j.eswa.2013.08.066", "MAG": "2066832805"}</t>
  </si>
  <si>
    <t>10.1016/j.eswa.2013.08.066</t>
  </si>
  <si>
    <t>1690-1700</t>
  </si>
  <si>
    <t>7; 9; 24</t>
  </si>
  <si>
    <t>13.33333333333333</t>
  </si>
  <si>
    <t>beceebfe257c237f4e62b0ec4dfb0c52d71b8814</t>
  </si>
  <si>
    <t>PADS: Passive detection of moving targets with dynamic speed using PHY layer information</t>
  </si>
  <si>
    <t>2014-12-01</t>
  </si>
  <si>
    <t>Device-free passive detection is an emerging technology to detect whether there exists any moving entities in the area of interests without attaching any device to them. It is an essential primitive for a broad range of applications including intrusion detection for safety precautions, patient monitoring in hospitals, child and elder care at home, etc. Despite of the prevalent signal feature Received Signal Strength (RSS), most robust and reliable solutions resort to finer-grained channel descriptor at physical layer, e.g., the Channel State Information (CSI) in the 802.11n standard. Among a large body of emerging techniques, however, few of them have explored full potentials of CSI for human detection. Moreover, space diversity supported by nowadays popular multi-antenna systems are not investigated to the comparable extent as frequency diversity. In this paper, we propose a novel scheme for device-free PAssive Detection of moving humans with dynamic Speed (PADS). Both amplitude and phase information of CSI are extracted and shaped into sensitive metrics for target detection; and CSI across multi-antennas in MIMO systems are further exploited to improve the detection accuracy and robustness. We prototype PADS on commercial WiFi devices and experiment results in different scenarios demonstrate that PADS achieves great performance improvement in spite of dynamic human movements.</t>
  </si>
  <si>
    <t>{"CorpusId": 3982670, "DBLP": "conf/icpads/QianWYLZ14", "DOI": "10.1109/PADSW.2014.7097784", "MAG": "2054642006"}</t>
  </si>
  <si>
    <t>10.1109/padsw.2014.7097784</t>
  </si>
  <si>
    <t>https://ink.library.smu.edu.sg/sis_research/4755</t>
  </si>
  <si>
    <t>17; 41; 56; 83; 45</t>
  </si>
  <si>
    <t>48.4</t>
  </si>
  <si>
    <t>c4937bb78870242e515cf3e08b8eb6b921809b71</t>
  </si>
  <si>
    <t>Detection of Outliers Using Interquartile Range Technique from Intrusion Dataset</t>
  </si>
  <si>
    <t>{"CorpusId": 67038239, "DOI": "10.1007/978-981-10-7563-6_53", "MAG": "2796878504"}</t>
  </si>
  <si>
    <t>10.1007/978-981-10-7563-6_53</t>
  </si>
  <si>
    <t>511-518</t>
  </si>
  <si>
    <t>4; 8; 3</t>
  </si>
  <si>
    <t>c6211929b22eca2d99f80e9dc645dd2dd9cda180</t>
  </si>
  <si>
    <t>Mutual information-based feature selection for intrusion detection systems</t>
  </si>
  <si>
    <t>2011-07-01</t>
  </si>
  <si>
    <t>{"CorpusId": 45081771, "DBLP": "journals/jnca/AmiriYLSY11", "DOI": "10.1016/j.jnca.2011.01.002", "MAG": "2076384720"}</t>
  </si>
  <si>
    <t>10.1016/j.jnca.2011.01.002</t>
  </si>
  <si>
    <t>1184-1199</t>
  </si>
  <si>
    <t>9; 4; 3; 21; 22</t>
  </si>
  <si>
    <t>c7f7bb6e8cb4ccc68bdc71d95833308822afb0f7</t>
  </si>
  <si>
    <t>Intrusion Detection System for Healthcare Systems Using Medical and Network Data: A Comparison Study</t>
  </si>
  <si>
    <t>2020-06-05</t>
  </si>
  <si>
    <t>184</t>
  </si>
  <si>
    <t>Introducing IoT systems to healthcare applications has made it possible to remotely monitor patients’ information and provide proper diagnostics whenever needed. However, providing high-security features that guarantee the correctness and confidentiality of patients’ data is a significant challenge. Any alteration to the data could affect the patients’ treatment, leading to human casualties in emergency conditions. Due to the high dimensionality and prominent dynamicity of the data involved in such systems, machine learning has the promise to provide an effective solution when it comes to intrusion detection. However, most of the available healthcare intrusion detection systems either use network flow metrics or patients’ biometric data to build their datasets. This paper aims to show that combining both network and biometric metrics as features performs better than using only one of the two types of features. We have built a real-time Enhanced Healthcare Monitoring System (EHMS) testbed that monitors the patients’ biometrics and collects network flow metrics. The monitored data is sent to a remote server for further diagnostic and treatment decisions. Man-in-the-middle cyber-attacks have been used, and a dataset of more than 16 thousand records of normal and attack healthcare data has been created. The system then applies different machine learning methods for training and testing the dataset against these attacks. Results prove that the performance has improved by 7% to 25% in some cases, and this shows the robustness of the proposed system in providing proper intrusion detection.</t>
  </si>
  <si>
    <t>{"CorpusId": 219858481, "DBLP": "journals/access/HadyGSUJ20", "DOI": "10.1109/ACCESS.2020.3000421", "MAG": "3033120446"}</t>
  </si>
  <si>
    <t>10.1109/access.2020.3000421</t>
  </si>
  <si>
    <t>https://ieeexplore.ieee.org/ielx7/6287639/8948470/09109651.pdf</t>
  </si>
  <si>
    <t>106576-106584</t>
  </si>
  <si>
    <t>6; 5; 16; 16; 60</t>
  </si>
  <si>
    <t>d294d5246e0dd8ed8bd9ec9d24a01fd4ece4fb3c</t>
  </si>
  <si>
    <t>A Detailed Investigation and Analysis of Using Machine Learning Techniques for Intrusion Detection</t>
  </si>
  <si>
    <t>539</t>
  </si>
  <si>
    <t>Intrusion detection is one of the important security problems in todays cyber world. A significant number of techniques have been developed which are based on machine learning approaches. However, they are not very successful in identifying all types of intrusions. In this paper, a detailed investigation and analysis of various machine learning techniques have been carried out for finding the cause of problems associated with various machine learning techniques in detecting intrusive activities. Attack classification and mapping of the attack features is provided corresponding to each attack. Issues which are related to detecting low-frequency attacks using network attack dataset are also discussed and viable methods are suggested for improvement. Machine learning techniques have been analyzed and compared in terms of their detection capability for detecting the various category of attacks. Limitations associated with each category of them are also discussed. Various data mining tools for machine learning have also been included in the paper. At the end, future directions are provided for attack detection using machine learning techniques.</t>
  </si>
  <si>
    <t>{"CorpusId": 65340678, "DBLP": "journals/comsur/MishraVTP19", "DOI": "10.1109/COMST.2018.2847722", "MAG": "2807786182"}</t>
  </si>
  <si>
    <t>10.1109/comst.2018.2847722</t>
  </si>
  <si>
    <t>686-728</t>
  </si>
  <si>
    <t>14; 44; 22; 21</t>
  </si>
  <si>
    <t>d2d29c36cf4f48c30cc2dfc0434e3dc1fc3231bb</t>
  </si>
  <si>
    <t>Intrusion detection model using fusion of chi-square feature selection and multi class SVM</t>
  </si>
  <si>
    <t>2017-10-01</t>
  </si>
  <si>
    <t>411</t>
  </si>
  <si>
    <t>{"CorpusId": 61249628, "DBLP": "journals/jksucis/IkramK17", "DOI": "10.1016/J.JKSUCI.2015.12.004", "MAG": "2326324325"}</t>
  </si>
  <si>
    <t>10.1016/j.jksuci.2015.12.004</t>
  </si>
  <si>
    <t>https://doi.org/10.1016/j.jksuci.2015.12.004</t>
  </si>
  <si>
    <t>462-472</t>
  </si>
  <si>
    <t>6; 12</t>
  </si>
  <si>
    <t>f5a951b9596be0df5ad7ede180b405c9e97a65c9</t>
  </si>
  <si>
    <t>Toward Supervised Anomaly Detection</t>
  </si>
  <si>
    <t>2014-01-22</t>
  </si>
  <si>
    <t>397</t>
  </si>
  <si>
    <t>Anomaly detection is being regarded as an unsupervised learning task as anomalies stem from adversarial or unlikely events with unknown distributions. However, the predictive performance of purely unsupervised anomaly detection often fails to match the required detection rates in many tasks and there exists a need for labeled data to guide the model generation. Our first contribution shows that classical semi-supervised approaches, originating from a supervised classifier, are inappropriate and hardly detect new and unknown anomalies. We argue that semi-supervised anomaly detection needs to ground on the unsupervised learning paradigm and devise a novel algorithm that meets this requirement. Although being intrinsically non-convex, we further show that the optimization problem has a convex equivalent under relatively mild assumptions. Additionally, we propose an active learning strategy to automatically filter candidates for labeling. In an empirical study on network intrusion detection data, we observe that the proposed learning methodology requires much less labeled data than the state-of-the-art, while achieving higher detection accuracies.</t>
  </si>
  <si>
    <t>{"ArXiv": "1401.6424", "CorpusId": 9406699, "DBLP": "journals/jair/GoernitzKRB13", "DOI": "10.1613/jair.3623", "MAG": "2143559571"}</t>
  </si>
  <si>
    <t>10.1613/jair.3623</t>
  </si>
  <si>
    <t>https://jair.org/index.php/jair/article/download/10802/25786</t>
  </si>
  <si>
    <t>235-262</t>
  </si>
  <si>
    <t>16; 41; 42; 28</t>
  </si>
  <si>
    <t>31.75</t>
  </si>
  <si>
    <t>07b7fd724377dd1056f7cb9849ba1055bb522e0d</t>
  </si>
  <si>
    <t>Anomaly detection of CAN bus messages through analysis of ID sequences</t>
  </si>
  <si>
    <t>2017-06-11</t>
  </si>
  <si>
    <t>{"CorpusId": 25832817, "DBLP": "conf/ivs/MarchettiS17", "DOI": "10.1109/IVS.2017.7995934", "MAG": "2739928414"}</t>
  </si>
  <si>
    <t>10.1109/ivs.2017.7995934</t>
  </si>
  <si>
    <t>https://iris.unimore.it/bitstream/11380/1149168/1/FINAL_SUBMISSION.pdf</t>
  </si>
  <si>
    <t>1577-1583</t>
  </si>
  <si>
    <t>25; 8</t>
  </si>
  <si>
    <t>09ed4420f74e4736fc20374ac51a1627792468e8</t>
  </si>
  <si>
    <t>INTRUSION DETECTION USING NAIVE BAYES CLASSIFIER WITH FEATURE REDUCTION</t>
  </si>
  <si>
    <t>463</t>
  </si>
  <si>
    <t>{"CorpusId": 62695076, "DOI": "10.1016/J.PROTCY.2012.05.017", "MAG": "2084496302"}</t>
  </si>
  <si>
    <t>10.1016/j.protcy.2012.05.017</t>
  </si>
  <si>
    <t>https://doi.org/10.1016/j.protcy.2012.05.017</t>
  </si>
  <si>
    <t>119-128</t>
  </si>
  <si>
    <t>0d10c6c188793b1541086b0553cb881737e32730</t>
  </si>
  <si>
    <t>A Supervised Intrusion Detection System for Smart Home IoT Devices</t>
  </si>
  <si>
    <t>2019-07-02</t>
  </si>
  <si>
    <t>388</t>
  </si>
  <si>
    <t>The proliferation in Internet of Things (IoT) devices, which routinely collect sensitive information, is demonstrated by their prominence in our daily lives. Although such devices simplify and automate every day tasks, they also introduce tremendous security flaws. Current insufficient security measures employed to defend smart devices make IoT the “weakest” link to breaking into a secure infrastructure, and therefore an attractive target to attackers. This paper proposes a three layer intrusion detection system (IDS) that uses a supervised approach to detect a range of popular network based cyber-attacks on IoT networks. The system consists of three main functions: 1) classify the type and profile the normal behavior of each IoT device connected to the network; 2) identifies malicious packets on the network when an attack is occurring; and 3) classifies the type of the attack that has been deployed. The system is evaluated within a smart home testbed consisting of eight popular commercially available devices. The effectiveness of the proposed IDS architecture is evaluated by deploying 12 attacks from 4 main network based attack categories, such as denial of service (DoS), man-in-the-middle (MITM)/spoofing, reconnaissance, and replay. Additionally, the system is also evaluated against four scenarios of multistage attacks with complex chains of events. The performance of the system’s three core functions result in an ${F}$ -measure of: 1) 96.2%; 2) 90.0%; and 3) 98.0%. This demonstrates that the proposed architecture can automatically distinguish between IoT devices on the network, whether network activity is malicious or benign, and detect which attack was deployed on which device connected to the network successfully.</t>
  </si>
  <si>
    <t>{"CorpusId": 198329283, "DBLP": "journals/iotj/AnthiWSTB19", "DOI": "10.1109/JIOT.2019.2926365", "MAG": "2955014922"}</t>
  </si>
  <si>
    <t>10.1109/jiot.2019.2926365</t>
  </si>
  <si>
    <t>https://orca.cardiff.ac.uk/123767/1/A%20Supervised%20Intrusion%20Detection%20System%20for%20SmartHome%20IoT%20Devices.pdf</t>
  </si>
  <si>
    <t>9042-9053</t>
  </si>
  <si>
    <t>13; 10; 1; 7; 42</t>
  </si>
  <si>
    <t>14.6</t>
  </si>
  <si>
    <t>38b68ee830fa4b85a5411c8b8de36ba18da64d5a</t>
  </si>
  <si>
    <t>Applying convolutional neural network for network intrusion detection</t>
  </si>
  <si>
    <t>{"CorpusId": 19713317, "DBLP": "conf/icacci/VinayakumarSP17c", "DOI": "10.1109/ICACCI.2017.8126009", "MAG": "2775103799"}</t>
  </si>
  <si>
    <t>10.1109/icacci.2017.8126009</t>
  </si>
  <si>
    <t>1222-1228</t>
  </si>
  <si>
    <t>29; 9; 29</t>
  </si>
  <si>
    <t>69259fce30e09e1f83c4b0c7d7e7c36e3eb7cb11</t>
  </si>
  <si>
    <t>On Covert Acoustical Mesh Networks in Air</t>
  </si>
  <si>
    <t>Covert channels can be used to circumvent system and network policies by establishing communications that have not been considered in the design of the computing system. We construct a covert channel between different computing systems that utilizes audio modulation/demodulation to exchange data between the computing systems over the air medium. The underlying network stack is based on a communication system that was originally designed for robust underwater communication. We adapt the communication system to implement covert and stealthy communications by utilizing the ultrasonic frequency range. We further demonstrate how the scenario of covert acoustical communication over the air medium can be extended to multi-hop communications and even to wireless mesh networks. A covert acoustical mesh network can be conceived as a meshed botnet or malnet that is accessible via inaudible audio transmissions. Different applications of covert acoustical mesh networks are presented, including the use for remote keylogging over multiple hops. It is shown that the concept of a covert acoustical mesh network renders many conventional security concepts useless, as acoustical communications are usually not considered. Finally, countermeasures against covert acoustical mesh networks are discussed, including the use of lowpass filtering in computing systems and a host-based intrusion detection system for analyzing audio input and output in order to detect any irregularities.</t>
  </si>
  <si>
    <t>{"ArXiv": "1406.1213", "CorpusId": 1296272, "DBLP": "journals/jcm/HanspachG13", "DOI": "10.12720/JCM.8.11.758-767", "MAG": "2950691628"}</t>
  </si>
  <si>
    <t>10.12720/jcm.8.11.758-767</t>
  </si>
  <si>
    <t>http://publica.fraunhofer.de/bitstreams/ef247b22-4617-4d31-a22f-26753651462c/download</t>
  </si>
  <si>
    <t>758-767</t>
  </si>
  <si>
    <t>4; 7</t>
  </si>
  <si>
    <t>5.5</t>
  </si>
  <si>
    <t>70a06b53211515577d263fe24681fa5c58506f71</t>
  </si>
  <si>
    <t>An Evaluation of Machine Learning Methods to Detect Malicious SCADA Communications</t>
  </si>
  <si>
    <t>2013-12-04</t>
  </si>
  <si>
    <t>{"CorpusId": 12096139, "DBLP": "conf/icmla/BeaverBB13", "DOI": "10.1109/ICMLA.2013.105", "MAG": "2081544377"}</t>
  </si>
  <si>
    <t>10.1109/icmla.2013.105</t>
  </si>
  <si>
    <t>54-59</t>
  </si>
  <si>
    <t>12; 2; 11</t>
  </si>
  <si>
    <t>867a8f4c3011ada99517ff2f4359ad35a6324011</t>
  </si>
  <si>
    <t>InSDN: A Novel SDN Intrusion Dataset</t>
  </si>
  <si>
    <t>Software-Defined Network (SDN) has been developed to reduce network complexity through control and manage the whole network from a centralized location. Today, SDN is widely implemented in many data center’s network environments. Nevertheless, emerging technology itself can lead to many vulnerabilities and threats which are still challenging for manufacturers to address it. Therefore, deploying Intrusion Detection Systems (IDSs) to monitor malicious activities is a crucial part of the network architecture. Although the centralized view of the SDN network creates new opportunities for the implementation of IDSs, the performance of these detection techniques relies on the quality of the training datasets. Unfortunately, there are no publicly available datasets that can be used directly for anomaly detection systems applied in SDN networks. The majority of the published studies use non-compatible and outdated datasets, such as the KDD’99 dataset. This manuscript aims to generate an attack-specific SDN dataset and it is publicly available to the researchers. To the best of our knowledge, our work is one of the first solutions to produce a comprehensive SDN dataset to verify the performance of intrusion detection systems. The new dataset includes the benign and various attack categories that can occur in the different elements of the SDN platform. Further, we demonstrate the use of our proposed dataset by performing an experimental evaluation using eight popular machine-learning-based techniques for IDSs.</t>
  </si>
  <si>
    <t>{"CorpusId": 221846423, "DBLP": "journals/access/ElsayedLJ20", "DOI": "10.1109/ACCESS.2020.3022633", "MAG": "3084346886"}</t>
  </si>
  <si>
    <t>10.1109/access.2020.3022633</t>
  </si>
  <si>
    <t>https://ieeexplore.ieee.org/ielx7/6287639/8948470/09187858.pdf</t>
  </si>
  <si>
    <t>165263-165284</t>
  </si>
  <si>
    <t>15; 34; 26</t>
  </si>
  <si>
    <t>8a55c4c1a300fc6dcbfa13db68ab51da8e291d3f</t>
  </si>
  <si>
    <t>CANN: An intrusion detection system based on combining cluster centers and nearest neighbors</t>
  </si>
  <si>
    <t>2015-04-01</t>
  </si>
  <si>
    <t>{"CorpusId": 26217158, "DBLP": "journals/kbs/LinKT15", "DOI": "10.1016/j.knosys.2015.01.009", "MAG": "1977366836"}</t>
  </si>
  <si>
    <t>10.1016/j.knosys.2015.01.009</t>
  </si>
  <si>
    <t>13-21</t>
  </si>
  <si>
    <t>96cb6755a23ac96087a0f0ebe74b8355534c31ed</t>
  </si>
  <si>
    <t>Long Short Term Memory Recurrent Neural Network Classifier for Intrusion Detection</t>
  </si>
  <si>
    <t>2016-04-21</t>
  </si>
  <si>
    <t>517</t>
  </si>
  <si>
    <t>{"CorpusId": 28205811, "DOI": "10.1109/PLATCON.2016.7456805", "MAG": "2335999708"}</t>
  </si>
  <si>
    <t>10.1109/platcon.2016.7456805</t>
  </si>
  <si>
    <t>7; 3; 2; 18</t>
  </si>
  <si>
    <t>9c4f0d030ea394bfd5be248b7bafbcad92e83080</t>
  </si>
  <si>
    <t>NetFlow Datasets for Machine Learning-based Network Intrusion Detection Systems</t>
  </si>
  <si>
    <t>2020-11-18</t>
  </si>
  <si>
    <t>Machine Learning (ML)-based Network Intrusion Detection Systems (NIDSs) have proven to become a reliable intelligence tool to protect networks against cyberattacks. Network data features has a great impact on the performances of ML-based NIDSs. However, evaluating ML models often are not reliable, as each ML-enabled NIDS is trained and validated using different data features that may do not contain security events. Therefore, a common ground feature set from multiple datasets is required to evaluate an ML model's detection accuracy and its ability to generalise across datasets. This paper presents NetFlow features from four benchmark NIDS datasets known as UNSW-NB15, BoT-IoT, ToN-IoT, and CSE-CIC-IDS2018 using their publicly available packet capture files. In a real-world scenario, NetFlow features are relatively easier to extract from network traffic compared to the complex features used in the original datasets, as they are usually extracted from packet headers. The generated Netflow datasets have been labelled for solving binary- and multiclass-based learning challenges. Preliminary results indicate that NetFlow features lead to similar binary-class results and lower multi-class classification results amongst the four datasets compared to their respective original features datasets. The NetFlow datasets are named NF-UNSW-NB15, NF-BoT-IoT, NF-ToN-IoT, NF-CSE-CIC-IDS2018 and NF-UQ-NIDS are published at this http URL for research purposes.</t>
  </si>
  <si>
    <t>{"ArXiv": "2011.09144", "CorpusId": 227013833, "DBLP": "conf/wicon/SarhanLMP20", "DOI": "10.1007/978-3-030-72802-1_9", "MAG": "3102359135"}</t>
  </si>
  <si>
    <t>10.1007/978-3-030-72802-1_9</t>
  </si>
  <si>
    <t>https://arxiv.org/pdf/2011.09144</t>
  </si>
  <si>
    <t>16; 20; 50; 30</t>
  </si>
  <si>
    <t>9d17e0502d8d240c1d517c7367d62c8688ffc43d</t>
  </si>
  <si>
    <t>Intrusion Detection System in A Multi-Layer Network Architecture of Smart Grids by Yichi</t>
  </si>
  <si>
    <t>414</t>
  </si>
  <si>
    <t>{"CorpusId": 13878913}</t>
  </si>
  <si>
    <t>bdee2db0e7d29989acfd4114a4299fe9a585db3f</t>
  </si>
  <si>
    <t>A Two-Layer Dimension Reduction and Two-Tier Classification Model for Anomaly-Based Intrusion Detection in IoT Backbone Networks</t>
  </si>
  <si>
    <t>404</t>
  </si>
  <si>
    <t>With increasing reliance on Internet of Things (IoT) devices and services, the capability to detect intrusions and malicious activities within IoT networks is critical for resilience of the network infrastructure. In this paper, we present a novel model for intrusion detection based on two-layer dimension reduction and two-tier classification module, designed to detect malicious activities such as User to Root (U2R) and Remote to Local (R2L) attacks. The proposed model is using component analysis and linear discriminate analysis of dimension reduction module to spate the high dimensional dataset to a lower one with lesser features. We then apply a two-tier classification module utilizing Naïve Bayes and Certainty Factor version of K-Nearest Neighbor to identify suspicious behaviors. The experiment results using NSL-KDD dataset shows that our model outperforms previous models designed to detect U2R and R2L attacks.</t>
  </si>
  <si>
    <t>{"CorpusId": 44175270, "DBLP": "journals/tetc/PajouhJKDC19", "DOI": "10.1109/TETC.2016.2633228", "MAG": "2557450880"}</t>
  </si>
  <si>
    <t>10.1109/tetc.2016.2633228</t>
  </si>
  <si>
    <t>314-323</t>
  </si>
  <si>
    <t>6; 24; 11; 63; 100</t>
  </si>
  <si>
    <t>40.8</t>
  </si>
  <si>
    <t>c4233cec037953a9cf40afcc9a857cb1faae959c</t>
  </si>
  <si>
    <t>Threat analysis of IoT networks using artificial neural network intrusion detection system</t>
  </si>
  <si>
    <t>2016-05-14</t>
  </si>
  <si>
    <t>448</t>
  </si>
  <si>
    <t>The Internet of things (IoT) is still in its infancy and has attracted much interest in many industrial sectors including medical fields, logistics tracking, smart cities and automobiles. However as a paradigm, it is susceptible to a range of significant intrusion threats. This paper presents a threat analysis of the IoT and uses an Artificial Neural Network (ANN) to combat these threats. A multi-level perceptron, a type of supervised ANN, is trained using internet packet traces, then is assessed on its ability to thwart Distributed Denial of Service (DDoS/DoS) attacks. This paper focuses on the classification of normal and threat patterns on an IoT Network. The ANN procedure is validated against a simulated IoT network. The experimental results demonstrate 99.4% accuracy and can successfully detect various DDoS/DoS attacks.</t>
  </si>
  <si>
    <t>{"ArXiv": "1704.02286", "CorpusId": 9241164, "DBLP": "journals/corr/HodoBHDITA17", "DOI": "10.1109/ISNCC.2016.7746067", "MAG": "3104092367"}</t>
  </si>
  <si>
    <t>10.1109/isncc.2016.7746067</t>
  </si>
  <si>
    <t>https://rke.abertay.ac.uk/files/8592251/Bellekens_ThreatAnalysisOfIoT_Author_2016.pdf</t>
  </si>
  <si>
    <t>4; 19; 9; 1; 9; 22; 16</t>
  </si>
  <si>
    <t>caa79c3d7afd153ee40dea8d0174a7615fd14523</t>
  </si>
  <si>
    <t>Modular SDN Programming with Pyretic</t>
  </si>
  <si>
    <t>{"CorpusId": 11649889, "DBLP": "journals/usenix-login/ReichMFRW13", "MAG": "766097457"}</t>
  </si>
  <si>
    <t>15; 5; 43; 101; 51</t>
  </si>
  <si>
    <t>cadd340963a24c71b6fb0b345cec5b8f51fcd281</t>
  </si>
  <si>
    <t>Feature selection and intrusion classification in NSL-KDD cup 99 dataset employing SVMs</t>
  </si>
  <si>
    <t>{"CorpusId": 17336586, "DOI": "10.1109/SKIMA.2014.7083539", "MAG": "2546923044"}</t>
  </si>
  <si>
    <t>10.1109/skima.2014.7083539</t>
  </si>
  <si>
    <t>2; 4</t>
  </si>
  <si>
    <t>d042110c6dbe89ad726fd5c0393ee68c63ac5241</t>
  </si>
  <si>
    <t>DeepCoin: A Novel Deep Learning and Blockchain-Based Energy Exchange Framework for Smart Grids</t>
  </si>
  <si>
    <t>249</t>
  </si>
  <si>
    <t>In this paper, we propose a novel deep learning and blockchain-based energy framework for smart grids, entitled DeepCoin. The DeepCoin framework uses two schemes, a blockchain-based scheme and a deep learning-based scheme. The blockchain-based scheme consists of five phases: setup phase, agreement phase, creating a block phase and consensus-making phase, and view change phase. It incorporates a novel reliable peer-to-peer energy system that is based on the practical Byzantine fault tolerance algorithm and it achieves high throughput. In order to prevent smart grid attacks, the proposed framework makes the generation of blocks using short signatures and hash functions. The proposed deep learning-based scheme is an intrusion detection system (IDS), which employs recurrent neural networks for detecting network attacks and fraudulent transactions in the blockchain-based energy network. We study the performance of the proposed IDS on three different sources the CICIDS2017 dataset, a power system dataset, and a web robot (Bot)-Internet of Things (IoT) dataset.</t>
  </si>
  <si>
    <t>{"CorpusId": 199084497, "DBLP": "journals/tem/FerragM20", "DOI": "10.1109/TEM.2019.2922936", "MAG": "2962621836"}</t>
  </si>
  <si>
    <t>10.1109/tem.2019.2922936</t>
  </si>
  <si>
    <t>1285-1297</t>
  </si>
  <si>
    <t>41; 41</t>
  </si>
  <si>
    <t>decb293725b1f9ac93c6e48347835de9498f798f</t>
  </si>
  <si>
    <t>Kairos: Practical Intrusion Detection and Investigation using Whole-system Provenance</t>
  </si>
  <si>
    <t>2023-08-09</t>
  </si>
  <si>
    <t>Provenance graphs are structured audit logs that describe the history of a system’s execution. Recent studies have explored a variety of techniques to analyze provenance graphs for automated host intrusion detection, focusing particularly on advanced persistent threats. Sifting through their design documents, we identify four common dimensions that drive the development of provenance-based intrusion detection systems (PIDSes): scope (can PIDSes detect modern attacks that infiltrate across application boundaries?), attack agnosticity (can PIDSes detect novel attacks without a priori knowledge of attack characteristics?), timeliness (can PIDSes efficiently monitor host systems as they run?), and attack reconstruction (can PIDSes distill attack activity from large provenance graphs so that sysadmins can easily understand and quickly respond to system intrusion?). We present Kairos, the first PIDS that simultaneously satisfies the desiderata in all four dimensions, whereas existing approaches sacrifice at least one and struggle to achieve comparable detection performance.Kairos leverages a novel graph neural network based encoder-decoder architecture that learns the temporal evolution of a provenance graph’s structural changes to quantify the degree of anomalousness for each system event. Then, based on this fine-grained information, Kairos reconstructs attack footprints, generating compact summary graphs that accurately describe malicious activity over a stream of system audit logs. Using state-of-the-art benchmark datasets, we demonstrate that Kairos outperforms previous approaches.</t>
  </si>
  <si>
    <t>{"ArXiv": "2308.05034", "CorpusId": 260735638, "DBLP": "journals/corr/abs-2308-05034", "DOI": "10.1109/SP54263.2024.00005"}</t>
  </si>
  <si>
    <t>10.1109/sp54263.2024.00005</t>
  </si>
  <si>
    <t>http://arxiv.org/pdf/2308.05034</t>
  </si>
  <si>
    <t>3533-3551</t>
  </si>
  <si>
    <t>6; 10; 1; 6; 9; 20; 13</t>
  </si>
  <si>
    <t>9.285714285714286</t>
  </si>
  <si>
    <t>053e83f1a87e74ef2852f5afc017688a08331291</t>
  </si>
  <si>
    <t>PanopticFusion: Online Volumetric Semantic Mapping at the Level of Stuff and Things</t>
  </si>
  <si>
    <t>2019-03-04</t>
  </si>
  <si>
    <t>We propose PanopticFusion, a novel online volumetric semantic mapping system at the level of stuff and things. In contrast to previous semantic mapping systems, PanopticFusion is able to densely predict class labels of a background region (stuff) and individually segment arbitrary foreground objects (things). In addition, our system has the capability to reconstruct a large-scale scene and extract a labeled mesh thanks to its use of a spatially hashed volumetric map representation. Our system first predicts pixel-wise panoptic labels (class labels for stuff regions and instance IDs for thing regions) for incoming RGB frames by fusing 2D semantic and instance segmentation outputs. The predicted panoptic labels are integrated into the volumetric map together with depth measurements while keeping the consistency of the instance IDs, which could vary frame to frame, by referring to the 3D map at that moment. In addition, we construct a fully connected conditional random field (CRF) model with respect to panoptic labels for map regularization. For online CRF inference, we propose a novel unary potential approximation and a map division strategy. We evaluated the performance of our system on the ScanNet (v2) dataset. PanopticFusion outperformed or compared with state-of-the-art offline 3D DNN methods in both semantic and instance segmentation benchmarks. Also, we demonstrate a promising augmented reality application using a 3D panoptic map generated by the proposed system.</t>
  </si>
  <si>
    <t>{"ArXiv": "1903.01177", "CorpusId": 67856235, "DBLP": "journals/corr/abs-1903-01177", "DOI": "10.1109/IROS40897.2019.8967890", "MAG": "3004300126"}</t>
  </si>
  <si>
    <t>10.1109/iros40897.2019.8967890</t>
  </si>
  <si>
    <t>http://arxiv.org/pdf/1903.01177</t>
  </si>
  <si>
    <t>4205-4212</t>
  </si>
  <si>
    <t>5; 2; 10; 1</t>
  </si>
  <si>
    <t>11628f656257e75e46447ac21cdaa86c4b340a0a</t>
  </si>
  <si>
    <t>Where to Go Next for Recommender Systems? ID- vs. Modality-based Recommender Models Revisited</t>
  </si>
  <si>
    <t>2023-03-24</t>
  </si>
  <si>
    <t>226</t>
  </si>
  <si>
    <t>Recommendation models that utilize unique identities (IDs for short) to represent distinct users and items have been state-of-the-art (SOTA) and dominated the recommender systems (RS) literature for over a decade. Meanwhile, the pre-trained modality encoders, such as BERT [9] and Vision Transformer [11], have become increasingly powerful in modeling the raw modality features of an item, such as text and images. Given this, a natural question arises: can a purely modality-based recommendation model (MoRec) outperforms or matches a pure ID-based model (IDRec) by replacing the itemID embedding with a SOTA modality encoder? In fact, this question was answered ten years ago when IDRec beats MoRec by a strong margin in both recommendation accuracy and efficiency. We aim to revisit this 'old' question and systematically study MoRec from several aspects. Specifically, we study several sub-questions: (i) which recommendation paradigm, MoRec or IDRec, performs better in practical scenarios, especially in the general setting and warm item scenarios where IDRec has a strong advantage? does this hold for items with different modality features? (ii) can the latest technical advances from other communities (i.e., natural language processing and computer vision) translate into accuracy improvement for MoRec? (iii) how to effectively utilize item modality representation, can we use it directly or do we have to adjust it with new data? (iv) are there any key challenges that MoRec needs to address in practical applications? To answer them, we conduct rigorous experiments for item recommendations with two popular modalities, i.e., text and vision. We provide the first empirical evidence that MoRec is already comparable to its IDRec counterpart with an expensive end-to-end training method, even for warm item recommendation. Our results potentially imply that the dominance of IDRec in the RS field may be greatly challenged in the future. We release our code and other materials at https://github.com/westlake-repl/IDvs.MoRec.</t>
  </si>
  <si>
    <t>{"ArXiv": "2303.13835", "CorpusId": 257756994, "DBLP": "journals/corr/abs-2303-13835", "DOI": "10.1145/3539618.3591932"}</t>
  </si>
  <si>
    <t>10.1145/3539618.3591932</t>
  </si>
  <si>
    <t>https://arxiv.org/pdf/2303.13835</t>
  </si>
  <si>
    <t>24; 2; 10; 6; 3; 6; 4</t>
  </si>
  <si>
    <t>7.857142857142857</t>
  </si>
  <si>
    <t>3097abfde15d20c5a34756080adfb18f52436df0</t>
  </si>
  <si>
    <t>Mining Software Defects: Should We Consider Affected Releases?</t>
  </si>
  <si>
    <t>With the rise of the Mining Software Repositories (MSR) field, defect datasets extracted from software repositories play a foundational role in many empirical studies related to software quality. At the core of defect data preparation is the identification of post-release defects. Prior studies leverage many heuristics (e.g., keywords and issue IDs) to identify post-release defects. However, such the heuristic approach is based on several assumptions, which pose common threats to the validity of many studies. In this paper, we set out to investigate the nature of the difference of defect datasets generated by the heuristic approach and the realistic approach that leverages the earliest affected release that is realistically estimated by a software development team for a given defect. In addition, we investigate the impact of defect identification approaches on the predictive accuracy and the ranking of defective modules that are produced by defect models. Through a case study of defect datasets of 32 releases, we find that that the heuristic approach has a large impact on both defect count datasets and binary defect datasets. Surprisingly, we find that the heuristic approach has a minimal impact on defect count models, suggesting that future work should not be too concerned about defect count models that are constructed using heuristic defect datasets. On the other hand, using defect datasets generated by the realistic approach lead to an improvement in the predictive accuracy of defect classification models.</t>
  </si>
  <si>
    <t>{"CorpusId": 174800260, "DBLP": "conf/icse/YatishJTT19", "DOI": "10.1109/ICSE.2019.00075", "MAG": "2954276596"}</t>
  </si>
  <si>
    <t>10.1109/icse.2019.00075</t>
  </si>
  <si>
    <t>654-665</t>
  </si>
  <si>
    <t>1; 14; 19; 35</t>
  </si>
  <si>
    <t>66f44806cd46a27f02ceb74bdfd9ad6e77e044ca</t>
  </si>
  <si>
    <t>Toward an Online Anomaly Intrusion Detection System Based on Deep Learning</t>
  </si>
  <si>
    <t>2016-12-01</t>
  </si>
  <si>
    <t>{"CorpusId": 18950272, "DBLP": "conf/icmla/AlrawashdehP16", "DOI": "10.1109/ICMLA.2016.0040", "MAG": "2584408238"}</t>
  </si>
  <si>
    <t>10.1109/icmla.2016.0040</t>
  </si>
  <si>
    <t>195-200</t>
  </si>
  <si>
    <t>5; 10</t>
  </si>
  <si>
    <t>71750d528b066250d7439ac1950bd31bcc16ce63</t>
  </si>
  <si>
    <t>A detailed analysis of CICIDS2017 dataset for designing Intrusion Detection Systems</t>
  </si>
  <si>
    <t>{"CorpusId": 251796855}</t>
  </si>
  <si>
    <t>12; 12</t>
  </si>
  <si>
    <t>78aa49c0c4cd1144c7fcc4d2a17245b1b6ea562e</t>
  </si>
  <si>
    <t>Indoor Positioning Systems Based on Visible Light Communication: State of the Art</t>
  </si>
  <si>
    <t>2017-08-23</t>
  </si>
  <si>
    <t>342</t>
  </si>
  <si>
    <t>{"CorpusId": 34564324, "DBLP": "journals/comsur/LuoFL17", "DOI": "10.1109/COMST.2017.2743228", "MAG": "2749750670"}</t>
  </si>
  <si>
    <t>10.1109/comst.2017.2743228</t>
  </si>
  <si>
    <t>2871-2893</t>
  </si>
  <si>
    <t>19; 9; 44</t>
  </si>
  <si>
    <t>7ca284aec1362bf46724f6f1402fb79f53ec8377</t>
  </si>
  <si>
    <t>A Method of Few-Shot Network Intrusion Detection Based on Meta-Learning Framework</t>
  </si>
  <si>
    <t>2020-05-06</t>
  </si>
  <si>
    <t>Conventional intrusion detection systems based on supervised learning techniques require a large number of samples for training, while in some scenarios, such as zero-day attacks, security agencies can only intercept a limited number of shots of malicious samples. Therefore, there is a need for few-shot detection. In this paper, a detection method based on a meta-learning framework is proposed for this purpose. The proposed method can be used to distinguish and compare a pair of network traffic samples as a basic task of learning, including a normal unaffected sample and a malicious one. To accomplish this task, we design a deep neural network (DNN) named FC-Net, which mainly comprises two parts: feature extraction network and comparison network. FC-Net learns a pair of feature maps for classification from a pair of network traffic samples, then compares the obtained feature maps, and finally determines whether the pair of samples belongs to the same type. To evaluate the proposed detection method, we construct two datasets for few-shot network intrusion detection based on real network traffic data sources, using a specifically developed approach. The experimental results indicate that the proposed detection method is universal and is not limited to specific datasets or attack types. Training and testing on the same datasets demonstrate that the proposed method can achieve the average detection rate up to 98.88%. The outcome of training on one dataset and testing on the other one confirms that the proposed method can achieve better performance. In a few-shot scenario, malicious samples in an untrained dataset can be detected successfully, and the average detection rate is up to 99.62%.</t>
  </si>
  <si>
    <t>{"CorpusId": 218953977, "DBLP": "journals/tifs/XuSD20", "DOI": "10.1109/TIFS.2020.2991876", "MAG": "3021740526"}</t>
  </si>
  <si>
    <t>10.1109/tifs.2020.2991876</t>
  </si>
  <si>
    <t>3540-3552</t>
  </si>
  <si>
    <t>7; 11; 4</t>
  </si>
  <si>
    <t>8019f193264db2032a56e9cc1941f8f809aaf952</t>
  </si>
  <si>
    <t>Deep Learning-Based Intrusion Detection for Distributed Denial of Service Attack in Agriculture 4.0</t>
  </si>
  <si>
    <t>Smart Agriculture or Agricultural Internet of things, consists of integrating advanced technologies (e.g., NFV, SDN, 5G/6G, Blockchain, IoT, Fog, Edge, and AI) into existing farm operations to improve the quality and productivity of agricultural products. The convergence of Industry 4.0 and Intelligent Agriculture provides new opportunities for migration from factory agriculture to the future generation, known as Agriculture 4.0. However, since the deployment of thousands of IoT based devices is in an open field, there are many new threats in Agriculture 4.0. Security researchers are involved in this topic to ensure the safety of the system since an adversary can initiate many cyber attacks, such as DDoS attacks to making a service unavailable and then injecting false data to tell us that the agricultural equipment is safe but in reality, it has been theft. In this paper, we propose a deep learning-based intrusion detection system for DDoS attacks based on three models, namely, convolutional neural networks, deep neural networks, and recurrent neural networks. Each model’s performance is studied within two classification types (binary and multiclass) using two new real traffic datasets, namely, CIC-DDoS2019 dataset and TON_IoT dataset, which contain different types of DDoS attacks.</t>
  </si>
  <si>
    <t>{"CorpusId": 236384417, "DOI": "10.3390/ELECTRONICS10111257", "MAG": "3164987805"}</t>
  </si>
  <si>
    <t>10.3390/electronics10111257</t>
  </si>
  <si>
    <t>https://www.mdpi.com/2079-9292/10/11/1257/pdf?version=1621925995</t>
  </si>
  <si>
    <t>1257</t>
  </si>
  <si>
    <t>41; 1; 100</t>
  </si>
  <si>
    <t>47.33333333333334</t>
  </si>
  <si>
    <t>8a3d209677799a22155e25f027cf41fe3154719c</t>
  </si>
  <si>
    <t>Hardware-Assisted Intellectual Property Protection of Deep Learning Models</t>
  </si>
  <si>
    <t>The protection of intellectual property (IP) rights of well-trained deep learning (DL) models has become a matter of major concern, especially with the growing trend of deployment of Machine Learning as a Service (MLaaS). In this work, we demonstrate the utilization of a hardware root-of-trust to safeguard the IPs of such DL models which potential attackers have access to. We propose an obfuscation framework called Hardware Protected Neural Network (HPNN) in which a deep neural network is trained as a function of a secret key and then, the obfuscated DL model is hosted on a public model sharing platform. This framework ensures that only an authorized end-user who possesses a trustworthy hardware device (with the secret key embedded on-chip) is able to run intended DL applications using the published model. Extensive experimental evaluations show that any unauthorized usage of such obfuscated DL models result in significant accuracy drops ranging from 73.22 to 80.17% across different neural network architectures and benchmark datasets. In addition, we also demonstrate the robustness of proposed HPNN framework against a model fine-tuning type of attack.</t>
  </si>
  <si>
    <t>{"CorpusId": 221353450, "DBLP": "conf/dac/0001MS20", "DOI": "10.1109/DAC18072.2020.9218651", "MAG": "3092557510"}</t>
  </si>
  <si>
    <t>10.1109/dac18072.2020.9218651</t>
  </si>
  <si>
    <t>15; 8</t>
  </si>
  <si>
    <t>99540ca0c3d49c4041d3fc2ab80edb4ffc3ece9b</t>
  </si>
  <si>
    <t>Ensemble-based multi-filter feature selection method for DDoS detection in cloud computing</t>
  </si>
  <si>
    <t>2016-05-10</t>
  </si>
  <si>
    <t>313</t>
  </si>
  <si>
    <t>Widespread adoption of cloud computing has increased the attractiveness of such services to cybercriminals. Distributed denial of service (DDoS) attacks targeting the cloud’s bandwidth, services and resources to render the cloud unavailable to both cloud providers, and users are a common form of attacks. In recent times, feature selection has been identified as a pre-processing phase in cloud DDoS attack defence which can potentially increase classification accuracy and reduce computational complexity by identifying important features from the original dataset during supervised learning. In this work, we propose an ensemble-based multi-filter feature selection method that combines the output of four filter methods to achieve an optimum selection. We then perform an extensive experimental evaluation of our proposed method using intrusion detection benchmark dataset, NSL-KDD and decision tree classifier. The findings show that our proposed method can effectively reduce the number of features from 41 to 13 and has a high detection rate and classification accuracy when compared to other classification techniques.</t>
  </si>
  <si>
    <t>{"ArXiv": "1807.10443", "CorpusId": 17352259, "DBLP": "journals/ejwcn/OsanaiyeCCDXD16", "DOI": "10.1186/s13638-016-0623-3", "MAG": "2346331195"}</t>
  </si>
  <si>
    <t>10.1186/s13638-016-0623-3</t>
  </si>
  <si>
    <t>https://jwcn-eurasipjournals.springeropen.com/track/pdf/10.1186/s13638-016-0623-3</t>
  </si>
  <si>
    <t>9; 6; 100; 63; 25; 11</t>
  </si>
  <si>
    <t>9d51bf6d3b19c375e3ec69f5ef7cf22c497a9710</t>
  </si>
  <si>
    <t>V-SMART-Join: A Scalable MapReduce Framework for All-Pair Similarity Joins of Multisets and Vectors</t>
  </si>
  <si>
    <t>2012-04-01</t>
  </si>
  <si>
    <t>This work proposes V-SMART-Join, a scalable MapReduce-based framework for discovering all pairs of similar entities. The V-SMART-Join framework is applicable to sets, multisets, and vectors. V-SMART-Join is motivated by the observed skew in the underlying distributions of Internet traffic, and is a family of 2-stage algorithms, where the first stage computes and joins the partial results, and the second stage computes the similarity exactly for all candidate pairs. The V-SMART-Join algorithms are very efficient and scalable in the number of entities, as well as their cardinalities. They were up to 30 times faster than the state of the art algorithm, VCL, when compared on a real dataset of a small size. We also established the scalability of the proposed algorithms by running them on a dataset of a realistic size, on which VCL never succeeded to finish. Experiments were run using real datasets of IPs and cookies, where each IP is represented as a multiset of cookies, and the goal is to discover similar IPs to identify Internet proxies.</t>
  </si>
  <si>
    <t>{"ArXiv": "1204.6077", "CorpusId": 18822866, "DBLP": "journals/pvldb/MetwallyF12", "DOI": "10.14778/2212351.2212353", "MAG": "2953141326"}</t>
  </si>
  <si>
    <t>10.14778/2212351.2212353</t>
  </si>
  <si>
    <t>24; 133</t>
  </si>
  <si>
    <t>78.5</t>
  </si>
  <si>
    <t>ae7d96a00803bcc991640281930da5f1a5ad3e71</t>
  </si>
  <si>
    <t>ACPN: A Novel Authentication Framework with Conditional Privacy-Preservation and Non-Repudiation for VANETs</t>
  </si>
  <si>
    <t>{"CorpusId": 16535631, "DBLP": "journals/tpds/LiLG15", "DOI": "10.1109/TPDS.2014.2308215", "MAG": "2006757318"}</t>
  </si>
  <si>
    <t>10.1109/tpds.2014.2308215</t>
  </si>
  <si>
    <t>938-948</t>
  </si>
  <si>
    <t>40; 8; 106</t>
  </si>
  <si>
    <t>51.33333333333334</t>
  </si>
  <si>
    <t>c66558ed58594ef98fddf923ffcc3e2d366155b2</t>
  </si>
  <si>
    <t>Machine Learning Based Intrusion Detection Systems for IoT Applications</t>
  </si>
  <si>
    <t>2019-11-30</t>
  </si>
  <si>
    <t>307</t>
  </si>
  <si>
    <t>Internet of Things (IoT) and its applications are the most popular research areas at present. The characteristics of IoT on one side make it easily applicable to real-life applications, whereas on the other side expose it to cyber threats. Denial of Service (DoS) is one of the most catastrophic attacks against IoT. In this paper, we investigate the prospects of using machine learning classification algorithms for securing IoT against DoS attacks. A comprehensive study is carried on the classifiers which can advance the development of anomaly-based intrusion detection systems (IDSs). Performance assessment of classifiers is done in terms of prominent metrics and validation methods. Popular datasets CIDDS-001, UNSW-NB15, and NSL-KDD are used for benchmarking classifiers. Friedman and Nemenyi tests are employed to analyze the significant differences among classifiers statistically. In addition, Raspberry Pi is used to evaluate the response time of classifiers on IoT specific hardware. We also discuss a methodology for selecting the best classifier as per application requirements. The main goals of this study are to motivate IoT security researchers for developing IDSs using ensemble learning, and suggesting appropriate methods for statistical assessment of classifier’s performance.</t>
  </si>
  <si>
    <t>{"ArXiv": "2302.12452", "CorpusId": 213433410, "DBLP": "journals/corr/abs-2302-12452", "DOI": "10.1007/s11277-019-06986-8", "MAG": "2991140181"}</t>
  </si>
  <si>
    <t>10.1007/s11277-019-06986-8</t>
  </si>
  <si>
    <t>2287 - 2310</t>
  </si>
  <si>
    <t>31; 24</t>
  </si>
  <si>
    <t>27.5</t>
  </si>
  <si>
    <t>ef9ea66774a7a83e993e4259503911d49a5430a9</t>
  </si>
  <si>
    <t>LSTM-Based Intrusion Detection System for In-Vehicle Can Bus Communications</t>
  </si>
  <si>
    <t>The modern automobile is a complex piece of technology that uses the Controller Area Network (CAN) bus system as a central system for managing the communication between the electronic control units (ECUs). Despite its central importance, the CAN bus system does not support authentication and authorization mechanisms, i.e., CAN messages are broadcast without basic security features. As a result, it is easy for attackers to launch attacks at the CAN bus network system. Attackers can compromise the CAN bus system in several ways including Denial of Service (DoS), Fuzzing and Spoofing attacks. It is imperative to devise methodologies to protect modern cars against the aforementioned attacks. In this paper, we propose a Long Short-Term Memory (LSTM)-based Intrusion Detection System (IDS) to detect and mitigate the CAN bus network attacks. We generate our own dataset by first extracting attack-free data from our experimental car and by injecting attacks into the latter and collecting the dataset. We use the dataset for testing and training our model. With our selected hyper-parameter values, our results demonstrate that our classifier is efficient in detecting the CAN bus network attacks, we achieved an overall detection accuracy of 99.995%. We also compare the proposed LSTM method with the Survival Analysis for automobile IDS dataset which is developed by the Hacking and Countermeasure Research Lab, Korea. Our proposed LSTM model achieves a higher detection rate than the Survival Analysis method.</t>
  </si>
  <si>
    <t>{"CorpusId": 225050030, "DBLP": "journals/access/HossainIOFK20", "DOI": "10.1109/ACCESS.2020.3029307", "MAG": "3092232275"}</t>
  </si>
  <si>
    <t>10.1109/access.2020.3029307</t>
  </si>
  <si>
    <t>https://ieeexplore.ieee.org/ielx7/6287639/8948470/09216166.pdf</t>
  </si>
  <si>
    <t>185489-185502</t>
  </si>
  <si>
    <t>10; 8; 17; 15; 24</t>
  </si>
  <si>
    <t>f3573c28fafb0cd3d2957ee2c272160926fd31ff</t>
  </si>
  <si>
    <t>Meta Balanced Network for Fair Face Recognition</t>
  </si>
  <si>
    <t>2021-08-12</t>
  </si>
  <si>
    <t>Although deep face recognition has achieved impressive progress in recent years, controversy has arisen regarding discrimination based on skin tone, questioning their deployment into real-world scenarios. In this paper, we aim to systematically and scientifically study this bias from both data and algorithm aspects. First, using the dermatologist approved Fitzpatrick Skin Type classification system and Individual Typology Angle, we contribute a benchmark called Identity Shades (IDS) database, which effectively quantifies the degree of the bias with respect to skin tone in existing face recognition algorithms and commercial APIs. Further, we provide two skin-tone aware training datasets, called BUPT-Globalface dataset and BUPT-Balancedface dataset, to remove bias in training data. Finally, to mitigate the algorithmic bias, we propose a novel meta-learning algorithm, called Meta Balanced Network (MBN), which learns adaptive margins in large margin loss such that the model optimized by this loss can perform fairly across people with different skin tones. To determine the margins, our method optimizes a meta skewness loss on a clean and unbiased meta set and utilizes backward-on-backward automatic differentiation to perform a second order gradient descent step on the current margins. Extensive experiments show that MBN successfully mitigates bias and learns more balanced performance for people with different skin tones in face recognition. The proposed datasets are available at http://www.whdeng.cn/RFW/index.html.</t>
  </si>
  <si>
    <t>{"ArXiv": "2205.06548", "CorpusId": 236998333, "DBLP": "journals/pami/WangZD22", "DOI": "10.1109/TPAMI.2021.3103191", "PubMed": "34383643"}</t>
  </si>
  <si>
    <t>10.1109/tpami.2021.3103191</t>
  </si>
  <si>
    <t>https://arxiv.org/pdf/2205.06548</t>
  </si>
  <si>
    <t>8433-8448</t>
  </si>
  <si>
    <t>13; 4; 50</t>
  </si>
  <si>
    <t>0b64f11ddc1a6ba84040e0c7132201b83b532434</t>
  </si>
  <si>
    <t>Detection of sinkhole attacks for supporting secure routing on 6LoWPAN for Internet of Things</t>
  </si>
  <si>
    <t>{"CorpusId": 5075997, "DBLP": "conf/im/CervantesPNS15", "DOI": "10.1109/INM.2015.7140344", "MAG": "1489146973"}</t>
  </si>
  <si>
    <t>10.1109/inm.2015.7140344</t>
  </si>
  <si>
    <t>606-611</t>
  </si>
  <si>
    <t>2; 1; 21; 21</t>
  </si>
  <si>
    <t>11.25</t>
  </si>
  <si>
    <t>38665f02d8bc303a3861a3020e3214e6b6a9e0d3</t>
  </si>
  <si>
    <t>Adaptive Intrusion Detection of Malicious Unmanned Air Vehicles Using Behavior Rule Specifications</t>
  </si>
  <si>
    <t>{"CorpusId": 11230649, "DBLP": "journals/tsmc/MitchellC14", "DOI": "10.1109/TSMC.2013.2265083", "MAG": "1982466846"}</t>
  </si>
  <si>
    <t>10.1109/tsmc.2013.2265083</t>
  </si>
  <si>
    <t>593-604</t>
  </si>
  <si>
    <t>3f147d7668af064ee17b40014a3abc6c8c9c328d</t>
  </si>
  <si>
    <t>Practical whole-system provenance capture</t>
  </si>
  <si>
    <t>2017-09-24</t>
  </si>
  <si>
    <t>Data provenance describes how data came to be in its present form. It includes data sources and the transformations that have been applied to them. Data provenance has many uses, from forensics and security to aiding the reproducibility of scientific experiments. We present CamFlow, a whole-system provenance capture mechanism that integrates easily into a PaaS offering. While there have been several prior whole-system provenance systems that captured a comprehensive, systemic and ubiquitous record of a system's behavior, none have been widely adopted. They either A) impose too much overhead, B) are designed for long-outdated kernel releases and are hard to port to current systems, C) generate too much data, or D) are designed for a single system. CamFlow addresses these shortcoming by: 1) leveraging the latest kernel design advances to achieve efficiency; 2) using a self-contained, easily maintainable implementation relying on a Linux Security Module, NetFilter, and other existing kernel facilities; 3) providing a mechanism to tailor the captured provenance data to the needs of the application; and 4) making it easy to integrate provenance across distributed systems. The provenance we capture is streamed and consumed by tenant-built auditor applications. We illustrate the usability of our implementation by describing three such applications: demonstrating compliance with data regulations; performing fault/intrusion detection; and implementing data loss prevention. We also show how CamFlow can be leveraged to capture meaningful provenance without modifying existing applications.</t>
  </si>
  <si>
    <t>{"ArXiv": "1711.05296", "CorpusId": 4885447, "DBLP": "conf/cloud/PasquierHGMESB17", "DOI": "10.1145/3127479.3129249", "MAG": "2747669027"}</t>
  </si>
  <si>
    <t>10.1145/3127479.3129249</t>
  </si>
  <si>
    <t>https://arxiv.org/pdf/1711.05296</t>
  </si>
  <si>
    <t>20; 13; 7; 16; 31; 59; 40</t>
  </si>
  <si>
    <t>4c5ec9d621b9c71ca76b5e7fa4a12b98928cce69</t>
  </si>
  <si>
    <t>Using UAV-Based Photogrammetry and Hyperspectral Imaging for Mapping Bark Beetle Damage at Tree-Level</t>
  </si>
  <si>
    <t>2015-11-18</t>
  </si>
  <si>
    <t>Computer Science; Environmental Science</t>
  </si>
  <si>
    <t>Low-cost, miniaturized hyperspectral imaging technology is becoming available for small unmanned aerial vehicle (UAV) platforms. This technology can be efficient in carrying out small-area inspections of anomalous reflectance characteristics of trees at a very high level of detail. Increased frequency and intensity of insect induced forest disturbance has established a new demand for effective methods suitable in mapping and monitoring tasks. In this investigation, a novel miniaturized hyperspectral frame imaging sensor operating in the wavelength range of 500–900 nm was used to identify mature Norway spruce (Picea abies L. Karst.) trees suffering from infestation, representing a different outbreak phase, by the European spruce bark beetle (Ips typographus L.). We developed a new processing method for analyzing spectral characteristic for high spatial resolution photogrammetric and hyperspectral images in forested environments, as well as for identifying individual anomalous trees. The dense point clouds, measured using image matching, enabled detection of single trees with an accuracy of 74.7%. We classified the trees into classes of healthy, infested and dead, and the results were promising. The best results for the overall accuracy were 76% (Cohen’s kappa 0.60), when using three color classes (healthy, infested, dead). For two color classes (healthy, dead), the best overall accuracy was 90% (kappa 0.80). The survey methodology based on high-resolution hyperspectral imaging will be of a high practical value for forest health management, indicating a status of bark beetle outbreak in time.</t>
  </si>
  <si>
    <t>{"CorpusId": 1057397, "DBLP": "journals/remotesensing/NasiHLBLHVKTH15", "DOI": "10.3390/RS71115467", "MAG": "2178471458"}</t>
  </si>
  <si>
    <t>10.3390/rs71115467</t>
  </si>
  <si>
    <t>https://www.mdpi.com/2072-4292/7/11/15467/pdf?version=1447841828</t>
  </si>
  <si>
    <t>15467-15493</t>
  </si>
  <si>
    <t>18; 43; 22; 7; 26; 36; 16; 13; 19; 48</t>
  </si>
  <si>
    <t>24.8</t>
  </si>
  <si>
    <t>89e6bd22e7bd3db0faef38834d30fc10235d0b3c</t>
  </si>
  <si>
    <t>Bluetooth 5.1: An Analysis of Direction Finding Capability for High-Precision Location Services</t>
  </si>
  <si>
    <t>2021-05-21</t>
  </si>
  <si>
    <t>This paper presents an in-depth overview of the Bluetooth 5.1 Direction Finding standard’s potentials, thanks to enhancing the Bluetooth Low Energy (BLE) firmware. This improvement allows producers to create location applications based on the Angle of Departure (AoD) and the Angle of Arrival (AoA). Accordingly, it is conceivable to design proper Indoor Positioning Systems (IPS), for instance, for the traceability of resources, assets, and people. First of all, Radio Frequency (RF) radiogoniometry techniques, helpful in calculating AoA and AoD angles, are introduced in this paper. Subsequently, the topic relating to signal direction estimation is deepened. The Bluetooth Core Specification updates concerning version 5.1, both at the packet architecture and prototyping levels, are also reported. Some suitable platforms and development kits for running the new features are then presented, and some basic applications are illustrated. This paper’s final part allows ascertaining the improvement made by this new definition of BLE and possible future developments, especially concerning applications related to devices, assets, or people’s indoor localization. Some preliminary results gathered in a real evaluation scenario are also presented.</t>
  </si>
  <si>
    <t>{"CorpusId": 235303118, "DBLP": "journals/sensors/PauAGY21", "DOI": "10.3390/s21113589", "PubMed": "34064147", "PubMedCentral": "8196737"}</t>
  </si>
  <si>
    <t>10.3390/s21113589</t>
  </si>
  <si>
    <t>https://www.mdpi.com/1424-8220/21/11/3589/pdf?version=1621845534</t>
  </si>
  <si>
    <t>48; 18; 2; 48</t>
  </si>
  <si>
    <t>8f407875eb303bbb6037e57efa57c0fffd4b6e00</t>
  </si>
  <si>
    <t>LogicNets: Co-Designed Neural Networks and Circuits for Extreme-Throughput Applications</t>
  </si>
  <si>
    <t>2020-04-06</t>
  </si>
  <si>
    <t>Deployment of deep neural networks for applications that require very high throughput or extremely low latency is a severe computational challenge, further exacerbated by inefficiencies in mapping the computation to hardware. We present a novel method for designing neural network topologies that directly map to a highly efficient FPGA implementation. By exploiting the equivalence of artificial neurons with quantized inputs/outputs and truth tables, we can train quantized neural networks that can be directly converted to a netlist of truth tables, and subsequently deployed as a highly pipelinable, massively parallel FPGA circuit. However, the neural network topology requires careful consideration since the hardware cost of truth tables grows exponentially with neuron fan-in. To obtain smaller networks where the whole netlist can be placed-and-routed onto a single FPGA, we derive a fan-in driven hardware cost model to guide topology design, and combine high sparsity with few-bit activation quantization to limit the neuron fan-in. We evaluate our approach on two tasks with very high intrinsic throughput requirements in high-energy physics and network intrusion detection. We show that the combination of sparsity and few-bit activation quantization results in high-speed circuits with small logic depth and low LUT cost, demonstrating competitive accuracy with less than 15 ns of inference latency and throughput in the hundreds of millions of inferences per second.</t>
  </si>
  <si>
    <t>{"ArXiv": "2004.03021", "CorpusId": 215238782, "DBLP": "journals/corr/abs-2004-03021", "DOI": "10.1109/FPL50879.2020.00055", "MAG": "3016036342"}</t>
  </si>
  <si>
    <t>10.1109/fpl50879.2020.00055</t>
  </si>
  <si>
    <t>https://arxiv.org/pdf/2004.03021</t>
  </si>
  <si>
    <t>291-297</t>
  </si>
  <si>
    <t>14; 5; 14; 24</t>
  </si>
  <si>
    <t>14.25</t>
  </si>
  <si>
    <t>ba0ce7a130709e98928a59f609c5840020323bda</t>
  </si>
  <si>
    <t>An efficient intrusion detection system based on support vector machines and gradually feature removal method</t>
  </si>
  <si>
    <t>385</t>
  </si>
  <si>
    <t>{"CorpusId": 36176167, "DBLP": "journals/eswa/LiXZYAD12", "DOI": "10.1016/j.eswa.2011.07.032", "MAG": "1978779053"}</t>
  </si>
  <si>
    <t>10.1016/j.eswa.2011.07.032</t>
  </si>
  <si>
    <t>424-430</t>
  </si>
  <si>
    <t>1; 11; 4; 1; 1; 3</t>
  </si>
  <si>
    <t>cc98157b70d7cf464b880668d7694edd12188157</t>
  </si>
  <si>
    <t>An Implementation of Intrusion Detection System Using Genetic Algorithm</t>
  </si>
  <si>
    <t>2012-03-31</t>
  </si>
  <si>
    <t>393</t>
  </si>
  <si>
    <t>Nowadays it is very important to maintain a high level security to ensure safe and trusted communication of information between various organizations. But secured data communication over internet and any other network is always under threat of intrusions and misuses. So Intrusion Detection Systems have become a needful component in terms of computer and network security. There are various approaches being utilized in intrusion detections, but unfortunately any of the systems so far is not completely flawless. So, the quest of betterment continues. In this progression, here we present an Intrusion Detection System (IDS), by applying genetic algorithm (GA) to efficiently detect various types of network intrusions. Parameters and evolution processes for GA are discussed in details and implemented. This approach uses evolution theory to information evolution in order to filter the traffic data and thus reduce the complexity. To implement and measure the performance of our system we used the KDD99 benchmark dataset and obtained reasonable detection rate.</t>
  </si>
  <si>
    <t>{"ArXiv": "1204.1336", "CorpusId": 112226, "DBLP": "journals/corr/abs-1204-1336", "DOI": "10.5121/ijnsa.2012.4208", "MAG": "2015401767"}</t>
  </si>
  <si>
    <t>10.5121/ijnsa.2012.4208</t>
  </si>
  <si>
    <t>https://doi.org/10.5121/ijnsa.2012.4208</t>
  </si>
  <si>
    <t>4; 1; 9</t>
  </si>
  <si>
    <t>dea53250fadeb9a1dba6c06215dfef461bfdc1e6</t>
  </si>
  <si>
    <t>Developing a Hybrid Intrusion Detection System Using Data Mining for Power Systems</t>
  </si>
  <si>
    <t>2015-03-18</t>
  </si>
  <si>
    <t>374</t>
  </si>
  <si>
    <t>{"CorpusId": 828321, "DBLP": "journals/tsg/PanMA15", "DOI": "10.1109/TSG.2015.2409775", "MAG": "1991510770"}</t>
  </si>
  <si>
    <t>10.1109/tsg.2015.2409775</t>
  </si>
  <si>
    <t>3104-3113</t>
  </si>
  <si>
    <t>13; 24; 13</t>
  </si>
  <si>
    <t>f34cbcb44e3b4523b9034de0630a458787759b4d</t>
  </si>
  <si>
    <t>Applying long short-term memory recurrent neural networks to intrusion detection</t>
  </si>
  <si>
    <t>2015-07-11</t>
  </si>
  <si>
    <t>We claim that modelling network trac as a time series with a supervised learning approach, using known genuine and malicious behaviour, improves intrusion detection. To substantiate this, we trained long short-term memory (LSTM) recurrent neural networks with the training data provided by the DARPA / KDD Cup ’99 challenge. To identify suitable LSTM-RNN network parameters and structure we experimented with various network topologies. We found networks with four memory blocks containing two cells each oer a good compromise between computational cost and detection performance. We applied forget gates and shortcut connections respectively. A learning rate of 0.1 and up to 1,000 epochs showed good results. We tested the performance on all features and on extracted minimal feature sets respectively. We evaluated dierent feature sets for the detection of all attacks within one network and also to train networks specialised on individual attack classes. Our results show that the LSTM classier provides superior performance in comparison to results previously published results of strong static classiers. With 93.82% accuracy and 22.13 cost, LSTM outperforms the winning entries of the KDD Cup ’99 challenge by far. This is due to the fact that LSTM learns to look back in time and correlate consecutive connection records. For the rst time ever, we have demonstrated the usefulness of LSTM networks to intrusion detection.</t>
  </si>
  <si>
    <t>{"CorpusId": 18710551, "DBLP": "journals/saj/Staudemeyer15", "DOI": "10.18489/SACJ.V56I1.248", "MAG": "1811853421"}</t>
  </si>
  <si>
    <t>10.18489/sacj.v56i1.248</t>
  </si>
  <si>
    <t>https://sacj.cs.uct.ac.za/index.php/sacj/article/download/248/150</t>
  </si>
  <si>
    <t>21d38af5a81a5d14f96512b0eef34ef762691cc0</t>
  </si>
  <si>
    <t>Matryoshka Networks: Predicting 3D Geometry via Nested Shape Layers</t>
  </si>
  <si>
    <t>2018-04-29</t>
  </si>
  <si>
    <t>In this paper, we develop novel, efficient 2D encodings for 3D geometry, which enable reconstructing full 3D shapes from a single image at high resolution. The key idea is to pose 3D shape reconstruction as a 2D prediction problem. To that end, we first develop a simple baseline network that predicts entire voxel tubes at each pixel of a reference view. By leveraging well-proven architectures for 2D pixel-prediction tasks, we attain state-of-the-art results, clearly outperforming purely voxel-based approaches. We scale this baseline to higher resolutions by proposing a memory-efficient shape encoding, which recursively decomposes a 3D shape into nested shape layers, similar to the pieces of a Matryoshka doll. This allows reconstructing highly detailed shapes with complex topology, as demonstrated in extensive experiments; we clearly outperform previous octree-based approaches despite having a much simpler architecture using standard network components. Our Matryoshka networks further enable reconstructing shapes from IDs or shape similarity, as well as shape sampling.</t>
  </si>
  <si>
    <t>{"ArXiv": "1804.10975", "CorpusId": 13744488, "DBLP": "conf/cvpr/Richter018", "DOI": "10.1109/CVPR.2018.00207", "MAG": "2798311622"}</t>
  </si>
  <si>
    <t>10.1109/cvpr.2018.00207</t>
  </si>
  <si>
    <t>https://arxiv.org/pdf/1804.10975</t>
  </si>
  <si>
    <t>1936-1944</t>
  </si>
  <si>
    <t>11; 66</t>
  </si>
  <si>
    <t>38.5</t>
  </si>
  <si>
    <t>4700bc83047536a3d99d74637357bd79286a120d</t>
  </si>
  <si>
    <t>A Novel Intrusion Detection Model for a Massive Network Using Convolutional Neural Networks</t>
  </si>
  <si>
    <t>More and more network traffic data have brought great challenge to traditional intrusion detection system. The detection performance is tightly related to selected features and classifiers, but traditional feature selection algorithms and classification algorithms can’t perform well in massive data environment. Also the raw traffic data are imbalanced, which has a serious impact on the classification results. In this paper, we propose a novel network intrusion detection model utilizing convolutional neural networks (CNNs). We use CNN to select traffic features from raw data set automatically, and we set the cost function weight coefficient of each class based on its numbers to solve the imbalanced data set problem. The model not only reduces the false alarm rate (FAR) but also improves the accuracy of the class with small numbers. To reduce the calculation cost further, we convert the raw traffic vector format into image format. We use the standard NSL-KDD data set to evaluate the performance of the proposed CNN model. The experimental results show that the accuracy, FAR, and calculation cost of the proposed model perform better than traditional standard algorithms. It is an effective and reliable solution for the intrusion detection of a massive network.</t>
  </si>
  <si>
    <t>{"CorpusId": 52927542, "DBLP": "journals/access/WuCL18", "DOI": "10.1109/ACCESS.2018.2868993", "MAG": "2891214000"}</t>
  </si>
  <si>
    <t>10.1109/access.2018.2868993</t>
  </si>
  <si>
    <t>https://doi.org/10.1109/access.2018.2868993</t>
  </si>
  <si>
    <t>50850-50859</t>
  </si>
  <si>
    <t>14; 4; 6</t>
  </si>
  <si>
    <t>580d97167e33e000a5df963cd4a9b3a1f96397ef</t>
  </si>
  <si>
    <t>Anomaly-based intrusion detection system through feature selection analysis and building hybrid efficient model</t>
  </si>
  <si>
    <t>2017-03-22</t>
  </si>
  <si>
    <t>594</t>
  </si>
  <si>
    <t>{"CorpusId": 13753047, "DBLP": "journals/jocs/AljawarnehAY18", "DOI": "10.1016/j.jocs.2017.03.006", "MAG": "2604105233"}</t>
  </si>
  <si>
    <t>10.1016/j.jocs.2017.03.006</t>
  </si>
  <si>
    <t>152-160</t>
  </si>
  <si>
    <t>39; 22; 26</t>
  </si>
  <si>
    <t>58407ef77c92a3711fb245d2bc68ef7bfed92386</t>
  </si>
  <si>
    <t>P2012: Building an ecosystem for a scalable, modular and high-efficiency embedded computing accelerator</t>
  </si>
  <si>
    <t>2012-03-12</t>
  </si>
  <si>
    <t>200</t>
  </si>
  <si>
    <t>{"CorpusId": 13281285, "DBLP": "conf/date/BeniniFFM12", "DOI": "10.1109/DATE.2012.6176639", "MAG": "2054613700"}</t>
  </si>
  <si>
    <t>10.1109/date.2012.6176639</t>
  </si>
  <si>
    <t>983-987</t>
  </si>
  <si>
    <t>106; 16; 5; 8</t>
  </si>
  <si>
    <t>7dac9cc7e0b4ad6e63db59cdefd3a805bd1db279</t>
  </si>
  <si>
    <t>Joint Visual and Temporal Consistency for Unsupervised Domain Adaptive Person Re-Identification</t>
  </si>
  <si>
    <t>2020-07-21</t>
  </si>
  <si>
    <t>Unsupervised domain adaptive person Re-IDentification (ReID) is challenging because of the large domain gap between source and target domains, as well as the lackage of labeled data on the target domain. This paper tackles this challenge through jointly enforcing visual and temporal consistency in the combination of a local one-hot classification and a global multi-class classification. The local one-hot classification assigns images in a training batch with different person IDs, then adopts a Self-Adaptive Classification (SAC) model to classify them. The global multi-class classification is achieved by predicting labels on the entire unlabeled training set with the Memory-based Temporal-guided Cluster (MTC). MTC predicts multi-class labels by considering both visual similarity and temporal consistency to ensure the quality of label prediction. The two classification models are combined in a unified framework, which effectively leverages the unlabeled data for discriminative feature learning. Experimental results on three large-scale ReID datasets demonstrate the superiority of proposed method in both unsupervised and unsupervised domain adaptive ReID tasks. For example, under unsupervised setting, our method outperforms recent unsupervised domain adaptive methods, which leverage more labels for training.</t>
  </si>
  <si>
    <t>{"ArXiv": "2007.10854", "CorpusId": 220665710, "DBLP": "conf/eccv/LiZ20", "DOI": "10.1007/978-3-030-58586-0_29", "MAG": "3106772544"}</t>
  </si>
  <si>
    <t>10.1007/978-3-030-58586-0_29</t>
  </si>
  <si>
    <t>24; 48</t>
  </si>
  <si>
    <t>83996f9214d998ffb5ea8c2ea6104e96584f587b</t>
  </si>
  <si>
    <t>Enhanced Network Anomaly Detection Based on Deep Neural Networks</t>
  </si>
  <si>
    <t>2018-08-17</t>
  </si>
  <si>
    <t>Due to the monumental growth of Internet applications in the last decade, the need for security of information network has increased manifolds. As a primary defense of network infrastructure, an intrusion detection system is expected to adapt to dynamically changing threat landscape. Many supervised and unsupervised techniques have been devised by researchers from the discipline of machine learning and data mining to achieve reliable detection of anomalies. Deep learning is an area of machine learning which applies neuron-like structure for learning tasks. Deep learning has profoundly changed the way we approach learning tasks by delivering monumental progress in different disciplines like speech processing, computer vision, and natural language processing to name a few. It is only relevant that this new technology must be investigated for information security applications. The aim of this paper is to investigate the suitability of deep learning approaches for anomaly-based intrusion detection system. For this research, we developed anomaly detection models based on different deep neural network structures, including convolutional neural networks, autoencoders, and recurrent neural networks. These deep models were trained on NSLKDD training data set and evaluated on both test data sets provided by NSLKDD, namely NSLKDDTest+ and NSLKDDTest21. All experiments in this paper are performed by authors on a GPU-based test bed. Conventional machine learning-based intrusion detection models were implemented using well-known classification techniques, including extreme learning machine, nearest neighbor, decision-tree, random-forest, support vector machine, naive-bays, and quadratic discriminant analysis. Both deep and conventional machine learning models were evaluated using well-known classification metrics, including receiver operating characteristics, area under curve, precision-recall curve, mean average precision and accuracy of classification. Experimental results of deep IDS models showed promising results for real-world application in anomaly detection systems.</t>
  </si>
  <si>
    <t>{"CorpusId": 52302443, "DBLP": "journals/access/NaseerSKBHIH18", "DOI": "10.1109/ACCESS.2018.2863036", "MAG": "2886020981"}</t>
  </si>
  <si>
    <t>10.1109/access.2018.2863036</t>
  </si>
  <si>
    <t>https://doi.org/10.1109/access.2018.2863036</t>
  </si>
  <si>
    <t>48231-48246</t>
  </si>
  <si>
    <t>14; 21; 37; 5; 8; 13; 6</t>
  </si>
  <si>
    <t>14.85714285714286</t>
  </si>
  <si>
    <t>845f45f8412905137bf4e46a0d434f5856cd3aec</t>
  </si>
  <si>
    <t>The Spyware Used in Intimate Partner Violence</t>
  </si>
  <si>
    <t>2018-05-20</t>
  </si>
  <si>
    <t>{"CorpusId": 206579410, "DBLP": "conf/sp/ChatterjeeDOHPF18", "DOI": "10.1109/SP.2018.00061", "MAG": "2794995912"}</t>
  </si>
  <si>
    <t>10.1109/sp.2018.00061</t>
  </si>
  <si>
    <t>https://ieeexplore.ieee.org/ielx7/8418581/8418583/08418618.pdf</t>
  </si>
  <si>
    <t>441-458</t>
  </si>
  <si>
    <t>14; 5; 9; 4; 3; 10; 31; 32; 49; 60</t>
  </si>
  <si>
    <t>21.7</t>
  </si>
  <si>
    <t>85dacb2fa8093e2d8a792c6f53c3429cbbdf5606</t>
  </si>
  <si>
    <t>Autoencoder-based feature learning for cyber security applications</t>
  </si>
  <si>
    <t>2017-05-14</t>
  </si>
  <si>
    <t>280</t>
  </si>
  <si>
    <t>{"CorpusId": 27102028, "DBLP": "conf/ijcnn/Yousefi-AzarVHT17", "DOI": "10.1109/IJCNN.2017.7966342", "MAG": "2734718015"}</t>
  </si>
  <si>
    <t>10.1109/ijcnn.2017.7966342</t>
  </si>
  <si>
    <t>3854-3861</t>
  </si>
  <si>
    <t>6; 44; 21; 22</t>
  </si>
  <si>
    <t>23.25</t>
  </si>
  <si>
    <t>8ec77d3f34d9c4f71e7c0e8b832cc7afb8479d59</t>
  </si>
  <si>
    <t>SKEE: A lightweight Secure Kernel-level Execution Environment for ARM</t>
  </si>
  <si>
    <t>{"CorpusId": 8991310, "DBLP": "conf/ndss/AzabSBMSWN16", "DOI": "10.14722/NDSS.2016.23009", "MAG": "2579632738"}</t>
  </si>
  <si>
    <t>10.14722/ndss.2016.23009</t>
  </si>
  <si>
    <t>https://doi.org/10.14722/ndss.2016.23009</t>
  </si>
  <si>
    <t>16; 1; 3; 4; 16; 8; 68</t>
  </si>
  <si>
    <t>16.57142857142857</t>
  </si>
  <si>
    <t>8f48171bf05474449777d9bbf6766d480332e09f</t>
  </si>
  <si>
    <t>A Generalist Framework for Panoptic Segmentation of Images and Videos</t>
  </si>
  <si>
    <t>2022-10-12</t>
  </si>
  <si>
    <t>Panoptic segmentation assigns semantic and instance ID labels to every pixel of an image. As permutations of instance IDs are also valid solutions, the task requires learning of high-dimensional one-to-many mapping. As a result, state-of-the-art approaches use customized architectures and task-specific loss functions. We formulate panoptic segmentation as a discrete data generation problem, without relying on inductive bias of the task. A diffusion model is proposed to model panoptic masks, with a simple architecture and generic loss function. By simply adding past predictions as a conditioning signal, our method is capable of modeling video (in a streaming setting) and thereby learns to track object instances automatically. With extensive experiments, we demonstrate that our simple approach can perform competitively to state-of-the-art specialist methods in similar settings. 1</t>
  </si>
  <si>
    <t>{"ArXiv": "2210.06366", "CorpusId": 252846168, "DBLP": "journals/corr/abs-2210-06366", "DOI": "10.1109/ICCV51070.2023.00090"}</t>
  </si>
  <si>
    <t>10.1109/iccv51070.2023.00090</t>
  </si>
  <si>
    <t>https://arxiv.org/pdf/2210.06366</t>
  </si>
  <si>
    <t>909-919</t>
  </si>
  <si>
    <t>28; 8; 10; 160; 78</t>
  </si>
  <si>
    <t>56.8</t>
  </si>
  <si>
    <t>9899e04c2b2b68c6293af8a47608c4eec4d93481</t>
  </si>
  <si>
    <t>Intrusion Detection for IoT Based on Improved Genetic Algorithm and Deep Belief Network</t>
  </si>
  <si>
    <t>2019-03-07</t>
  </si>
  <si>
    <t>With the advent of the Internet of Things (IoT), the security of the network layer in the IoT is getting more and more attention. The traditional intrusion detection technologies cannot be well adapted in the complex Internet environment of IoT. For the deep learning algorithm of intrusion detection, a neural network structure may have fine detection accuracy for one kind of attack, but it may not have a good detection effect when facing other attacks. Therefore, it is urgent to design a self-adaptive model to change the network structure for different attack types. This paper presents an intrusion detection model based on improved genetic algorithm (GA) and deep belief network (DBN). Facing different types of attacks, through multiple iterations of the GA, the optimal number of hidden layers and number of neurons in each layer are generated adaptively, so that the intrusion detection model based on the DBN achieves a high detection rate with a compact structure. Finally, the NSL-KDD dataset was used to simulate and evaluate the model and algorithms. The experimental results show that the improved intrusion detection model combined with DBN can effectively improve the recognition rate of intrusion attacks and reduce the complexity of the neural network structure.</t>
  </si>
  <si>
    <t>{"CorpusId": 85502898, "DBLP": "journals/access/ZhangLW19", "DOI": "10.1109/ACCESS.2019.2903723", "MAG": "2921134108"}</t>
  </si>
  <si>
    <t>10.1109/access.2019.2903723</t>
  </si>
  <si>
    <t>https://ieeexplore.ieee.org/ielx7/6287639/8600701/08662673.pdf</t>
  </si>
  <si>
    <t>31711-31722</t>
  </si>
  <si>
    <t>86; 6; 24</t>
  </si>
  <si>
    <t>38.66666666666666</t>
  </si>
  <si>
    <t>9c3e7a4f43831cd02eb62269e8ca1334e5412cc5</t>
  </si>
  <si>
    <t>How You Get Shot in the Back: A Systematical Study about Cryptojacking in the Real World</t>
  </si>
  <si>
    <t>2018-01-15</t>
  </si>
  <si>
    <t>115</t>
  </si>
  <si>
    <t>As a new mechanism to monetize web content, cryptocurrency mining is becoming increasingly popular. The idea is simple: a webpage delivers extra workload (JavaScript) that consumes computational resources on the client machine to solve cryptographic puzzles, typically without notifying users or having explicit user consent. This new mechanism, often heavily abused and thus considered a threat termed "cryptojacking", is estimated to affect over 10 million web users every month; however, only a few anecdotal reports exist so far and little is known about its severeness, infrastructure, and technical characteristics behind the scene. This is likely due to the lack of effective approaches to detect cryptojacking at a large-scale (e.g., VirusTotal). In this paper, we take a first step towards an in-depth study over cryptojacking. By leveraging a set of inherent characteristics of cryptojacking scripts, we build CMTracker, a behavior-based detector with two runtime profilers for automatically tracking Cryptocurrency Mining scripts and their related domains. Surprisingly, our approach successfully discovered 2,770 unique cryptojacking samples from 853,936 popular web pages, including 868 among top 100K in Alexa list. Leveraging these samples, we gain a more comprehensive picture of the cryptojacking attacks, including their impact, distribution mechanisms, obfuscation, and attempts to evade detection. For instance, a diverse set of organizations benefit from cryptojacking based on the unique wallet ids. In addition, to stay under the radar, they frequently update their attack domains (fastflux) on the order of days. Many attackers also apply evasion techniques, including limiting the CPU usage, obfuscating the code, etc.</t>
  </si>
  <si>
    <t>{"CorpusId": 52088390, "DBLP": "conf/ccs/HongYYZNZYZQD18", "DOI": "10.1145/3243734.3243840", "MAG": "2897385569"}</t>
  </si>
  <si>
    <t>10.1145/3243734.3243840</t>
  </si>
  <si>
    <t>6; 19; 3; 6; 15; 5; 24; 35; 29</t>
  </si>
  <si>
    <t>15.77777777777778</t>
  </si>
  <si>
    <t>bb9714e0c661576f5df19fb54e0e26567ca37372</t>
  </si>
  <si>
    <t>Industrial Control System Simulation and Data Logging for Intrusion Detection System Research</t>
  </si>
  <si>
    <t>{"CorpusId": 42986835}</t>
  </si>
  <si>
    <t>24; 2; 3</t>
  </si>
  <si>
    <t>ca61e90da3eed4e7fe21cd3205a1ac69364b0f12</t>
  </si>
  <si>
    <t>Through the eye of the PLC: semantic security monitoring for industrial processes</t>
  </si>
  <si>
    <t>2014-12-08</t>
  </si>
  <si>
    <t>204</t>
  </si>
  <si>
    <t>{"CorpusId": 2546358, "DBLP": "conf/acsac/HadziosmanovicSZH14", "DOI": "10.1145/2664243.2664277", "MAG": "2111404412"}</t>
  </si>
  <si>
    <t>10.1145/2664243.2664277</t>
  </si>
  <si>
    <t>https://ris.utwente.nl/ws/files/5455084/p126-hadziosmanovic.pdf</t>
  </si>
  <si>
    <t>11; 27; 15; 43</t>
  </si>
  <si>
    <t>e547b22b06d9db497fe05b3b99f25f8f774659c7</t>
  </si>
  <si>
    <t>A Deep Blockchain Framework-Enabled Collaborative Intrusion Detection for Protecting IoT and Cloud Networks</t>
  </si>
  <si>
    <t>2021-06-15</t>
  </si>
  <si>
    <t>There has been significant research in incorporating both blockchain and intrusion detection to improve data privacy and detect existing and emerging cyberattacks, respectively. In these approaches, learning-based ensemble models can facilitate the identification of complex malicious events and concurrently ensure data privacy. Such models can also be used to provide additional security and privacy assurances during the live migration of virtual machines (VMs) in the cloud and to protect Internet-of-Things (IoT) networks. This would allow the secure transfer of VMs between data centers or cloud providers in real time. This article proposes a deep blockchain framework (DBF) designed to offer security-based distributed intrusion detection and privacy-based blockchain with smart contracts in IoT networks. The intrusion detection method is employed by a bidirectional long short-term memory (BiLSTM) deep learning algorithm to deal with sequential network data and is assessed using the data sets of UNSW-NB15 and BoT-IoT. The privacy-based blockchain and smart contract methods are developed using the Ethereum library to provide privacy to the distributed intrusion detection engines. The DBF framework is compared with peer privacy-preserving intrusion detection techniques, and the experimental outcomes reveal that DBF outperforms the other competing models. The framework has the potential to be used as a decision support system that can assist users and cloud providers in securely migrating their data in a timely and reliable manner.</t>
  </si>
  <si>
    <t>{"CorpusId": 219478328, "DBLP": "journals/iotj/Al-KadiMTC21", "DOI": "10.1109/JIOT.2020.2996590", "MAG": "3027095011"}</t>
  </si>
  <si>
    <t>10.1109/jiot.2020.2996590</t>
  </si>
  <si>
    <t>9463-9472</t>
  </si>
  <si>
    <t>3; 50; 22; 59</t>
  </si>
  <si>
    <t>e8a3306cceffd3d8f19c253137fc93664e4ef8f6</t>
  </si>
  <si>
    <t>A novel SVM-kNN-PSO ensemble method for intrusion detection system</t>
  </si>
  <si>
    <t>431</t>
  </si>
  <si>
    <t>{"CorpusId": 3711425, "DBLP": "journals/asc/AburommanR16", "DOI": "10.1016/j.asoc.2015.10.011", "MAG": "2191006491"}</t>
  </si>
  <si>
    <t>10.1016/j.asoc.2015.10.011</t>
  </si>
  <si>
    <t>360-372</t>
  </si>
  <si>
    <t>eb8c1445300e379f53fe75871137b7942506ab17</t>
  </si>
  <si>
    <t>A deep learning technique for intrusion detection system using a Recurrent Neural Networks based framework</t>
  </si>
  <si>
    <t>2022-12-01</t>
  </si>
  <si>
    <t>{"CorpusId": 254439317, "DBLP": "journals/comcom/Kasongo23", "DOI": "10.1016/j.comcom.2022.12.010"}</t>
  </si>
  <si>
    <t>10.1016/j.comcom.2022.12.010</t>
  </si>
  <si>
    <t>https://doi.org/10.1016/j.comcom.2022.12.010</t>
  </si>
  <si>
    <t>113-125</t>
  </si>
  <si>
    <t>f5a18c4abc363f69f29c07df64851c51c25d0fa5</t>
  </si>
  <si>
    <t>Kargus: a highly-scalable software-based intrusion detection system</t>
  </si>
  <si>
    <t>2012-10-16</t>
  </si>
  <si>
    <t>{"CorpusId": 3435498, "DBLP": "conf/ccs/JamshedLMYKLYP12", "DOI": "10.1145/2382196.2382232", "MAG": "2139325411"}</t>
  </si>
  <si>
    <t>10.1145/2382196.2382232</t>
  </si>
  <si>
    <t>9; 2; 9; 12; 3; 7; 33; 27</t>
  </si>
  <si>
    <t>f5f31e0f0ceb1e65f9ee90c3d344f961db01e074</t>
  </si>
  <si>
    <t>Intrusion Detection Using Convolutional Neural Networks for Representation Learning</t>
  </si>
  <si>
    <t>2017-11-14</t>
  </si>
  <si>
    <t>203</t>
  </si>
  <si>
    <t>{"CorpusId": 25331286, "DBLP": "conf/iconip/LiQHYY17", "DOI": "10.1007/978-3-319-70139-4_87", "MAG": "2766315530"}</t>
  </si>
  <si>
    <t>10.1007/978-3-319-70139-4_87</t>
  </si>
  <si>
    <t>858-866</t>
  </si>
  <si>
    <t>5; 23; 5; 55; 3</t>
  </si>
  <si>
    <t>18.2</t>
  </si>
  <si>
    <t>f66255d548343ca43245c22578a73f0548203cac</t>
  </si>
  <si>
    <t>A Specification-Based IDS for Detecting Attacks on RPL-Based Network Topology</t>
  </si>
  <si>
    <t>2016-05-12</t>
  </si>
  <si>
    <t>Routing Protocol for Low power and Lossy network (RPL) topology attacks can downgrade the network performance significantly by disrupting the optimal protocol structure. To detect such threats, we propose a RPL-specification, obtained by a semi-auto profiling technique that constructs a high-level abstract of operations through network simulation traces, to use as reference for verifying the node behaviors. This specification, including all the legitimate protocol states and transitions with corresponding statistics, will be implemented as a set of rules in the intrusion detection agents, in the form of the cluster heads propagated to monitor the whole network. In order to save resources, we set the cluster members to report related information about itself and other neighbors to the cluster head instead of making the head overhearing all the communication. As a result, information about a cluster member will be reported by different neighbors, which allow the cluster head to do cross-check. We propose to record the sequence in RPL Information Object (DIO) and Information Solicitation (DIS) messages to eliminate the synchronized issue created by the delay in transmitting the report, in which the cluster head only does cross-check on information that come from sources with the same sequence. Simulation results show that the proposed Intrusion Detection System (IDS) has a high accuracy rate in detecting RPL topology attacks, while only creating insignificant overhead (about 6.3%) that enable its scalability in large-scale network.</t>
  </si>
  <si>
    <t>{"CorpusId": 2979771, "DBLP": "journals/information/LeLCA16", "DOI": "10.3390/info7020025", "MAG": "2370696599"}</t>
  </si>
  <si>
    <t>10.3390/info7020025</t>
  </si>
  <si>
    <t>https://www.mdpi.com/2078-2489/7/2/25/pdf?version=1463054266</t>
  </si>
  <si>
    <t>9; 30; 27; 17</t>
  </si>
  <si>
    <t>20.75</t>
  </si>
  <si>
    <t>f79addb4535fd12c4743d0daf2927d12bbff6e57</t>
  </si>
  <si>
    <t>Towards a Reliable Intrusion Detection Benchmark Dataset</t>
  </si>
  <si>
    <t>240</t>
  </si>
  <si>
    <t>The urgently growing number of security threats on Internet and intranet networks highly demands reliable security solutions. Among various options, Intrusion Detection (IDSs) and Intrusion Prevention Systems (IPSs) are used to defend network infrastructure by detecting and preventing attacks and malicious activities. The performance of a detection system is evaluated using benchmark datasets. There exist a number of datasets, such as DARPA98, KDD99, ISC2012, and ADFA13, that have been used by researchers to evaluate the performance of their intrusion detection and prevention approaches. However, not enough research has focused on the evaluation and assessment of the datasets themselves and there is no reliable dataset in this domain. In this paper, we present a comprehensive evaluation of the existing datasets using our proposed criteria, a design and evaluation framework for IDS and IPS datasets, and a dataset generation model to create a reliable IDS or IPS benchmark dataset.</t>
  </si>
  <si>
    <t>{"CorpusId": 67685915, "DOI": "10.13052/JSN2445-9739.2017.009", "MAG": "2732560875"}</t>
  </si>
  <si>
    <t>10.13052/jsn2445-9739.2017.009</t>
  </si>
  <si>
    <t>https://riverpublishers.com/journal/journal_articles/RP_Journal_2445-9739_20171009.pdf</t>
  </si>
  <si>
    <t>177-200</t>
  </si>
  <si>
    <t>7; 5; 32; 53</t>
  </si>
  <si>
    <t>24.25</t>
  </si>
  <si>
    <t>f9d7850310edb5ff7899e51c9df747ff3ae23cc6</t>
  </si>
  <si>
    <t>Robust detection for network intrusion of industrial IoT based on multi-CNN fusion</t>
  </si>
  <si>
    <t>2020-03-15</t>
  </si>
  <si>
    <t>{"CorpusId": 212814562, "DOI": "10.1016/j.measurement.2019.107450", "MAG": "2998722477"}</t>
  </si>
  <si>
    <t>10.1016/j.measurement.2019.107450</t>
  </si>
  <si>
    <t>107450</t>
  </si>
  <si>
    <t>5; 5; 17; 7; 4; 7; 13; 10</t>
  </si>
  <si>
    <t>feb8f6a9da5dcabb3759fefed1a9f65488f1a744</t>
  </si>
  <si>
    <t>1-1-2007 GenMAPP 2 : New Features and Resources for Pathway Analysis</t>
  </si>
  <si>
    <t>{"CorpusId": 266690418}</t>
  </si>
  <si>
    <t>2; 29; 33; 2; 4; 6; 12; 2; 5; 47</t>
  </si>
  <si>
    <t>14.2</t>
  </si>
  <si>
    <t>15d101b69e311f7ef90a85facaa9d2b63e41cacb</t>
  </si>
  <si>
    <t>A novel intrusion detection system based on hierarchical clustering and support vector machines</t>
  </si>
  <si>
    <t>515</t>
  </si>
  <si>
    <t>{"CorpusId": 34274657, "DBLP": "journals/eswa/HorngSCKCLP11", "DOI": "10.1016/j.eswa.2010.06.066", "MAG": "2032620230"}</t>
  </si>
  <si>
    <t>10.1016/j.eswa.2010.06.066</t>
  </si>
  <si>
    <t>306-313</t>
  </si>
  <si>
    <t>45; 14; 10; 20; 20; 19; 2</t>
  </si>
  <si>
    <t>18.57142857142857</t>
  </si>
  <si>
    <t>1db26bf75cadbec80c1dd79d6eb4a9386f66e3a5</t>
  </si>
  <si>
    <t>An Intrusion Detection System Using a Deep Neural Network With Gated Recurrent Units</t>
  </si>
  <si>
    <t>2018-08-28</t>
  </si>
  <si>
    <t>To improve the performance of network intrusion detection systems (IDS), we applied deep learning theory to intrusion detection and developed a deep network model with automatic feature extraction. In this paper, we consider the characteristics of the time-related intrusion and propose a novel IDS that consists of a recurrent neural network with gated recurrent units (GRU), multilayer perceptron (MLP), and softmax module. Experiments on the well-known KDD 99 and NSL-KDD data sets show that the system has leading performance. The overall detection rate was 99.42% using KDD 99 and 99.31% using NSL-KDD with false positive rates as low as 0.05% and 0.84%, respectively. In particular, for detecting the denial of service attacks, the system achieved detection rates of 99.98% and 99.55%, respectively. Comparative experiments showed that the GRU is more suitable as a memory unit for IDS than LSTM, and proved that it is an effective simplification and improvement of LSTM. Moreover, the bidirectional GRU can reach the best performance compared with the recently published methods.</t>
  </si>
  <si>
    <t>{"CorpusId": 52302476, "DBLP": "journals/access/XuSDZ18", "DOI": "10.1109/ACCESS.2018.2867564", "MAG": "2889165715"}</t>
  </si>
  <si>
    <t>10.1109/access.2018.2867564</t>
  </si>
  <si>
    <t>https://doi.org/10.1109/access.2018.2867564</t>
  </si>
  <si>
    <t>48697-48707</t>
  </si>
  <si>
    <t>7; 11; 12; 5</t>
  </si>
  <si>
    <t>8.75</t>
  </si>
  <si>
    <t>2e0cd4bdd5afc2ccd0dc8082e08737930ba1c43a</t>
  </si>
  <si>
    <t>Xenbase, the Xenopus model organism database; new virtualized system, data types and genomes</t>
  </si>
  <si>
    <t>2014-10-13</t>
  </si>
  <si>
    <t>Xenbase (http://www.xenbase.org), the Xenopus frog model organism database, integrates a wide variety of data from this biomedical model genus. Two closely related species are represented: the allotetraploid Xenopus laevis that is widely used for microinjection and tissue explant-based protocols, and the diploid Xenopus tropicalis which is used for genetics and gene targeting. The two species are extremely similar and protocols, reagents and results from each species are often interchangeable. Xenbase imports, indexes, curates and manages data from both species; all of which are mapped via unique IDs and can be queried in either a species-specific or species agnostic manner. All our services have now migrated to a private cloud to achieve better performance and reliability. We have added new content, including providing full support for morpholino reagents, used to inhibit mRNA translation or splicing and binding to regulatory microRNAs. New genomes assembled by the JGI for both species and are displayed in Gbrowse and are also available for searches using BLAST. Researchers can easily navigate from genome content to gene page reports, literature, experimental reagents and many other features using hyperlinks. Xenbase has also greatly expanded image content for figures published in papers describing Xenopus research via PubMedCentral.</t>
  </si>
  <si>
    <t>{"CorpusId": 10458071, "DBLP": "journals/nar/KarpinkaFBJPLKZV15", "DOI": "10.1093/nar/gku956", "MAG": "2165034468", "PubMed": "25313157", "PubMedCentral": "4384024"}</t>
  </si>
  <si>
    <t>10.1093/nar/gku956</t>
  </si>
  <si>
    <t>https://academic.oup.com/nar/article-pdf/43/D1/D756/7330639/gku956.pdf</t>
  </si>
  <si>
    <t>D756 - D763</t>
  </si>
  <si>
    <t>3; 12; 18; 14; 16; 3; 23; 57; 39</t>
  </si>
  <si>
    <t>20.55555555555556</t>
  </si>
  <si>
    <t>431ded7af6aa59995230c2f78870324fa78a9079</t>
  </si>
  <si>
    <t>Solving and Learning Nonlinear PDEs with Gaussian Processes</t>
  </si>
  <si>
    <t>2021-03-24</t>
  </si>
  <si>
    <t>We introduce a simple, rigorous, and unified framework for solving nonlinear partial differential equations (PDEs), and for solving inverse problems (IPs) involving the identification of parameters in PDEs, using the framework of Gaussian processes. The proposed approach: (1) provides a natural generalization of collocation kernel methods to nonlinear PDEs and IPs; (2) has guaranteed convergence for a very general class of PDEs, and comes equipped with a path to compute error bounds for specific PDE approximations; (3) inherits the state-of-the-art computational complexity of linear solvers for dense kernel matrices. The main idea of our method is to approximate the solution of a given PDE as the maximum a posteriori (MAP) estimator of a Gaussian process conditioned on solving the PDE at a finite number of collocation points. Although this optimization problem is infinite-dimensional, it can be reduced to a finite-dimensional one by introducing additional variables corresponding to the values of the derivatives of the solution at collocation points; this generalizes the representer theorem arising in Gaussian process regression. The reduced optimization problem has the form of a quadratic objective function subject to nonlinear constraints; it is solved with a variant of the Gauss--Newton method. The resulting algorithm (a) can be interpreted as solving successive linearizations of the nonlinear PDE, and (b) in practice is found to converge in a small number of iterations (2 to 10), for a wide range of PDEs. Most traditional approaches to IPs interleave parameter updates with numerical solution of the PDE; our algorithm solves for both parameter and PDE solution simultaneously. Experiments on nonlinear elliptic PDEs, Burgers' equation, a regularized Eikonal equation, and an IP for permeability identification in Darcy flow illustrate the efficacy and scope of our framework.</t>
  </si>
  <si>
    <t>{"ArXiv": "2103.12959", "CorpusId": 232335407, "DBLP": "journals/corr/abs-2103-12959"}</t>
  </si>
  <si>
    <t>14; 17; 38; 72</t>
  </si>
  <si>
    <t>35.25</t>
  </si>
  <si>
    <t>446700d4f2490098ac1e83e23452669ccc28eb31</t>
  </si>
  <si>
    <t>A Multi-Classifier Network-Based Crypto Ransomware Detection System: A Case Study of Locky Ransomware</t>
  </si>
  <si>
    <t>2019-03-26</t>
  </si>
  <si>
    <t>Ransomware is a type of advanced malware that has spread rapidly in recent years, causing significant financial losses for a wide range of victims, including organizations, healthcare facilities, and individuals. Modern host-based detection methods require the host to be infected first in order to identify anomalies and detect the malware. By the time of infection, it can be too late as some of the system’s assets would have been already exfiltrated or encrypted by the malware. Conversely, the network-based methods can be effective in detecting ransomware attacks, as most ransomware families try to connect to command and control servers before their harmful payloads are executed. Therefore, a careful analysis of ransomware network traffic can be one of the key means for early detection. This paper demonstrates a comprehensive behavioral analysis of crypto ransomware network activities, taking Locky, one of the most serious families, as a case study. A dedicated testbed was built, and a set of valuable and informative network features were extracted and classified into multiple types. A network-based intrusion detection system was implemented, employing two independent classifiers working in parallel on different levels: packet and flow levels. The experimental evaluation of the proposed detection system demonstrates that it offers high detection accuracy, low false positive rate, valid extracted features, and is highly effective in tracking ransomware network activities.</t>
  </si>
  <si>
    <t>{"CorpusId": 131776259, "DBLP": "journals/access/AlmashhadaniKSO19", "DOI": "10.1109/ACCESS.2019.2907485", "MAG": "2928980918"}</t>
  </si>
  <si>
    <t>10.1109/access.2019.2907485</t>
  </si>
  <si>
    <t>https://ieeexplore.ieee.org/ielx7/6287639/8600701/08674751.pdf</t>
  </si>
  <si>
    <t>47053-47067</t>
  </si>
  <si>
    <t>3; 10; 38; 13</t>
  </si>
  <si>
    <t>4660c2338ef2bf9aa3ae2c29cad97240c87a3d17</t>
  </si>
  <si>
    <t>Reinforcement Learning for Integer Programming: Learning to Cut</t>
  </si>
  <si>
    <t>2019-06-11</t>
  </si>
  <si>
    <t>Integer programming (IP) is a general optimization framework widely applicable to a variety of unstructured and structured problems arising in, e.g., scheduling, production planning, and graph optimization. As IP models many provably hard to solve problems, modern IP solvers rely on many heuristics. These heuristics are usually human-designed, and naturally prone to suboptimality. The goal of this work is to show that the performance of those solvers can be greatly enhanced using reinforcement learning (RL). In particular, we investigate a specific methodology for solving IPs, known as the Cutting Plane Method. This method is employed as a subroutine by all modern IP solvers. We present a deep RL formulation, network architecture, and algorithms for intelligent adaptive selection of cutting planes (aka cuts). Across a wide range of IP tasks, we show that the trained RL agent significantly outperforms human-designed heuristics, and effectively generalizes to 10X larger instances and across IP problem classes. The trained agent is also demonstrated to benefit the popular downstream application of cutting plane methods in Branch-and-Cut algorithm, which is the backbone of state-of-the-art commercial IP solvers.</t>
  </si>
  <si>
    <t>{"ArXiv": "1906.04859", "CorpusId": 186206599, "DBLP": "conf/icml/Tang0F20", "MAG": "2950058920"}</t>
  </si>
  <si>
    <t>18; 27; 13</t>
  </si>
  <si>
    <t>19.33333333333333</t>
  </si>
  <si>
    <t>52654135c36343d11f94a5b867d43e0e937c7c6e</t>
  </si>
  <si>
    <t>VoltageIDS: Low-Level Communication Characteristics for Automotive Intrusion Detection System</t>
  </si>
  <si>
    <t>2018-03-05</t>
  </si>
  <si>
    <t>248</t>
  </si>
  <si>
    <t>The proliferation of computerized functions aimed at enhancing drivers’ safety and convenience has increased the number of vehicular attack surfaces accordingly. The fundamental vulnerability is caused by the fact that the controller area network protocol, a de facto standard for in-vehicle networks, does not support message origin authentication. Several methods to resolve this problem have been suggested. However, most of them require modification of the CAN protocol and have their own vulnerabilities. In this paper, we focus on securing in-vehicle CAN networks, proposing a novel automotive intrusion detection system (so-called VoltageIDS). The system leverages the inimitable characteristics of an electrical CAN signal as a fingerprint of the electronic control units. The noteworthy contributions are that VoltageIDS does not require any modification of the current system and has been validated on actual vehicles while driving on the road. VoltageIDS is also the first automotive intrusion detection system capable of distinguishing between errors and the bus-off attack. Our experimental results on a CAN bus prototype and on real vehicles show that VoltageIDS detects intrusions in the in-vehicle CAN network. Moreover, we evaluate VoltageIDS while a vehicle is moving.</t>
  </si>
  <si>
    <t>{"CorpusId": 5031506, "DBLP": "journals/tifs/ChoiJJP018", "DOI": "10.1109/TIFS.2018.2812149", "MAG": "2790772609"}</t>
  </si>
  <si>
    <t>10.1109/tifs.2018.2812149</t>
  </si>
  <si>
    <t>2114-2129</t>
  </si>
  <si>
    <t>12; 5; 14; 4; 41</t>
  </si>
  <si>
    <t>15.2</t>
  </si>
  <si>
    <t>57dccfe4c076d88951dbba9391a55ef88c8057d4</t>
  </si>
  <si>
    <t>DL‐IDS: a deep learning–based intrusion detection framework for securing IoT</t>
  </si>
  <si>
    <t>2019-11-29</t>
  </si>
  <si>
    <t>{"CorpusId": 214287544, "DOI": "10.1002/ett.3803", "MAG": "2991435551"}</t>
  </si>
  <si>
    <t>10.1002/ett.3803</t>
  </si>
  <si>
    <t>9; 6; 50</t>
  </si>
  <si>
    <t>6238d0720367c8dd653bd7381817af3ef236ba87</t>
  </si>
  <si>
    <t>Random Forest Modeling for Network Intrusion Detection System</t>
  </si>
  <si>
    <t>{"CorpusId": 63457797, "DOI": "10.1016/J.PROCS.2016.06.047", "MAG": "2512144135"}</t>
  </si>
  <si>
    <t>10.1016/j.procs.2016.06.047</t>
  </si>
  <si>
    <t>https://doi.org/10.1016/j.procs.2016.06.047</t>
  </si>
  <si>
    <t>213-217</t>
  </si>
  <si>
    <t>1; 10</t>
  </si>
  <si>
    <t>6685bb23f09cf47cde2bcbe0eb08261c57c7336a</t>
  </si>
  <si>
    <t>Prevention of selective black hole attacks on mobile ad hoc networks through intrusion detection systems</t>
  </si>
  <si>
    <t>{"CorpusId": 32852378, "DBLP": "journals/comcom/Su11", "DOI": "10.1016/j.comcom.2010.08.007", "MAG": "1977943948"}</t>
  </si>
  <si>
    <t>10.1016/j.comcom.2010.08.007</t>
  </si>
  <si>
    <t>107-117</t>
  </si>
  <si>
    <t>707fe8ab883ac23e1fa1c3962f66441b5fcf0a11</t>
  </si>
  <si>
    <t>New Directions in Automated Traffic Analysis</t>
  </si>
  <si>
    <t>2020-08-06</t>
  </si>
  <si>
    <t>Machine learning is leveraged for many network traffic analysis tasks in security, from application identification to intrusion detection. Yet, the aspects of the machine learning pipeline that ultimately determine the performance of the model---feature selection and representation, model selection, and parameter tuning---remain manual and painstaking. This paper presents a method to automate many aspects of traffic analysis, making it easier to apply machine learning techniques to a wider variety of traffic analysis tasks. We introduce nPrint, a tool that generates a unified packet representation that is amenable for representation learning and model training. We integrate nPrint with automated machine learning (AutoML), resulting in nPrintML, a public system that largely eliminates feature extraction and model tuning for a wide variety of traffic analysis tasks. We have evaluated nPrintML on eight separate traffic analysis tasks and released nPrint, nPrintML and the corresponding datasets from our evaluation to enable future work to extend these methods.</t>
  </si>
  <si>
    <t>{"ArXiv": "2008.02695", "CorpusId": 234486962, "DBLP": "conf/ccs/HollandSFM21", "DOI": "10.1145/3460120.3484758"}</t>
  </si>
  <si>
    <t>10.1145/3460120.3484758</t>
  </si>
  <si>
    <t>https://dl.acm.org/doi/pdf/10.1145/3460120.3484758</t>
  </si>
  <si>
    <t>8; 14; 74; 57</t>
  </si>
  <si>
    <t>38.25</t>
  </si>
  <si>
    <t>8271efc8d1f177cf7d397ea1a4f56097f6df25a5</t>
  </si>
  <si>
    <t>Scission: Signal Characteristic-Based Sender Identification and Intrusion Detection in Automotive Networks</t>
  </si>
  <si>
    <t>{"CorpusId": 53108053, "DBLP": "conf/ccs/KneibH18", "DOI": "10.1145/3243734.3243751", "MAG": "2891250288"}</t>
  </si>
  <si>
    <t>10.1145/3243734.3243751</t>
  </si>
  <si>
    <t>8d0aa102e1669961ca1d73fafd1f8a56a68522a7</t>
  </si>
  <si>
    <t>TSE-IDS: A Two-Stage Classifier Ensemble for Intelligent Anomaly-Based Intrusion Detection System</t>
  </si>
  <si>
    <t>2019-07-11</t>
  </si>
  <si>
    <t>255</t>
  </si>
  <si>
    <t>Intrusion detection systems (IDSs) play a pivotal role in computer security by discovering and repealing malicious activities in computer networks. Anomaly-based IDS, in particular, rely on classification models trained using historical data to discover such malicious activities. In this paper, an improved IDS based on hybrid feature selection and two-level classifier ensembles are proposed. A hybrid feature selection technique comprising three methods, i.e., particle swarm optimization, ant colony algorithm, and genetic algorithm, is utilized to reduce the feature size of the training datasets (NSL-KDD and UNSW-NB15 are considered in this paper). Features are selected based on the classification performance of a reduced error pruning tree (REPT) classifier. Then, a two-level classifier ensemble based on two meta learners, i.e., rotation forest and bagging, is proposed. On the NSL-KDD dataset, the proposed classifier shows 85.8% accuracy, 86.8% sensitivity, and 88.0% detection rate, which remarkably outperform other classification techniques recently proposed in the literature. The results regarding the UNSW-NB15 dataset also improve the ones achieved by several state-of-the-art techniques. Finally, to verify the results, a two-step statistical significance test is conducted. This is not usually considered by the IDS research thus far and, therefore, adds value to the experimental results achieved by the proposed classifier.</t>
  </si>
  <si>
    <t>{"CorpusId": 199005454, "DBLP": "journals/access/TamaCR19", "DOI": "10.1109/ACCESS.2019.2928048", "MAG": "2958489519"}</t>
  </si>
  <si>
    <t>10.1109/access.2019.2928048</t>
  </si>
  <si>
    <t>https://ieeexplore.ieee.org/ielx7/6287639/8600701/08759867.pdf</t>
  </si>
  <si>
    <t>94497-94507</t>
  </si>
  <si>
    <t>23; 26; 25</t>
  </si>
  <si>
    <t>24.66666666666667</t>
  </si>
  <si>
    <t>b1e7d0bf688dddac7b00d49e1dda8778f5514109</t>
  </si>
  <si>
    <t>Non-invasive Spoofing Attacks for Anti-lock Braking Systems</t>
  </si>
  <si>
    <t>2013-08-20</t>
  </si>
  <si>
    <t>{"CorpusId": 862729, "DBLP": "journals/iacr/Shoukry0TS15", "DOI": "10.1007/978-3-642-40349-1_4", "MAG": "185142374"}</t>
  </si>
  <si>
    <t>10.1007/978-3-642-40349-1_4</t>
  </si>
  <si>
    <t>55-72</t>
  </si>
  <si>
    <t>23; 11; 63; 107</t>
  </si>
  <si>
    <t>f87c036dd73c7755caab2fd0f1ff8f2f5feb7169</t>
  </si>
  <si>
    <t>Evaluation of machine learning algorithms for intrusion detection system</t>
  </si>
  <si>
    <t>242</t>
  </si>
  <si>
    <t>Intrusion detection system (IDS) is one of the implemented solutions against harmful attacks. Furthermore, attackers always keep changing their tools and techniques. However, implementing an accepted IDS system is also a challenging task. In this paper, several experiments have been performed and evaluated to assess various machine learning classifiers based on KDD intrusion dataset. It succeeded to compute several performance metrics in order to evaluate the selected classifiers. The focus was on false negative and false positive performance metrics in order to enhance the detection rate of the intrusion detection system. The implemented experiments demonstrated that the decision table classifier achieved the lowest value of false negative while the random forest classifier has achieved the highest average accuracy rate.</t>
  </si>
  <si>
    <t>{"ArXiv": "1801.02330", "CorpusId": 19772255, "DBLP": "conf/sisy/AlmseidinAKA17", "DOI": "10.1109/SISY.2017.8080566", "MAG": "2962910311"}</t>
  </si>
  <si>
    <t>10.1109/sisy.2017.8080566</t>
  </si>
  <si>
    <t>https://arxiv.org/pdf/1801.02330</t>
  </si>
  <si>
    <t>000277-000282</t>
  </si>
  <si>
    <t>13; 6; 21; 22</t>
  </si>
  <si>
    <t>061b47266b181c6978081643b9ca8f06b1ab0233</t>
  </si>
  <si>
    <t>Designing a multi-sided data platform: findings from the International Data Spaces case</t>
  </si>
  <si>
    <t>2019-08-28</t>
  </si>
  <si>
    <t>The paper presents the findings from a 3-year single-case study conducted in connection with the International Data Spaces (IDS) initiative. The IDS represents a multi-sided platform (MSP) for secure and trusted data exchange, which is governed by an institutionalized alliance of different stakeholder organizations. The paper delivers insights gained during the early stages of the platform’s lifecycle (i.e. the platform design process). More specifically, it provides answers to three research questions, namely how alliance-driven MSPs come into existence and evolve, how different stakeholder groups use certain governance mechanisms during the platform design process, and how this process is influenced by regulatory instruments. By contrasting the case of an alliance-driven MSP with the more common approach of the keystone-driven MSP, the results of the case study suggest that different evolutionary paths can be pursued during the early stages of an MSP’s lifecycle. Furthermore, the IDS initiative considers trust and data sovereignty more relevant regulatory instruments compared to pricing, for example. Finally, the study advances the body of scientific knowledge with regard to data being a boundary resource on MSPs.</t>
  </si>
  <si>
    <t>{"CorpusId": 203173741, "DBLP": "journals/electronicmarkets/OttoJ19", "DOI": "10.1007/s12525-019-00362-x", "MAG": "2970044597"}</t>
  </si>
  <si>
    <t>10.1007/s12525-019-00362-x</t>
  </si>
  <si>
    <t>https://link.springer.com/content/pdf/10.1007/s12525-019-00362-x.pdf</t>
  </si>
  <si>
    <t>561 - 580</t>
  </si>
  <si>
    <t>34; 60</t>
  </si>
  <si>
    <t>0664e0a00a3cdeb4fd518d00b84abb5ccc3a1c57</t>
  </si>
  <si>
    <t>A Survey of Deep Learning Methods for Cyber Security</t>
  </si>
  <si>
    <t>449</t>
  </si>
  <si>
    <t>This survey paper describes a literature review of deep learning (DL) methods for cyber security applications. A short tutorial-style description of each DL method is provided, including deep autoencoders, restricted Boltzmann machines, recurrent neural networks, generative adversarial networks, and several others. Then we discuss how each of the DL methods is used for security applications. We cover a broad array of attack types including malware, spam, insider threats, network intrusions, false data injection, and malicious domain names used by botnets.</t>
  </si>
  <si>
    <t>{"CorpusId": 132694257, "DBLP": "journals/information/BermanBCC19", "DOI": "10.3390/INFO10040122", "MAG": "2929803724"}</t>
  </si>
  <si>
    <t>10.3390/info10040122</t>
  </si>
  <si>
    <t>https://www.mdpi.com/2078-2489/10/4/122/pdf?version=1554207829</t>
  </si>
  <si>
    <t>166</t>
  </si>
  <si>
    <t>4; 20; 5; 14</t>
  </si>
  <si>
    <t>10.75</t>
  </si>
  <si>
    <t>085f4f2df99e517dd1563649fb24ab26b8ed20d1</t>
  </si>
  <si>
    <t>Hybrid of anomaly-based and specification-based IDS for Internet of Things using unsupervised OPF based on MapReduce approach</t>
  </si>
  <si>
    <t>2017-01-15</t>
  </si>
  <si>
    <t>{"CorpusId": 44819618, "DBLP": "journals/comcom/BostaniS17", "DOI": "10.1016/j.comcom.2016.12.001", "MAG": "2559341072"}</t>
  </si>
  <si>
    <t>10.1016/j.comcom.2016.12.001</t>
  </si>
  <si>
    <t>52-71</t>
  </si>
  <si>
    <t>6; 26</t>
  </si>
  <si>
    <t>1fb1544edcac64e3c42353d05b667cf82d3a9226</t>
  </si>
  <si>
    <t>A Deep Learning Model for Network Intrusion Detection with Imbalanced Data</t>
  </si>
  <si>
    <t>2022-03-14</t>
  </si>
  <si>
    <t>With an increase in the number and types of network attacks, traditional firewalls and data encryption methods can no longer meet the needs of current network security. As a result, intrusion detection systems have been proposed to deal with network threats. The current mainstream intrusion detection algorithms are aided with machine learning but have problems of low detection rates and the need for extensive feature engineering. To address the issue of low detection accuracy, this paper proposes a model for traffic anomaly detection named a deep learning model for network intrusion detection (DLNID), which combines an attention mechanism and the bidirectional long short-term memory (Bi-LSTM) network, first extracting sequence features of data traffic through a convolutional neural network (CNN) network, then reassigning the weights of each channel through the attention mechanism, and finally using Bi-LSTM to learn the network of sequence features. In intrusion detection public data sets, there are serious imbalance data generally. To address data imbalance issues, this paper employs the method of adaptive synthetic sampling (ADASYN) for sample expansion of minority class samples, to eventually form a relatively symmetric dataset, and uses a modified stacked autoencoder for data dimensionality reduction with the objective of enhancing information fusion. DLNID is an end-to-end model, so it does not need to undergo the process of manual feature extraction. After being tested on the public benchmark dataset on network intrusion detection NSL-KDD, experimental results show that the accuracy and F1 score of this model are better than those of other comparison methods, reaching 90.73% and 89.65%, respectively.</t>
  </si>
  <si>
    <t>{"CorpusId": 247480825, "DOI": "10.3390/electronics11060898"}</t>
  </si>
  <si>
    <t>10.3390/electronics11060898</t>
  </si>
  <si>
    <t>https://www.mdpi.com/2079-9292/11/6/898/pdf?version=1647250520</t>
  </si>
  <si>
    <t>6; 3; 6; 4; 6</t>
  </si>
  <si>
    <t>24748ef2b88e6df370b5dccfb75cba47e132f92d</t>
  </si>
  <si>
    <t>Self-service cloud computing</t>
  </si>
  <si>
    <t>{"CorpusId": 3431929, "DBLP": "conf/ccs/ButtLSG12", "DOI": "10.1145/2382196.2382226", "MAG": "2133718106"}</t>
  </si>
  <si>
    <t>10.1145/2382196.2382226</t>
  </si>
  <si>
    <t>7; 18; 21; 28</t>
  </si>
  <si>
    <t>274ecacd29dc09590387485ad36457dd883e83f9</t>
  </si>
  <si>
    <t>RRE: A Game-Theoretic Intrusion Response and Recovery Engine</t>
  </si>
  <si>
    <t>2014-02-01</t>
  </si>
  <si>
    <t>{"CorpusId": 262838241, "DBLP": "journals/tpds/ZonouzKSY14", "DOI": "10.1109/TPDS.2013.211", "MAG": "2120839938"}</t>
  </si>
  <si>
    <t>10.1109/tpds.2013.211</t>
  </si>
  <si>
    <t>395-406</t>
  </si>
  <si>
    <t>28; 2; 49; 13</t>
  </si>
  <si>
    <t>2f89ba95165740cc532ea9da78bb492b18b9310e</t>
  </si>
  <si>
    <t>Monitoring COVID-19 social distancing with person detection and tracking via fine-tuned YOLO v3 and Deepsort techniques</t>
  </si>
  <si>
    <t>2020-05-04</t>
  </si>
  <si>
    <t>243</t>
  </si>
  <si>
    <t>The rampant coronavirus disease 2019 (COVID-19) has brought global crisis with its deadly spread to more than 180 countries, and about 3,519,901 confirmed cases along with 247,630 deaths globally as on May 4, 2020. The absence of any active therapeutic agents and the lack of immunity against COVID-19 increases the vulnerability of the population. Since there are no vaccines available, social distancing is the only feasible approach to fight against this pandemic. Motivated by this notion, this article proposes a deep learning based framework for automating the task of monitoring social distancing using surveillance video. The proposed framework utilizes the YOLO v3 object detection model to segregate humans from the background and Deepsort approach to track the identified people with the help of bounding boxes and assigned IDs. The results of the YOLO v3 model are further compared with other popular state-of-the-art models, e.g. faster region-based CNN (convolution neural network) and single shot detector (SSD) in terms of mean average precision (mAP), frames per second (FPS) and loss values defined by object classification and localization. Later, the pairwise vectorized L2 norm is computed based on the three-dimensional feature space obtained by using the centroid coordinates and dimensions of the bounding box. The violation index term is proposed to quantize the non adoption of social distancing protocol. From the experimental analysis, it is observed that the YOLO v3 with Deepsort tracking scheme displayed best results with balanced mAP and FPS score to monitor the social distancing in real-time.</t>
  </si>
  <si>
    <t>{"ArXiv": "2005.01385", "CorpusId": 218487105, "DBLP": "journals/corr/abs-2005-01385", "MAG": "3022846008"}</t>
  </si>
  <si>
    <t>15; 12; 30</t>
  </si>
  <si>
    <t>433d704797c2d6a9b3ae67ab94240e1d4aa2b060</t>
  </si>
  <si>
    <t>Relational Message Passing for Knowledge Graph Completion</t>
  </si>
  <si>
    <t>2020-02-17</t>
  </si>
  <si>
    <t>Knowledge graph completion aims to predict missing relations between entities in a knowledge graph. In this work, we propose a relational message passing method for knowledge graph completion. Different from existing embedding-based methods, relational message passing only considers edge features (i.e., relation types) without entity IDs in the knowledge graph, and passes relational messages among edges iteratively to aggregate neighborhood information. Specifically, two kinds of neighborhood topology are modeled for a given entity pair under the relational message passing framework: (1) Relational context, which captures the relation types of edges adjacent to the given entity pair; (2) Relational paths, which characterize the relative position between the given two entities in the knowledge graph. The two message passing modules are combined together for relation prediction. Experimental results on knowledge graph benchmarks as well as our newly proposed dataset show that, our method PathCon outperforms state-of-the-art knowledge graph completion methods by a large margin. PathCon is also shown applicable to inductive settings where entities are not seen in training stage, and it is able to provide interpretable explanations for the predicted results. The code and all datasets are available at https://github.com/hwwang55/PathCon.</t>
  </si>
  <si>
    <t>{"ArXiv": "2002.06757", "CorpusId": 235262529, "DBLP": "conf/kdd/0004RL21", "DOI": "10.1145/3447548.3467247"}</t>
  </si>
  <si>
    <t>10.1145/3447548.3467247</t>
  </si>
  <si>
    <t>https://arxiv.org/pdf/2002.06757</t>
  </si>
  <si>
    <t>11; 25; 142</t>
  </si>
  <si>
    <t>59.33333333333334</t>
  </si>
  <si>
    <t>443c50bcd61dcc7505107aa078a19e65452f19fe</t>
  </si>
  <si>
    <t>AccelPrint: Imperfections of Accelerometers Make Smartphones Trackable</t>
  </si>
  <si>
    <t>{"CorpusId": 2965604, "DBLP": "conf/ndss/DeyRXCN14", "DOI": "10.14722/NDSS.2014.23059", "MAG": "1991685971"}</t>
  </si>
  <si>
    <t>10.14722/ndss.2014.23059</t>
  </si>
  <si>
    <t>8; 14; 30; 54; 30</t>
  </si>
  <si>
    <t>27.2</t>
  </si>
  <si>
    <t>44ddb6b1c56fbd746eb40e9eb30e2801fdcb28ab</t>
  </si>
  <si>
    <t>CNN-Based Network Intrusion Detection against Denial-of-Service Attacks</t>
  </si>
  <si>
    <t>As cyberattacks become more intelligent, it is challenging to detect advanced attacks in a variety of fields including industry, national defense, and healthcare. Traditional intrusion detection systems are no longer enough to detect these advanced attacks with unexpected patterns. Attackers bypass known signatures and pretend to be normal users. Deep learning is an alternative to solving these issues. Deep Learning (DL)-based intrusion detection does not require a lot of attack signatures or the list of normal behaviors to generate detection rules. DL defines intrusion features by itself through training empirical data. We develop a DL-based intrusion model especially focusing on denial of service (DoS) attacks. For the intrusion dataset, we use KDD CUP 1999 dataset (KDD), the most widely used dataset for the evaluation of intrusion detection systems (IDS). KDD consists of four types of attack categories, such as DoS, user to root (U2R), remote to local (R2L), and probing. Numerous KDD studies have been employing machine learning and classifying the dataset into the four categories or into two categories such as attack and benign. Rather than focusing on the broad categories, we focus on various attacks belonging to same category. Unlike other categories of KDD, the DoS category has enough samples for training each attack. In addition to KDD, we use CSE-CIC-IDS2018 which is the most up-to-date IDS dataset. CSE-CIC-IDS2018 consists of more advanced DoS attacks than that of KDD. In this work, we focus on the DoS category of both datasets and develop a DL model for DoS detection. We develop our model based on a Convolutional Neural Network (CNN) and evaluate its performance through comparison with an Recurrent Neural Network (RNN). Furthermore, we suggest the optimal CNN design for the better performance through numerous experiments.</t>
  </si>
  <si>
    <t>{"CorpusId": 219765659, "DOI": "10.3390/electronics9060916", "MAG": "3032021129"}</t>
  </si>
  <si>
    <t>10.3390/electronics9060916</t>
  </si>
  <si>
    <t>https://www.mdpi.com/2079-9292/9/6/916/pdf</t>
  </si>
  <si>
    <t>6; 4; 2; 3; 5</t>
  </si>
  <si>
    <t>46af1c67d5310c2d713e1687dc99f7c4d965a834</t>
  </si>
  <si>
    <t>Sequence-aware Intrusion Detection in Industrial Control Systems</t>
  </si>
  <si>
    <t>2015-04-14</t>
  </si>
  <si>
    <t>{"CorpusId": 17049642, "DBLP": "conf/ccs/CaselliZK15", "DOI": "10.1145/2732198.2732200", "MAG": "2021702566"}</t>
  </si>
  <si>
    <t>10.1145/2732198.2732200</t>
  </si>
  <si>
    <t>https://dl.acm.org/doi/pdf/10.1145/2732198.2732200?download=true</t>
  </si>
  <si>
    <t>16; 15; 47</t>
  </si>
  <si>
    <t>5a2fc407c804de2438e136e7eee64cde9af7f431</t>
  </si>
  <si>
    <t>Specification-Based Intrusion Detection for Advanced Metering Infrastructures</t>
  </si>
  <si>
    <t>2011-12-12</t>
  </si>
  <si>
    <t>{"CorpusId": 2351488, "DBLP": "conf/prdc/BerthierS11", "DOI": "10.1109/PRDC.2011.30", "MAG": "2083169843"}</t>
  </si>
  <si>
    <t>10.1109/prdc.2011.30</t>
  </si>
  <si>
    <t>184-193</t>
  </si>
  <si>
    <t>3; 38; 22; 14; 1; 12; 2</t>
  </si>
  <si>
    <t>13.14285714285714</t>
  </si>
  <si>
    <t>6f1b66645aa127c88afa83578c8f865d49f10280</t>
  </si>
  <si>
    <t>Multi-level hybrid support vector machine and extreme learning machine based on modified K-means for intrusion detection system</t>
  </si>
  <si>
    <t>{"CorpusId": 38941246, "DBLP": "journals/eswa/Al-YaseenON17", "DOI": "10.1016/j.eswa.2016.09.041", "MAG": "2527999453"}</t>
  </si>
  <si>
    <t>10.1016/j.eswa.2016.09.041</t>
  </si>
  <si>
    <t>296-303</t>
  </si>
  <si>
    <t>10; 21; 18</t>
  </si>
  <si>
    <t>7600cbd7350b6d47daf4181f0bded09d04a02d95</t>
  </si>
  <si>
    <t>A deep auto-encoder based approach for intrusion detection system</t>
  </si>
  <si>
    <t>2018-02-01</t>
  </si>
  <si>
    <t>{"CorpusId": 4335918, "DBLP": "conf/icact/FarahnakianH18", "DOI": "10.23919/ICACT.2018.8323687", "MAG": "2795147830"}</t>
  </si>
  <si>
    <t>10.23919/icact.2018.8323687</t>
  </si>
  <si>
    <t>178-183</t>
  </si>
  <si>
    <t>18; 32</t>
  </si>
  <si>
    <t>8711a402d3b4e9133884116e5aaf6931c86ae46b</t>
  </si>
  <si>
    <t>Practical Malware Analysis: The Hands-On Guide to Dissecting Malicious Software</t>
  </si>
  <si>
    <t>2012-02-01</t>
  </si>
  <si>
    <t>{"CorpusId": 58765301, "MAG": "172558989"}</t>
  </si>
  <si>
    <t>2; 5</t>
  </si>
  <si>
    <t>876899186f77a82b16f5c53d9e13f2d457ee2602</t>
  </si>
  <si>
    <t>Application of deep reinforcement learning to intrusion detection for supervised problems</t>
  </si>
  <si>
    <t>{"CorpusId": 203707707, "DBLP": "journals/eswa/MartinCS20", "DOI": "10.1016/j.eswa.2019.112963", "MAG": "2973862992"}</t>
  </si>
  <si>
    <t>10.1016/j.eswa.2019.112963</t>
  </si>
  <si>
    <t>https://uvadoc.uva.es/bitstream/10324/54271/1/Application-of-deep.pdf</t>
  </si>
  <si>
    <t>14; 31; 27</t>
  </si>
  <si>
    <t>89654f548e541a8ef233be6585316ce6cc201535</t>
  </si>
  <si>
    <t>Structured Pruning Learns Compact and Accurate Models</t>
  </si>
  <si>
    <t>{"CorpusId": 265040233}</t>
  </si>
  <si>
    <t>6; 5; 5; 1; 1; 1; 1; 1; 1; 1; 1; 1; 1; 1; 16; 1; 1; 2; 1; 9; 1; 1; 1</t>
  </si>
  <si>
    <t>2.608695652173913</t>
  </si>
  <si>
    <t>9376040172d0506e2a2f44cba6880c0b066a860b</t>
  </si>
  <si>
    <t>Enhanced Doubly Robust Learning for Debiasing Post-Click Conversion Rate Estimation</t>
  </si>
  <si>
    <t>2021-05-28</t>
  </si>
  <si>
    <t>Post-click conversion, as a strong signal indicating the user preference, is salutary for building recommender systems. However, accurately estimating the post-click conversion rate (CVR) is challenging due to the selection bias, i.e., the observed clicked events usually happen on users' preferred items. Currently, most existing methods utilize counterfactual learning to debias recommender systems. Among them, the doubly robust (DR) estimator has achieved competitive performance by combining the error imputation based (EIB) estimator and the inverse propensity score (IPS) estimator in a doubly robust way. However, inaccurate error imputation may result in its higher variance than the IPS estimator. Worse still, existing methods typically use simple model-agnostic methods to estimate the imputation error, which are not sufficient to approximate the dynamically changing model-correlated target (i.e., the gradient direction of the prediction model). To solve these problems, we first derive the bias and variance of the DR estimator. Based on it, a more robust doubly robust (MRDR) estimator has been proposed to further reduce its variance while retaining its double robustness. Moreover, we propose a novel double learning approach for the MRDR estimator, which can convert the error imputation into the general CVR estimation. Besides, we empirically verify that the proposed learning scheme can further eliminate the high variance problem of the imputation learning. To evaluate its effectiveness, extensive experiments are conducted on a semi-synthetic dataset and two real-world datasets. The results demonstrate the superiority of the proposed approach over the state-of-the-art methods. The code is available at https://github.com/guosyjlu/MRDR-DL.</t>
  </si>
  <si>
    <t>{"ArXiv": "2105.13623", "CorpusId": 235248001, "DBLP": "conf/sigir/GuoZLYCWCY021", "DOI": "10.1145/3404835.3462917"}</t>
  </si>
  <si>
    <t>10.1145/3404835.3462917</t>
  </si>
  <si>
    <t>https://arxiv.org/pdf/2105.13623</t>
  </si>
  <si>
    <t>7; 16; 16; 6; 9; 24; 16; 49; 34</t>
  </si>
  <si>
    <t>997672c9c2ec5d78a90a5d2c1046e7955c9d6c0f</t>
  </si>
  <si>
    <t>Deep Recurrent Neural Network for Intrusion Detection in SDN-based Networks</t>
  </si>
  <si>
    <t>Software Defined Networking (SDN) has emerged as a key enabler for future agile Internet architecture. Nevertheless, the flexibility provided by SDN architecture manifests several new design issues in terms of network security. These issues must be addressed in a unified way to strengthen overall network security for future SDN deployments. Consequently, in this paper, we propose a Gated Recurrent Unit Recurrent Neural Network (GRU-RNN) enabled intrusion detection systems for SDNs. The proposed approach is tested using the NSL-KDD dataset, and we achieve an accuracy of 89% with only six raw features. Our experiment results also show that the proposed GRU-RNN does not deteriorate the network performance. Through extensive experiments, we conclude that the proposed approach exhibits a strong potential for intrusion detection in the SDN environments.</t>
  </si>
  <si>
    <t>{"CorpusId": 52287303, "DBLP": "conf/netsoft/TangMMZG18", "DOI": "10.1109/NETSOFT.2018.8460090", "MAG": "2889109290"}</t>
  </si>
  <si>
    <t>10.1109/netsoft.2018.8460090</t>
  </si>
  <si>
    <t>http://eprints.whiterose.ac.uk/129091/1/NetSoft_ShortPaper.pdf</t>
  </si>
  <si>
    <t>202-206</t>
  </si>
  <si>
    <t>a4358d90e73d7982a588c1932ccc96a3b00add09</t>
  </si>
  <si>
    <t>Change Matters: Medication Change Prediction with Recurrent Residual Networks</t>
  </si>
  <si>
    <t>2021-05-05</t>
  </si>
  <si>
    <t>Deep learning is revolutionizing predictive healthcare, including recommending medications to patients with complex health conditions. Existing approaches focus on predicting all medications for the current visit, which often overlaps with medications from previous visits. A more clinically relevant task is to identify medication changes.
In this paper, we propose a new recurrent residual networks, named MICRON, for medication change prediction. MICRON takes the changes in patient health records as input and learns to update a hid- den medication vector and the medication set recurrently with a reconstruction design. The medication vector is like the memory cell that encodes longitudinal information of medications. Unlike traditional methods that require the entire patient history for prediction, MICRON has a residual-based inference that allows for sequential updating based only on new patient features (e.g., new diagnoses in the recent visit), which is efficient.
We evaluated MICRON on real inpatient and outpatient datasets. MICRON achieves 3.5% and 7.8% relative improvements over the best baseline in F1 score, respectively. MICRON also requires fewer parameters, which significantly reduces the training time to 38.3s per epoch with 1.5× speed-up.</t>
  </si>
  <si>
    <t>{"ArXiv": "2105.01876", "CorpusId": 233739901, "DBLP": "conf/ijcai/YangXGS21", "DOI": "10.24963/ijcai.2021/513"}</t>
  </si>
  <si>
    <t>10.24963/ijcai.2021/513</t>
  </si>
  <si>
    <t>https://www.ijcai.org/proceedings/2021/0513.pdf</t>
  </si>
  <si>
    <t>11; 40; 23; 86</t>
  </si>
  <si>
    <t>adc17a9381ea33fbc8b5ddcf909251d93d7f39fd</t>
  </si>
  <si>
    <t>Finding Cyber Threats with ATT&amp;CK-Based Analytics</t>
  </si>
  <si>
    <t>{"CorpusId": 11053302}</t>
  </si>
  <si>
    <t>6; 2; 1; 1; 5; 1; 1; 2; 4</t>
  </si>
  <si>
    <t>2.555555555555555</t>
  </si>
  <si>
    <t>af544c1b1c4dd04a3362a5a4b88326861f27044b</t>
  </si>
  <si>
    <t>Source Identification Using Signal Characteristics in Controller Area Networks</t>
  </si>
  <si>
    <t>2014-01-31</t>
  </si>
  <si>
    <t>{"CorpusId": 6758415, "DBLP": "journals/spl/MurvayG14", "DOI": "10.1109/LSP.2014.2304139", "MAG": "2072724180"}</t>
  </si>
  <si>
    <t>10.1109/lsp.2014.2304139</t>
  </si>
  <si>
    <t>395-399</t>
  </si>
  <si>
    <t>bef0f5194c95e12ebc56d560d9a91022734a2c98</t>
  </si>
  <si>
    <t>A COMPARISON STUDY FOR INTRUSION DATABASE (KDD99, NSL-KDD) BASED ON SELF ORGANIZATION MAP (SOM) ARTIFICIAL NEURAL NETWORK</t>
  </si>
  <si>
    <t>2013-02-01</t>
  </si>
  <si>
    <t>{"CorpusId": 64611957, "MAG": "2810087077"}</t>
  </si>
  <si>
    <t>4; 1; 2</t>
  </si>
  <si>
    <t>2.333333333333333</t>
  </si>
  <si>
    <t>df37602f0931856bf556dbb71112493bd981db7c</t>
  </si>
  <si>
    <t>Kalman-Filter-Based Integration of IMU and UWB for High-Accuracy Indoor Positioning and Navigation</t>
  </si>
  <si>
    <t>2020-01-09</t>
  </si>
  <si>
    <t>The emerging Internet of Things (IoT) applications, such as smart manufacturing and smart home, lead to a huge demand on the provisioning of low-cost and high-accuracy positioning and navigation solutions. Inertial measurement unit (IMU) can provide an accurate inertial navigation solution in a short time but its positioning error increases fast with time due to the cumulative error of accelerometer measurement. On the other hand, ultrawideband (UWB) positioning and navigation accuracy will be affected by the actual environment and may lead to uncertain jumps even under line-of-sight (LOS) conditions. Therefore, it is hard to use a standalone positioning and navigation system to achieve high accuracy in indoor environments. In this article, we propose an integrated indoor positioning system (IPS) combining IMU and UWB through the extended Kalman filter (EKF) and unscented Kalman filter (UKF) to improve the robustness and accuracy. We also discuss the relationship between the geometric distribution of the base stations (BSs) and the dilution of precision (DOP) to reasonably deploy the BSs. The simulation results show that the prior information provided by IMU can significantly suppress the observation error of UWB. It is also shown that the integrated positioning and navigation accuracy of IPS significantly improves that of the least squares (LSs) algorithm, which only depends on UWB measurements. Moreover, the proposed algorithm has high computational efficiency and can realize real-time computation on general embedded devices. In addition, two random motion approximation model algorithms are proposed and evaluated in the real environment. The experimental results show that the two algorithms can achieve certain robustness and continuous tracking ability in the actual IPS.</t>
  </si>
  <si>
    <t>{"CorpusId": 214068942, "DBLP": "journals/iotj/FengWHZX20", "DOI": "10.1109/JIOT.2020.2965115", "MAG": "3000004788"}</t>
  </si>
  <si>
    <t>10.1109/jiot.2020.2965115</t>
  </si>
  <si>
    <t>3133-3146</t>
  </si>
  <si>
    <t>22; 5; 16; 30; 78</t>
  </si>
  <si>
    <t>30.2</t>
  </si>
  <si>
    <t>e0e72d855049d6837ff3d0211c8c74ba552fabe8</t>
  </si>
  <si>
    <t>Variational Implicit Processes</t>
  </si>
  <si>
    <t>2018-06-06</t>
  </si>
  <si>
    <t>We introduce the implicit processes (IPs), a stochastic process that places implicitly defined multivariate distributions over any finite collections of random variables. IPs are therefore highly flexible implicit priors over functions, with examples including data simulators, Bayesian neural networks and non-linear transformations of stochastic processes. A novel and efficient approximate inference algorithm for IPs, namely the variational implicit processes (VIPs), is derived using generalised wake-sleep updates. This method returns simple update equations and allows scalable hyper-parameter learning with stochastic optimization. Experiments show that VIPs return better uncertainty estimates and lower errors over existing inference methods for challenging models such as Bayesian neural networks, and Gaussian processes.</t>
  </si>
  <si>
    <t>{"ArXiv": "1806.02390", "CorpusId": 46959477, "DBLP": "conf/icml/MaLH19", "DOI": "10.17863/CAM.42186", "MAG": "2952745964"}</t>
  </si>
  <si>
    <t>10.17863/cam.42186</t>
  </si>
  <si>
    <t>9; 22; 54</t>
  </si>
  <si>
    <t>e345afce7bb0949d2b46482fea6e0395a176b5c5</t>
  </si>
  <si>
    <t>HexPADS: A Platform to Detect "Stealth" Attacks</t>
  </si>
  <si>
    <t>2016-04-06</t>
  </si>
  <si>
    <t>{"CorpusId": 13287304, "DBLP": "conf/essos/Payer16", "DOI": "10.1007/978-3-319-30806-7_9", "MAG": "2473598730"}</t>
  </si>
  <si>
    <t>10.1007/978-3-319-30806-7_9</t>
  </si>
  <si>
    <t>138-154</t>
  </si>
  <si>
    <t>f4cd6e606ad27eb91e3758d769029cb97c2285db</t>
  </si>
  <si>
    <t>A performance comparison of supervised machine learning models for Covid-19 tweets sentiment analysis</t>
  </si>
  <si>
    <t>2021-02-25</t>
  </si>
  <si>
    <t>222</t>
  </si>
  <si>
    <t>The spread of Covid-19 has resulted in worldwide health concerns. Social media is increasingly used to share news and opinions about it. A realistic assessment of the situation is necessary to utilize resources optimally and appropriately. In this research, we perform Covid-19 tweets sentiment analysis using a supervised machine learning approach. Identification of Covid-19 sentiments from tweets would allow informed decisions for better handling the current pandemic situation. The used dataset is extracted from Twitter using IDs as provided by the IEEE data port. Tweets are extracted by an in-house built crawler that uses the Tweepy library. The dataset is cleaned using the preprocessing techniques and sentiments are extracted using the TextBlob library. The contribution of this work is the performance evaluation of various machine learning classifiers using our proposed feature set. This set is formed by concatenating the bag-of-words and the term frequency-inverse document frequency. Tweets are classified as positive, neutral, or negative. Performance of classifiers is evaluated on the accuracy, precision, recall, and F1 score. For completeness, further investigation is made on the dataset using the Long Short-Term Memory (LSTM) architecture of the deep learning model. The results show that Extra Trees Classifiers outperform all other models by achieving a 0.93 accuracy score using our proposed concatenated features set. The LSTM achieves low accuracy as compared to machine learning classifiers. To demonstrate the effectiveness of our proposed feature set, the results are compared with the Vader sentiment analysis technique based on the GloVe feature extraction approach.</t>
  </si>
  <si>
    <t>{"CorpusId": 232057637, "DOI": "10.1371/journal.pone.0245909", "PubMed": "33630869", "PubMedCentral": "7906356"}</t>
  </si>
  <si>
    <t>10.1371/journal.pone.0245909</t>
  </si>
  <si>
    <t>https://doi.org/10.1371/journal.pone.0245909</t>
  </si>
  <si>
    <t>35; 2; 12; 27; 32</t>
  </si>
  <si>
    <t>21.6</t>
  </si>
  <si>
    <t>f88008cc769fb7c6ad48f3a6905248b5f3aa6048</t>
  </si>
  <si>
    <t>CNN-LSTM: Hybrid Deep Neural Network for Network Intrusion Detection System</t>
  </si>
  <si>
    <t>Network security becomes indispensable to our daily interactions and networks. As attackers continue to develop new types of attacks and the size of networks continues to grow, the need for an effective intrusion detection system has become critical. Numerous studies implemented machine learning algorithms to develop an effective IDS; however, with the advent of deep learning algorithms and artificial neural networks that can generate features automatically without human intervention, researchers began to rely on deep learning. In our research, we took advantage of the Convolutional Neural Network’s ability to extract spatial features and the Long Short-Term Memory Network’s ability to extract temporal features to create a hybrid intrusion detection system model. We added batch normalization and dropout layers to the model to increase its performance. Based on the binary and multiclass classification, the model was trained using three datasets: CIC-IDS 2017, UNSW-NB15, and WSN-DS. The confusion matrix determines the system’s effectiveness, which includes evaluation criteria such as accuracy, precision, detection rate, F1-score, and false alarm rate (FAR). The effectiveness of the proposed model was demonstrated by experimental results showing a high detection rate, high accuracy, and a relatively low FAR.</t>
  </si>
  <si>
    <t>{"CorpusId": 252300015, "DBLP": "journals/access/HalbouniGHHKA22", "DOI": "10.1109/ACCESS.2022.3206425"}</t>
  </si>
  <si>
    <t>10.1109/access.2022.3206425</t>
  </si>
  <si>
    <t>https://ieeexplore.ieee.org/ielx7/6287639/6514899/09889698.pdf</t>
  </si>
  <si>
    <t>99837-99849</t>
  </si>
  <si>
    <t>4; 11; 22; 3; 28; 3</t>
  </si>
  <si>
    <t>11.83333333333333</t>
  </si>
  <si>
    <t>f94bb966c66249e68eda767d0654fe73b111a852</t>
  </si>
  <si>
    <t>Who, where, when and what: discover spatio-temporal topics for twitter users</t>
  </si>
  <si>
    <t>2013-08-11</t>
  </si>
  <si>
    <t>{"CorpusId": 16138823, "DBLP": "conf/kdd/YuanCMSM13", "DOI": "10.1145/2487575.2487576", "MAG": "2151802055"}</t>
  </si>
  <si>
    <t>10.1145/2487575.2487576</t>
  </si>
  <si>
    <t>32; 65; 13; 60; 79</t>
  </si>
  <si>
    <t>49.8</t>
  </si>
  <si>
    <t>fdaf1361ab653aafa10e6d27d83620ec3b4c4ae8</t>
  </si>
  <si>
    <t>DL-IDS: Extracting Features Using CNN-LSTM Hybrid Network for Intrusion Detection System</t>
  </si>
  <si>
    <t>2020-08-28</t>
  </si>
  <si>
    <t>Many studies utilized machine learning schemes to improve network intrusion detection systems recently. Most of the research is based on manually extracted features, but this approach not only requires a lot of labor costs but also loses a lot of information in the original data, resulting in low judgment accuracy and cannot be deployed in actual situations. This paper develops a DL-IDS (deep learning-based intrusion detection system), which uses the hybrid network of Convolutional Neural Network (CNN) and Long Short-Term Memory Network (LSTM) to extract the spatial and temporal features of network traffic data and to provide a better intrusion detection system. To reduce the influence of an unbalanced number of samples of different attack types in model training samples on model performance, DL-IDS used a category weight optimization method to improve the robustness. Finally, DL-IDS is tested on CICIDS2017, a reliable intrusion detection dataset that covers all the common, updated intrusions and cyberattacks. In the multiclassification test, DL-IDS reached 98.67% in overall accuracy, and the accuracy of each attack type was above 99.50%.</t>
  </si>
  <si>
    <t>{"CorpusId": 225204338, "DBLP": "journals/scn/SunLLLLHC20", "DOI": "10.1155/2020/8890306", "MAG": "3082065751"}</t>
  </si>
  <si>
    <t>10.1155/2020/8890306</t>
  </si>
  <si>
    <t>https://downloads.hindawi.com/journals/scn/2020/8890306.pdf</t>
  </si>
  <si>
    <t>8890306:1-8890306:11</t>
  </si>
  <si>
    <t>8; 12; 32; 27; 6; 6; 1</t>
  </si>
  <si>
    <t>cites_per_day</t>
  </si>
  <si>
    <t>recency_delay_years</t>
  </si>
  <si>
    <t>pages_minus_refs</t>
  </si>
  <si>
    <t>normalized_pages_minus_refs</t>
  </si>
  <si>
    <t>normalized_references_count</t>
  </si>
  <si>
    <t>normalized_recency_delay</t>
  </si>
  <si>
    <t>normalized_cites_per_day</t>
  </si>
  <si>
    <t>normalized_mean_author_hindex</t>
  </si>
  <si>
    <t>composite_score</t>
  </si>
  <si>
    <t/>
  </si>
  <si>
    <t>excluded (reason)</t>
  </si>
  <si>
    <t>non-OA</t>
  </si>
  <si>
    <t>Included</t>
  </si>
  <si>
    <t>unsure</t>
  </si>
  <si>
    <t>not-Topic</t>
  </si>
  <si>
    <t>not-General</t>
  </si>
  <si>
    <t>Match?</t>
  </si>
  <si>
    <t>url</t>
  </si>
  <si>
    <t>reason</t>
  </si>
  <si>
    <t>download failed (all retries) for https://onlinelibrary.wiley.com/doi/pdfdirect/10.1002/ett.4150</t>
  </si>
  <si>
    <t>download failed (all retries) for https://ieeexplore.ieee.org/ielx7/6287639/6514899/09562531.pdf</t>
  </si>
  <si>
    <t>download failed (all retries) for https://journals.sagepub.com/doi/pdf/10.1155/2013/167575</t>
  </si>
  <si>
    <t>download failed (all retries) for https://doi.org/10.1109/access.2018.2836950</t>
  </si>
  <si>
    <t>download failed (all retries) for https://doi.org/10.1109/access.2018.2805680</t>
  </si>
  <si>
    <t>download failed (all retries) for https://doi.org/10.1109/comst.2019.2910750</t>
  </si>
  <si>
    <t>download failed (all retries) for https://doi.org/10.1109/access.2018.2799854</t>
  </si>
  <si>
    <t>download failed (all retries) for https://ieeexplore.ieee.org/ielx7/6287639/6514899/09877919.pdf</t>
  </si>
  <si>
    <t>download failed (all retries) for https://doi.org/10.1016/j.comnet.2021.108661</t>
  </si>
  <si>
    <t>download failed (all retries) for https://doi.org/10.1016/j.procs.2020.04.133</t>
  </si>
  <si>
    <t>download failed (all retries) for https://dl.acm.org/doi/pdf/10.1145/3570954</t>
  </si>
  <si>
    <t>download failed (all retries) for https://ieeexplore.ieee.org/ielx7/6287639/6514899/09277523.pdf</t>
  </si>
  <si>
    <t>download failed (all retries) for https://ieeexplore.ieee.org/ielx7/6287639/6514899/09875264.pdf</t>
  </si>
  <si>
    <t>download failed (all retries) for https://doi.org/10.1109/comst.2021.3106669</t>
  </si>
  <si>
    <t>download failed (all retries) for https://dl.acm.org/doi/pdf/10.1145/3344382</t>
  </si>
  <si>
    <t>download failed (all retries) for https://ieeexplore.ieee.org/ielx7/6287639/6514899/09980352.pdf</t>
  </si>
  <si>
    <t>download failed (all retries) for https://journals.sagepub.com/doi/pdf/10.1177/1550147718794615</t>
  </si>
  <si>
    <t>download failed (all retries) for https://doi.org/10.1016/j.jjimei.2022.100134</t>
  </si>
  <si>
    <t>download failed (all retries) for https://ieeexplore.ieee.org/ielx7/6287639/6514899/09941074.pdf</t>
  </si>
  <si>
    <t>download failed (all retries) for https://downloads.hindawi.com/journals/scn/2022/4016073.pdf</t>
  </si>
  <si>
    <t>download failed (all retries) for https://doi.org/10.55214/25768484.v8i6.2930</t>
  </si>
  <si>
    <t>download failed (all retries) for https://link.springer.com/content/pdf/10.1007/s00521-019-04557-3.pdf</t>
  </si>
  <si>
    <t>download failed (all retries) for https://ieeexplore.ieee.org/ielx7/6287639/6514899/09285284.pdf</t>
  </si>
  <si>
    <t>download failed (all retries) for https://dl.acm.org/doi/pdf/10.1145/3472753</t>
  </si>
  <si>
    <t>download failed (all retries) for https://doi.org/10.1109/mdat.2019.2899062</t>
  </si>
  <si>
    <t>download failed (all retries) for https://doi.org/10.1016/j.procs.2020.03.330</t>
  </si>
  <si>
    <t>download failed (all retries) for https://dl.acm.org/doi/pdf/10.1145/3510581</t>
  </si>
  <si>
    <t>download failed (all retries) for https://doi.org/10.1016/j.proeng.2012.06.248</t>
  </si>
  <si>
    <t>download failed (all retries) for https://dl.acm.org/doi/pdf/10.1145/3424155</t>
  </si>
  <si>
    <t>download failed (all retries) for https://doi.org/10.36548/jitdw.2020.3.004</t>
  </si>
  <si>
    <t>download failed (all retries) for https://iopscience.iop.org/article/10.1088/1742-6596/1000/1/012049/pdf</t>
  </si>
  <si>
    <t>download failed (all retries) for https://dl.acm.org/doi/pdf/10.1145/3578366</t>
  </si>
  <si>
    <t>download failed (all retries) for https://downloads.hindawi.com/journals/scn/2021/9947059.pdf</t>
  </si>
  <si>
    <t>download failed (all retries) for https://doi.org/10.1109/access.2018.2872784</t>
  </si>
  <si>
    <t>download failed (all retries) for http://puma.isti.cnr.it/rmydownload.php?filename=cnr.iit/cnr.iit/2011-TR-026/2011-TR-026.pdf</t>
  </si>
  <si>
    <t>download failed (all retries) for https://doi.org/10.1016/j.jnca.2023.103761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</si>
</sst>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
    <numFmt numFmtId="166" formatCode="M/d/yyyy"/>
  </numFmts>
  <fonts count="7">
    <font>
      <sz val="11.0"/>
      <color theme="1"/>
      <name val="Arial"/>
      <scheme val="minor"/>
    </font>
    <font>
      <color theme="1"/>
      <name val="Arial"/>
    </font>
    <font>
      <sz val="11.0"/>
      <color theme="1"/>
      <name val="Calibri"/>
    </font>
    <font>
      <color theme="1"/>
      <name val="Arial"/>
      <scheme val="minor"/>
    </font>
    <font>
      <b/>
      <color theme="1"/>
      <name val="Arial"/>
      <scheme val="minor"/>
    </font>
    <font>
      <sz val="11.0"/>
      <color theme="1"/>
      <name val="Arial"/>
    </font>
    <font>
      <u/>
      <color rgb="FF0000FF"/>
    </font>
  </fonts>
  <fills count="6">
    <fill>
      <patternFill patternType="none"/>
    </fill>
    <fill>
      <patternFill patternType="lightGray"/>
    </fill>
    <fill>
      <patternFill patternType="solid">
        <fgColor rgb="FFD0E0E3"/>
        <bgColor rgb="FFD0E0E3"/>
      </patternFill>
    </fill>
    <fill>
      <patternFill patternType="solid">
        <fgColor rgb="FF741B47"/>
        <bgColor rgb="FF741B47"/>
      </patternFill>
    </fill>
    <fill>
      <patternFill patternType="solid">
        <fgColor rgb="FFFF9900"/>
        <bgColor rgb="FFFF9900"/>
      </patternFill>
    </fill>
    <fill>
      <patternFill patternType="solid">
        <fgColor rgb="FFE69138"/>
        <bgColor rgb="FFE69138"/>
      </patternFill>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741B47"/>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164" xfId="0" applyAlignment="1" applyFont="1" applyNumberFormat="1">
      <alignment vertical="bottom"/>
    </xf>
    <xf borderId="0" fillId="0" fontId="1" numFmtId="165" xfId="0" applyAlignment="1" applyFont="1" applyNumberFormat="1">
      <alignment vertical="bottom"/>
    </xf>
    <xf borderId="0" fillId="0" fontId="3" numFmtId="0" xfId="0" applyFont="1"/>
    <xf borderId="0" fillId="2" fontId="3" numFmtId="0" xfId="0" applyFill="1" applyFont="1"/>
    <xf borderId="1" fillId="0" fontId="3" numFmtId="0" xfId="0" applyAlignment="1" applyBorder="1" applyFont="1">
      <alignment horizontal="left" readingOrder="0" shrinkToFit="0" vertical="center" wrapText="0"/>
    </xf>
    <xf borderId="2" fillId="0" fontId="3" numFmtId="0" xfId="0" applyAlignment="1" applyBorder="1" applyFont="1">
      <alignment horizontal="left" readingOrder="0" shrinkToFit="0" vertical="center" wrapText="0"/>
    </xf>
    <xf borderId="3" fillId="3" fontId="3" numFmtId="0" xfId="0" applyAlignment="1" applyBorder="1" applyFill="1" applyFont="1">
      <alignment horizontal="left" readingOrder="0" shrinkToFit="0" vertical="center" wrapText="0"/>
    </xf>
    <xf borderId="4" fillId="0" fontId="3" numFmtId="0" xfId="0" applyAlignment="1" applyBorder="1" applyFont="1">
      <alignment shrinkToFit="0" vertical="center" wrapText="0"/>
    </xf>
    <xf borderId="5" fillId="0" fontId="3" numFmtId="0" xfId="0" applyAlignment="1" applyBorder="1" applyFont="1">
      <alignment shrinkToFit="0" vertical="center" wrapText="0"/>
    </xf>
    <xf borderId="5" fillId="0" fontId="4" numFmtId="49" xfId="0" applyAlignment="1" applyBorder="1" applyFont="1" applyNumberFormat="1">
      <alignment shrinkToFit="0" vertical="center" wrapText="0"/>
    </xf>
    <xf borderId="5" fillId="0" fontId="3" numFmtId="166" xfId="0" applyAlignment="1" applyBorder="1" applyFont="1" applyNumberFormat="1">
      <alignment shrinkToFit="0" vertical="center" wrapText="0"/>
    </xf>
    <xf borderId="5" fillId="0" fontId="3" numFmtId="0" xfId="0" applyAlignment="1" applyBorder="1" applyFont="1">
      <alignment shrinkToFit="0" vertical="center" wrapText="0"/>
    </xf>
    <xf borderId="5" fillId="0" fontId="3" numFmtId="0" xfId="0" applyAlignment="1" applyBorder="1" applyFont="1">
      <alignment shrinkToFit="0" vertical="center" wrapText="0"/>
    </xf>
    <xf borderId="5" fillId="0" fontId="3" numFmtId="49" xfId="0" applyAlignment="1" applyBorder="1" applyFont="1" applyNumberFormat="1">
      <alignment shrinkToFit="0" vertical="center" wrapText="0"/>
    </xf>
    <xf borderId="5" fillId="0" fontId="3" numFmtId="0" xfId="0" applyAlignment="1" applyBorder="1" applyFont="1">
      <alignment shrinkToFit="0" vertical="center" wrapText="0"/>
    </xf>
    <xf borderId="5" fillId="0" fontId="3" numFmtId="10" xfId="0" applyAlignment="1" applyBorder="1" applyFont="1" applyNumberFormat="1">
      <alignment shrinkToFit="0" vertical="center" wrapText="0"/>
    </xf>
    <xf borderId="6" fillId="0" fontId="3" numFmtId="0" xfId="0" applyAlignment="1" applyBorder="1" applyFont="1">
      <alignment readingOrder="0" shrinkToFit="0" vertical="center" wrapText="0"/>
    </xf>
    <xf borderId="7" fillId="0" fontId="3" numFmtId="0" xfId="0" applyAlignment="1" applyBorder="1" applyFont="1">
      <alignment shrinkToFit="0" vertical="center" wrapText="0"/>
    </xf>
    <xf borderId="8" fillId="0" fontId="3" numFmtId="0" xfId="0" applyAlignment="1" applyBorder="1" applyFont="1">
      <alignment shrinkToFit="0" vertical="center" wrapText="0"/>
    </xf>
    <xf borderId="8" fillId="0" fontId="4" numFmtId="49" xfId="0" applyAlignment="1" applyBorder="1" applyFont="1" applyNumberFormat="1">
      <alignment shrinkToFit="0" vertical="center" wrapText="0"/>
    </xf>
    <xf borderId="8" fillId="0" fontId="3" numFmtId="166" xfId="0" applyAlignment="1" applyBorder="1" applyFont="1" applyNumberFormat="1">
      <alignment shrinkToFit="0" vertical="center" wrapText="0"/>
    </xf>
    <xf borderId="8" fillId="0" fontId="3" numFmtId="0" xfId="0" applyAlignment="1" applyBorder="1" applyFont="1">
      <alignment shrinkToFit="0" vertical="center" wrapText="0"/>
    </xf>
    <xf borderId="8" fillId="0" fontId="3" numFmtId="49" xfId="0" applyAlignment="1" applyBorder="1" applyFont="1" applyNumberFormat="1">
      <alignment shrinkToFit="0" vertical="center" wrapText="0"/>
    </xf>
    <xf borderId="8" fillId="0" fontId="3" numFmtId="0" xfId="0" applyAlignment="1" applyBorder="1" applyFont="1">
      <alignment shrinkToFit="0" vertical="center" wrapText="0"/>
    </xf>
    <xf borderId="8" fillId="0" fontId="3" numFmtId="10" xfId="0" applyAlignment="1" applyBorder="1" applyFont="1" applyNumberFormat="1">
      <alignment shrinkToFit="0" vertical="center" wrapText="0"/>
    </xf>
    <xf borderId="9" fillId="0" fontId="3" numFmtId="0" xfId="0" applyAlignment="1" applyBorder="1" applyFont="1">
      <alignment readingOrder="0" shrinkToFit="0" vertical="center" wrapText="0"/>
    </xf>
    <xf borderId="5" fillId="0" fontId="3" numFmtId="49" xfId="0" applyAlignment="1" applyBorder="1" applyFont="1" applyNumberFormat="1">
      <alignment shrinkToFit="0" vertical="center" wrapText="0"/>
    </xf>
    <xf borderId="8" fillId="0" fontId="3" numFmtId="49" xfId="0" applyAlignment="1" applyBorder="1" applyFont="1" applyNumberFormat="1">
      <alignment shrinkToFit="0" vertical="center" wrapText="0"/>
    </xf>
    <xf borderId="5" fillId="0" fontId="3" numFmtId="165" xfId="0" applyAlignment="1" applyBorder="1" applyFont="1" applyNumberFormat="1">
      <alignment shrinkToFit="0" vertical="center" wrapText="0"/>
    </xf>
    <xf borderId="8" fillId="0" fontId="3" numFmtId="165" xfId="0" applyAlignment="1" applyBorder="1" applyFont="1" applyNumberFormat="1">
      <alignment shrinkToFit="0" vertical="center" wrapText="0"/>
    </xf>
    <xf borderId="10" fillId="0" fontId="3" numFmtId="0" xfId="0" applyAlignment="1" applyBorder="1" applyFont="1">
      <alignment shrinkToFit="0" vertical="center" wrapText="0"/>
    </xf>
    <xf borderId="11" fillId="0" fontId="3" numFmtId="0" xfId="0" applyAlignment="1" applyBorder="1" applyFont="1">
      <alignment shrinkToFit="0" vertical="center" wrapText="0"/>
    </xf>
    <xf borderId="11" fillId="0" fontId="4" numFmtId="49" xfId="0" applyAlignment="1" applyBorder="1" applyFont="1" applyNumberFormat="1">
      <alignment shrinkToFit="0" vertical="center" wrapText="0"/>
    </xf>
    <xf borderId="11" fillId="0" fontId="3" numFmtId="166" xfId="0" applyAlignment="1" applyBorder="1" applyFont="1" applyNumberFormat="1">
      <alignment shrinkToFit="0" vertical="center" wrapText="0"/>
    </xf>
    <xf borderId="11" fillId="0" fontId="3" numFmtId="0" xfId="0" applyAlignment="1" applyBorder="1" applyFont="1">
      <alignment shrinkToFit="0" vertical="center" wrapText="0"/>
    </xf>
    <xf borderId="11" fillId="0" fontId="3" numFmtId="49" xfId="0" applyAlignment="1" applyBorder="1" applyFont="1" applyNumberFormat="1">
      <alignment shrinkToFit="0" vertical="center" wrapText="0"/>
    </xf>
    <xf borderId="11" fillId="0" fontId="3" numFmtId="0" xfId="0" applyAlignment="1" applyBorder="1" applyFont="1">
      <alignment shrinkToFit="0" vertical="center" wrapText="0"/>
    </xf>
    <xf borderId="11" fillId="0" fontId="3" numFmtId="10" xfId="0" applyAlignment="1" applyBorder="1" applyFont="1" applyNumberFormat="1">
      <alignment shrinkToFit="0" vertical="center" wrapText="0"/>
    </xf>
    <xf borderId="12" fillId="0" fontId="3" numFmtId="0" xfId="0" applyAlignment="1" applyBorder="1" applyFont="1">
      <alignment readingOrder="0" shrinkToFit="0" vertical="center" wrapText="0"/>
    </xf>
    <xf borderId="0" fillId="0" fontId="3" numFmtId="0" xfId="0" applyAlignment="1" applyFont="1">
      <alignment shrinkToFit="0" wrapText="0"/>
    </xf>
    <xf borderId="0" fillId="0" fontId="3" numFmtId="0" xfId="0" applyAlignment="1" applyFont="1">
      <alignment horizontal="center" shrinkToFit="0" vertical="center" wrapText="0"/>
    </xf>
    <xf borderId="0" fillId="0" fontId="3" numFmtId="0" xfId="0" applyAlignment="1" applyFont="1">
      <alignment shrinkToFit="0" wrapText="0"/>
    </xf>
    <xf borderId="0" fillId="2" fontId="3" numFmtId="0" xfId="0" applyAlignment="1" applyFont="1">
      <alignment horizontal="center" shrinkToFit="0" vertical="center" wrapText="0"/>
    </xf>
    <xf borderId="0" fillId="0" fontId="3" numFmtId="0" xfId="0" applyAlignment="1" applyFont="1">
      <alignment horizontal="center" shrinkToFit="0" vertical="center" wrapText="0"/>
    </xf>
    <xf borderId="0" fillId="0" fontId="3" numFmtId="49" xfId="0" applyAlignment="1" applyFont="1" applyNumberFormat="1">
      <alignment shrinkToFit="0" wrapText="0"/>
    </xf>
    <xf borderId="0" fillId="0" fontId="3" numFmtId="49" xfId="0" applyAlignment="1" applyFont="1" applyNumberFormat="1">
      <alignment horizontal="center" shrinkToFit="0" vertical="center" wrapText="0"/>
    </xf>
    <xf borderId="0" fillId="0" fontId="5" numFmtId="0" xfId="0" applyAlignment="1" applyFont="1">
      <alignment horizontal="right" vertical="bottom"/>
    </xf>
    <xf borderId="0" fillId="0" fontId="5" numFmtId="0" xfId="0" applyAlignment="1" applyFont="1">
      <alignment shrinkToFit="0" vertical="bottom" wrapText="0"/>
    </xf>
    <xf borderId="0" fillId="0" fontId="5" numFmtId="0" xfId="0" applyAlignment="1" applyFont="1">
      <alignment vertical="bottom"/>
    </xf>
    <xf borderId="0" fillId="0" fontId="3" numFmtId="0" xfId="0" applyAlignment="1" applyFont="1">
      <alignment readingOrder="0"/>
    </xf>
    <xf borderId="0" fillId="0" fontId="4" numFmtId="0" xfId="0" applyAlignment="1" applyFont="1">
      <alignment readingOrder="0" shrinkToFit="0" vertical="center" wrapText="0"/>
    </xf>
    <xf borderId="0" fillId="0" fontId="4" numFmtId="0" xfId="0" applyAlignment="1" applyFont="1">
      <alignment readingOrder="0"/>
    </xf>
    <xf borderId="0" fillId="0" fontId="3" numFmtId="0" xfId="0" applyAlignment="1" applyFont="1">
      <alignment shrinkToFit="0" vertical="center" wrapText="0"/>
    </xf>
    <xf borderId="0" fillId="0" fontId="3" numFmtId="166" xfId="0" applyFont="1" applyNumberFormat="1"/>
    <xf borderId="0" fillId="0" fontId="3" numFmtId="0" xfId="0" applyFont="1"/>
    <xf borderId="0" fillId="0" fontId="3" numFmtId="10" xfId="0" applyFont="1" applyNumberFormat="1"/>
    <xf borderId="0" fillId="0" fontId="3" numFmtId="165" xfId="0" applyFont="1" applyNumberFormat="1"/>
    <xf borderId="0" fillId="0" fontId="3" numFmtId="0" xfId="0" applyAlignment="1" applyFont="1">
      <alignment readingOrder="0" shrinkToFit="0" vertical="center" wrapText="0"/>
    </xf>
    <xf borderId="0" fillId="0" fontId="3" numFmtId="166" xfId="0" applyAlignment="1" applyFont="1" applyNumberFormat="1">
      <alignment readingOrder="0"/>
    </xf>
    <xf borderId="0" fillId="0" fontId="3" numFmtId="0" xfId="0" applyAlignment="1" applyFont="1">
      <alignment readingOrder="0"/>
    </xf>
    <xf borderId="0" fillId="0" fontId="6" numFmtId="0" xfId="0" applyAlignment="1" applyFont="1">
      <alignment readingOrder="0"/>
    </xf>
    <xf borderId="0" fillId="4" fontId="3" numFmtId="0" xfId="0" applyAlignment="1" applyFill="1" applyFont="1">
      <alignment readingOrder="0"/>
    </xf>
    <xf borderId="0" fillId="5" fontId="3" numFmtId="0" xfId="0" applyAlignment="1" applyFill="1" applyFont="1">
      <alignment readingOrder="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Pap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E520" displayName="Table1._papers" name="Table1._papers" id="1">
  <tableColumns count="31">
    <tableColumn name="mode" id="1"/>
    <tableColumn name="paperId" id="2"/>
    <tableColumn name="title" id="3"/>
    <tableColumn name="publication_date" id="4"/>
    <tableColumn name="year" id="5"/>
    <tableColumn name="publication_types" id="6"/>
    <tableColumn name="fields_of_study" id="7"/>
    <tableColumn name="influential_citation_count" id="8"/>
    <tableColumn name="citation_count" id="9"/>
    <tableColumn name="abstract" id="10"/>
    <tableColumn name="external_ids" id="11"/>
    <tableColumn name="doi" id="12"/>
    <tableColumn name="is_open_access" id="13"/>
    <tableColumn name="open_access_pdf_url" id="14"/>
    <tableColumn name="journal_pages_range" id="15"/>
    <tableColumn name="pages_total" id="16"/>
    <tableColumn name="references_pages" id="17"/>
    <tableColumn name="references_count" id="18"/>
    <tableColumn name="_max_cited_year" id="19"/>
    <tableColumn name="authors_hindex_list" id="20"/>
    <tableColumn name="mean_author_hindex" id="21"/>
    <tableColumn name="cites_per_day" id="22"/>
    <tableColumn name="recency_delay_years" id="23"/>
    <tableColumn name="pages_minus_refs" id="24"/>
    <tableColumn name="normalized_pages_minus_refs" id="25"/>
    <tableColumn name="normalized_references_count" id="26"/>
    <tableColumn name="normalized_recency_delay" id="27"/>
    <tableColumn name="normalized_cites_per_day" id="28"/>
    <tableColumn name="normalized_mean_author_hindex" id="29"/>
    <tableColumn name="composite_score" id="30"/>
    <tableColumn name="excluded (reason)" id="31"/>
  </tableColumns>
  <tableStyleInfo name="Pap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wnloads.hindawi.com/journals/scn/2022/4016073.pdf" TargetMode="External"/><Relationship Id="rId22" Type="http://schemas.openxmlformats.org/officeDocument/2006/relationships/hyperlink" Target="https://link.springer.com/content/pdf/10.1007/s00521-019-04557-3.pdf" TargetMode="External"/><Relationship Id="rId21" Type="http://schemas.openxmlformats.org/officeDocument/2006/relationships/hyperlink" Target="https://doi.org/10.55214/25768484.v8i6.2930" TargetMode="External"/><Relationship Id="rId24" Type="http://schemas.openxmlformats.org/officeDocument/2006/relationships/hyperlink" Target="https://dl.acm.org/doi/pdf/10.1145/3472753" TargetMode="External"/><Relationship Id="rId23" Type="http://schemas.openxmlformats.org/officeDocument/2006/relationships/hyperlink" Target="https://ieeexplore.ieee.org/ielx7/6287639/6514899/09285284.pdf" TargetMode="External"/><Relationship Id="rId1" Type="http://schemas.openxmlformats.org/officeDocument/2006/relationships/hyperlink" Target="https://onlinelibrary.wiley.com/doi/pdfdirect/10.1002/ett.4150" TargetMode="External"/><Relationship Id="rId2" Type="http://schemas.openxmlformats.org/officeDocument/2006/relationships/hyperlink" Target="https://ieeexplore.ieee.org/ielx7/6287639/6514899/09562531.pdf" TargetMode="External"/><Relationship Id="rId3" Type="http://schemas.openxmlformats.org/officeDocument/2006/relationships/hyperlink" Target="https://journals.sagepub.com/doi/pdf/10.1155/2013/167575" TargetMode="External"/><Relationship Id="rId4" Type="http://schemas.openxmlformats.org/officeDocument/2006/relationships/hyperlink" Target="https://doi.org/10.1109/access.2018.2836950" TargetMode="External"/><Relationship Id="rId9" Type="http://schemas.openxmlformats.org/officeDocument/2006/relationships/hyperlink" Target="https://doi.org/10.1016/j.comnet.2021.108661" TargetMode="External"/><Relationship Id="rId26" Type="http://schemas.openxmlformats.org/officeDocument/2006/relationships/hyperlink" Target="https://doi.org/10.1016/j.procs.2020.03.330" TargetMode="External"/><Relationship Id="rId25" Type="http://schemas.openxmlformats.org/officeDocument/2006/relationships/hyperlink" Target="https://doi.org/10.1109/mdat.2019.2899062" TargetMode="External"/><Relationship Id="rId28" Type="http://schemas.openxmlformats.org/officeDocument/2006/relationships/hyperlink" Target="https://doi.org/10.1016/j.proeng.2012.06.248" TargetMode="External"/><Relationship Id="rId27" Type="http://schemas.openxmlformats.org/officeDocument/2006/relationships/hyperlink" Target="https://dl.acm.org/doi/pdf/10.1145/3510581" TargetMode="External"/><Relationship Id="rId5" Type="http://schemas.openxmlformats.org/officeDocument/2006/relationships/hyperlink" Target="https://doi.org/10.1109/access.2018.2805680" TargetMode="External"/><Relationship Id="rId6" Type="http://schemas.openxmlformats.org/officeDocument/2006/relationships/hyperlink" Target="https://doi.org/10.1109/comst.2019.2910750" TargetMode="External"/><Relationship Id="rId29" Type="http://schemas.openxmlformats.org/officeDocument/2006/relationships/hyperlink" Target="https://dl.acm.org/doi/pdf/10.1145/3424155" TargetMode="External"/><Relationship Id="rId7" Type="http://schemas.openxmlformats.org/officeDocument/2006/relationships/hyperlink" Target="https://doi.org/10.1109/access.2018.2799854" TargetMode="External"/><Relationship Id="rId8" Type="http://schemas.openxmlformats.org/officeDocument/2006/relationships/hyperlink" Target="https://ieeexplore.ieee.org/ielx7/6287639/6514899/09877919.pdf" TargetMode="External"/><Relationship Id="rId31" Type="http://schemas.openxmlformats.org/officeDocument/2006/relationships/hyperlink" Target="https://iopscience.iop.org/article/10.1088/1742-6596/1000/1/012049/pdf" TargetMode="External"/><Relationship Id="rId30" Type="http://schemas.openxmlformats.org/officeDocument/2006/relationships/hyperlink" Target="https://doi.org/10.36548/jitdw.2020.3.004" TargetMode="External"/><Relationship Id="rId11" Type="http://schemas.openxmlformats.org/officeDocument/2006/relationships/hyperlink" Target="https://dl.acm.org/doi/pdf/10.1145/3570954" TargetMode="External"/><Relationship Id="rId33" Type="http://schemas.openxmlformats.org/officeDocument/2006/relationships/hyperlink" Target="https://downloads.hindawi.com/journals/scn/2021/9947059.pdf" TargetMode="External"/><Relationship Id="rId10" Type="http://schemas.openxmlformats.org/officeDocument/2006/relationships/hyperlink" Target="https://doi.org/10.1016/j.procs.2020.04.133" TargetMode="External"/><Relationship Id="rId32" Type="http://schemas.openxmlformats.org/officeDocument/2006/relationships/hyperlink" Target="https://dl.acm.org/doi/pdf/10.1145/3578366" TargetMode="External"/><Relationship Id="rId13" Type="http://schemas.openxmlformats.org/officeDocument/2006/relationships/hyperlink" Target="https://ieeexplore.ieee.org/ielx7/6287639/6514899/09875264.pdf" TargetMode="External"/><Relationship Id="rId35" Type="http://schemas.openxmlformats.org/officeDocument/2006/relationships/hyperlink" Target="http://puma.isti.cnr.it/rmydownload.php?filename=cnr.iit/cnr.iit/2011-TR-026/2011-TR-026.pdf" TargetMode="External"/><Relationship Id="rId12" Type="http://schemas.openxmlformats.org/officeDocument/2006/relationships/hyperlink" Target="https://ieeexplore.ieee.org/ielx7/6287639/6514899/09277523.pdf" TargetMode="External"/><Relationship Id="rId34" Type="http://schemas.openxmlformats.org/officeDocument/2006/relationships/hyperlink" Target="https://doi.org/10.1109/access.2018.2872784" TargetMode="External"/><Relationship Id="rId15" Type="http://schemas.openxmlformats.org/officeDocument/2006/relationships/hyperlink" Target="https://dl.acm.org/doi/pdf/10.1145/3344382" TargetMode="External"/><Relationship Id="rId37" Type="http://schemas.openxmlformats.org/officeDocument/2006/relationships/drawing" Target="../drawings/drawing7.xml"/><Relationship Id="rId14" Type="http://schemas.openxmlformats.org/officeDocument/2006/relationships/hyperlink" Target="https://doi.org/10.1109/comst.2021.3106669" TargetMode="External"/><Relationship Id="rId36" Type="http://schemas.openxmlformats.org/officeDocument/2006/relationships/hyperlink" Target="https://doi.org/10.1016/j.jnca.2023.103761" TargetMode="External"/><Relationship Id="rId17" Type="http://schemas.openxmlformats.org/officeDocument/2006/relationships/hyperlink" Target="https://journals.sagepub.com/doi/pdf/10.1177/1550147718794615" TargetMode="External"/><Relationship Id="rId16" Type="http://schemas.openxmlformats.org/officeDocument/2006/relationships/hyperlink" Target="https://ieeexplore.ieee.org/ielx7/6287639/6514899/09980352.pdf" TargetMode="External"/><Relationship Id="rId19" Type="http://schemas.openxmlformats.org/officeDocument/2006/relationships/hyperlink" Target="https://ieeexplore.ieee.org/ielx7/6287639/6514899/09941074.pdf" TargetMode="External"/><Relationship Id="rId18" Type="http://schemas.openxmlformats.org/officeDocument/2006/relationships/hyperlink" Target="https://doi.org/10.1016/j.jjimei.2022.10013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1" width="7.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14.25" customHeight="1">
      <c r="A2" s="1" t="s">
        <v>21</v>
      </c>
      <c r="B2" s="2" t="s">
        <v>22</v>
      </c>
      <c r="C2" s="1" t="s">
        <v>23</v>
      </c>
      <c r="D2" s="3" t="s">
        <v>24</v>
      </c>
      <c r="E2" s="1" t="s">
        <v>25</v>
      </c>
      <c r="F2" s="1" t="s">
        <v>26</v>
      </c>
      <c r="G2" s="1" t="s">
        <v>27</v>
      </c>
      <c r="H2" s="1" t="s">
        <v>28</v>
      </c>
      <c r="I2" s="1" t="s">
        <v>29</v>
      </c>
      <c r="J2" s="1"/>
      <c r="K2" s="1" t="s">
        <v>30</v>
      </c>
      <c r="L2" s="1"/>
      <c r="M2" s="1" t="s">
        <v>31</v>
      </c>
      <c r="N2" s="1"/>
      <c r="O2" s="1" t="s">
        <v>32</v>
      </c>
      <c r="P2" s="1" t="s">
        <v>33</v>
      </c>
      <c r="Q2" s="1"/>
      <c r="R2" s="1" t="s">
        <v>34</v>
      </c>
      <c r="S2" s="1"/>
      <c r="T2" s="1" t="s">
        <v>35</v>
      </c>
      <c r="U2" s="1" t="s">
        <v>36</v>
      </c>
    </row>
    <row r="3" ht="14.25" customHeight="1">
      <c r="A3" s="1" t="s">
        <v>21</v>
      </c>
      <c r="B3" s="1" t="s">
        <v>37</v>
      </c>
      <c r="C3" s="1" t="s">
        <v>38</v>
      </c>
      <c r="D3" s="3" t="s">
        <v>39</v>
      </c>
      <c r="E3" s="1" t="s">
        <v>40</v>
      </c>
      <c r="F3" s="1" t="s">
        <v>41</v>
      </c>
      <c r="G3" s="1" t="s">
        <v>42</v>
      </c>
      <c r="H3" s="1" t="s">
        <v>43</v>
      </c>
      <c r="I3" s="1" t="s">
        <v>44</v>
      </c>
      <c r="J3" s="1"/>
      <c r="K3" s="1" t="s">
        <v>45</v>
      </c>
      <c r="L3" s="1" t="s">
        <v>46</v>
      </c>
      <c r="M3" s="1" t="s">
        <v>31</v>
      </c>
      <c r="N3" s="1"/>
      <c r="O3" s="1" t="s">
        <v>47</v>
      </c>
      <c r="P3" s="1"/>
      <c r="Q3" s="1"/>
      <c r="R3" s="1" t="s">
        <v>48</v>
      </c>
      <c r="S3" s="1"/>
      <c r="T3" s="1" t="s">
        <v>49</v>
      </c>
      <c r="U3" s="1" t="s">
        <v>50</v>
      </c>
    </row>
    <row r="4" ht="14.25" customHeight="1">
      <c r="A4" s="1" t="s">
        <v>21</v>
      </c>
      <c r="B4" s="1" t="s">
        <v>51</v>
      </c>
      <c r="C4" s="1" t="s">
        <v>52</v>
      </c>
      <c r="D4" s="3" t="s">
        <v>53</v>
      </c>
      <c r="E4" s="1" t="s">
        <v>54</v>
      </c>
      <c r="F4" s="1" t="s">
        <v>41</v>
      </c>
      <c r="G4" s="1" t="s">
        <v>42</v>
      </c>
      <c r="H4" s="1" t="s">
        <v>55</v>
      </c>
      <c r="I4" s="1" t="s">
        <v>56</v>
      </c>
      <c r="J4" s="1"/>
      <c r="K4" s="1" t="s">
        <v>57</v>
      </c>
      <c r="L4" s="1" t="s">
        <v>58</v>
      </c>
      <c r="M4" s="1" t="s">
        <v>59</v>
      </c>
      <c r="N4" s="1" t="s">
        <v>60</v>
      </c>
      <c r="O4" s="1" t="s">
        <v>61</v>
      </c>
      <c r="P4" s="1" t="s">
        <v>62</v>
      </c>
      <c r="Q4" s="1"/>
      <c r="R4" s="1" t="s">
        <v>63</v>
      </c>
      <c r="S4" s="1"/>
      <c r="T4" s="1" t="s">
        <v>64</v>
      </c>
      <c r="U4" s="1" t="s">
        <v>65</v>
      </c>
    </row>
    <row r="5" ht="14.25" customHeight="1">
      <c r="A5" s="1" t="s">
        <v>21</v>
      </c>
      <c r="B5" s="1" t="s">
        <v>66</v>
      </c>
      <c r="C5" s="1" t="s">
        <v>67</v>
      </c>
      <c r="D5" s="1"/>
      <c r="E5" s="1"/>
      <c r="F5" s="1" t="s">
        <v>41</v>
      </c>
      <c r="G5" s="1" t="s">
        <v>42</v>
      </c>
      <c r="H5" s="1" t="s">
        <v>68</v>
      </c>
      <c r="I5" s="1" t="s">
        <v>69</v>
      </c>
      <c r="J5" s="1"/>
      <c r="K5" s="1" t="s">
        <v>70</v>
      </c>
      <c r="L5" s="1" t="s">
        <v>71</v>
      </c>
      <c r="M5" s="1" t="s">
        <v>31</v>
      </c>
      <c r="N5" s="1"/>
      <c r="O5" s="1" t="s">
        <v>72</v>
      </c>
      <c r="P5" s="1" t="s">
        <v>73</v>
      </c>
      <c r="Q5" s="1"/>
      <c r="R5" s="1" t="s">
        <v>68</v>
      </c>
      <c r="S5" s="1"/>
      <c r="T5" s="1" t="s">
        <v>74</v>
      </c>
      <c r="U5" s="1" t="s">
        <v>75</v>
      </c>
    </row>
    <row r="6" ht="14.25" customHeight="1">
      <c r="A6" s="1" t="s">
        <v>21</v>
      </c>
      <c r="B6" s="1" t="s">
        <v>76</v>
      </c>
      <c r="C6" s="1" t="s">
        <v>77</v>
      </c>
      <c r="D6" s="3" t="s">
        <v>78</v>
      </c>
      <c r="E6" s="1" t="s">
        <v>79</v>
      </c>
      <c r="F6" s="1" t="s">
        <v>41</v>
      </c>
      <c r="G6" s="1" t="s">
        <v>42</v>
      </c>
      <c r="H6" s="1" t="s">
        <v>68</v>
      </c>
      <c r="I6" s="1" t="s">
        <v>80</v>
      </c>
      <c r="J6" s="1"/>
      <c r="K6" s="1" t="s">
        <v>81</v>
      </c>
      <c r="L6" s="1" t="s">
        <v>82</v>
      </c>
      <c r="M6" s="1" t="s">
        <v>31</v>
      </c>
      <c r="N6" s="1"/>
      <c r="O6" s="1" t="s">
        <v>83</v>
      </c>
      <c r="P6" s="1" t="s">
        <v>84</v>
      </c>
      <c r="Q6" s="1"/>
      <c r="R6" s="1" t="s">
        <v>85</v>
      </c>
      <c r="S6" s="1"/>
      <c r="T6" s="1" t="s">
        <v>86</v>
      </c>
      <c r="U6" s="1" t="s">
        <v>87</v>
      </c>
    </row>
    <row r="7" ht="14.25" customHeight="1">
      <c r="A7" s="1" t="s">
        <v>21</v>
      </c>
      <c r="B7" s="1" t="s">
        <v>88</v>
      </c>
      <c r="C7" s="1" t="s">
        <v>89</v>
      </c>
      <c r="D7" s="3" t="s">
        <v>90</v>
      </c>
      <c r="E7" s="1" t="s">
        <v>91</v>
      </c>
      <c r="F7" s="1" t="s">
        <v>41</v>
      </c>
      <c r="G7" s="1" t="s">
        <v>42</v>
      </c>
      <c r="H7" s="1" t="s">
        <v>92</v>
      </c>
      <c r="I7" s="1" t="s">
        <v>93</v>
      </c>
      <c r="J7" s="1" t="s">
        <v>94</v>
      </c>
      <c r="K7" s="1" t="s">
        <v>95</v>
      </c>
      <c r="L7" s="1" t="s">
        <v>96</v>
      </c>
      <c r="M7" s="1" t="s">
        <v>59</v>
      </c>
      <c r="N7" s="1" t="s">
        <v>97</v>
      </c>
      <c r="O7" s="1"/>
      <c r="P7" s="1"/>
      <c r="Q7" s="1"/>
      <c r="R7" s="1" t="s">
        <v>98</v>
      </c>
      <c r="S7" s="1" t="s">
        <v>99</v>
      </c>
      <c r="T7" s="1" t="s">
        <v>100</v>
      </c>
      <c r="U7" s="1" t="s">
        <v>101</v>
      </c>
    </row>
    <row r="8" ht="14.25" customHeight="1">
      <c r="A8" s="1" t="s">
        <v>21</v>
      </c>
      <c r="B8" s="1" t="s">
        <v>102</v>
      </c>
      <c r="C8" s="1" t="s">
        <v>103</v>
      </c>
      <c r="D8" s="3" t="s">
        <v>104</v>
      </c>
      <c r="E8" s="1" t="s">
        <v>25</v>
      </c>
      <c r="F8" s="1" t="s">
        <v>41</v>
      </c>
      <c r="G8" s="1" t="s">
        <v>42</v>
      </c>
      <c r="H8" s="1" t="s">
        <v>105</v>
      </c>
      <c r="I8" s="1" t="s">
        <v>106</v>
      </c>
      <c r="J8" s="1"/>
      <c r="K8" s="1" t="s">
        <v>107</v>
      </c>
      <c r="L8" s="1" t="s">
        <v>108</v>
      </c>
      <c r="M8" s="1" t="s">
        <v>31</v>
      </c>
      <c r="N8" s="1"/>
      <c r="O8" s="1" t="s">
        <v>109</v>
      </c>
      <c r="P8" s="1" t="s">
        <v>110</v>
      </c>
      <c r="Q8" s="1"/>
      <c r="R8" s="1" t="s">
        <v>111</v>
      </c>
      <c r="S8" s="1"/>
      <c r="T8" s="1" t="s">
        <v>112</v>
      </c>
      <c r="U8" s="1" t="s">
        <v>113</v>
      </c>
    </row>
    <row r="9" ht="14.25" customHeight="1">
      <c r="A9" s="1" t="s">
        <v>21</v>
      </c>
      <c r="B9" s="1" t="s">
        <v>114</v>
      </c>
      <c r="C9" s="1" t="s">
        <v>115</v>
      </c>
      <c r="D9" s="3" t="s">
        <v>116</v>
      </c>
      <c r="E9" s="1" t="s">
        <v>117</v>
      </c>
      <c r="F9" s="1" t="s">
        <v>118</v>
      </c>
      <c r="G9" s="1" t="s">
        <v>42</v>
      </c>
      <c r="H9" s="1" t="s">
        <v>105</v>
      </c>
      <c r="I9" s="1" t="s">
        <v>119</v>
      </c>
      <c r="J9" s="1"/>
      <c r="K9" s="1" t="s">
        <v>120</v>
      </c>
      <c r="L9" s="1" t="s">
        <v>121</v>
      </c>
      <c r="M9" s="1" t="s">
        <v>59</v>
      </c>
      <c r="N9" s="1" t="s">
        <v>122</v>
      </c>
      <c r="O9" s="1" t="s">
        <v>123</v>
      </c>
      <c r="P9" s="1" t="s">
        <v>124</v>
      </c>
      <c r="Q9" s="1"/>
      <c r="R9" s="1" t="s">
        <v>125</v>
      </c>
      <c r="S9" s="1"/>
      <c r="T9" s="1" t="s">
        <v>126</v>
      </c>
      <c r="U9" s="1" t="s">
        <v>127</v>
      </c>
    </row>
    <row r="10" ht="14.25" customHeight="1">
      <c r="A10" s="1" t="s">
        <v>21</v>
      </c>
      <c r="B10" s="1" t="s">
        <v>128</v>
      </c>
      <c r="C10" s="1" t="s">
        <v>129</v>
      </c>
      <c r="D10" s="3" t="s">
        <v>78</v>
      </c>
      <c r="E10" s="1" t="s">
        <v>79</v>
      </c>
      <c r="F10" s="1" t="s">
        <v>41</v>
      </c>
      <c r="G10" s="1" t="s">
        <v>42</v>
      </c>
      <c r="H10" s="1" t="s">
        <v>130</v>
      </c>
      <c r="I10" s="1" t="s">
        <v>131</v>
      </c>
      <c r="J10" s="1"/>
      <c r="K10" s="1" t="s">
        <v>132</v>
      </c>
      <c r="L10" s="1" t="s">
        <v>133</v>
      </c>
      <c r="M10" s="1" t="s">
        <v>31</v>
      </c>
      <c r="N10" s="1"/>
      <c r="O10" s="1" t="s">
        <v>134</v>
      </c>
      <c r="P10" s="1" t="s">
        <v>135</v>
      </c>
      <c r="Q10" s="1"/>
      <c r="R10" s="1" t="s">
        <v>136</v>
      </c>
      <c r="S10" s="1"/>
      <c r="T10" s="1" t="s">
        <v>137</v>
      </c>
      <c r="U10" s="1" t="s">
        <v>138</v>
      </c>
    </row>
    <row r="11" ht="14.25" customHeight="1">
      <c r="A11" s="1" t="s">
        <v>21</v>
      </c>
      <c r="B11" s="1" t="s">
        <v>139</v>
      </c>
      <c r="C11" s="1" t="s">
        <v>23</v>
      </c>
      <c r="D11" s="3" t="s">
        <v>140</v>
      </c>
      <c r="E11" s="1" t="s">
        <v>117</v>
      </c>
      <c r="F11" s="1" t="s">
        <v>41</v>
      </c>
      <c r="G11" s="1" t="s">
        <v>42</v>
      </c>
      <c r="H11" s="1" t="s">
        <v>141</v>
      </c>
      <c r="I11" s="1" t="s">
        <v>142</v>
      </c>
      <c r="J11" s="1"/>
      <c r="K11" s="1" t="s">
        <v>143</v>
      </c>
      <c r="L11" s="1" t="s">
        <v>144</v>
      </c>
      <c r="M11" s="1" t="s">
        <v>59</v>
      </c>
      <c r="N11" s="1" t="s">
        <v>145</v>
      </c>
      <c r="O11" s="1" t="s">
        <v>146</v>
      </c>
      <c r="P11" s="1" t="s">
        <v>62</v>
      </c>
      <c r="Q11" s="1"/>
      <c r="R11" s="1" t="s">
        <v>147</v>
      </c>
      <c r="S11" s="1"/>
      <c r="T11" s="1" t="s">
        <v>148</v>
      </c>
      <c r="U11" s="1" t="s">
        <v>110</v>
      </c>
    </row>
    <row r="12" ht="14.25" customHeight="1">
      <c r="A12" s="1" t="s">
        <v>21</v>
      </c>
      <c r="B12" s="1" t="s">
        <v>149</v>
      </c>
      <c r="C12" s="1" t="s">
        <v>150</v>
      </c>
      <c r="D12" s="1"/>
      <c r="E12" s="1"/>
      <c r="F12" s="1" t="s">
        <v>41</v>
      </c>
      <c r="G12" s="1" t="s">
        <v>42</v>
      </c>
      <c r="H12" s="1" t="s">
        <v>141</v>
      </c>
      <c r="I12" s="1" t="s">
        <v>151</v>
      </c>
      <c r="J12" s="1"/>
      <c r="K12" s="1" t="s">
        <v>152</v>
      </c>
      <c r="L12" s="1" t="s">
        <v>153</v>
      </c>
      <c r="M12" s="1" t="s">
        <v>59</v>
      </c>
      <c r="N12" s="1" t="s">
        <v>154</v>
      </c>
      <c r="O12" s="1" t="s">
        <v>155</v>
      </c>
      <c r="P12" s="1" t="s">
        <v>156</v>
      </c>
      <c r="Q12" s="1"/>
      <c r="R12" s="1" t="s">
        <v>157</v>
      </c>
      <c r="S12" s="1"/>
      <c r="T12" s="1" t="s">
        <v>158</v>
      </c>
      <c r="U12" s="1" t="s">
        <v>159</v>
      </c>
    </row>
    <row r="13" ht="14.25" customHeight="1">
      <c r="A13" s="1" t="s">
        <v>21</v>
      </c>
      <c r="B13" s="1" t="s">
        <v>160</v>
      </c>
      <c r="C13" s="1" t="s">
        <v>161</v>
      </c>
      <c r="D13" s="3" t="s">
        <v>162</v>
      </c>
      <c r="E13" s="1" t="s">
        <v>54</v>
      </c>
      <c r="F13" s="1" t="s">
        <v>41</v>
      </c>
      <c r="G13" s="1" t="s">
        <v>42</v>
      </c>
      <c r="H13" s="1" t="s">
        <v>163</v>
      </c>
      <c r="I13" s="1" t="s">
        <v>164</v>
      </c>
      <c r="J13" s="1"/>
      <c r="K13" s="1" t="s">
        <v>165</v>
      </c>
      <c r="L13" s="1" t="s">
        <v>166</v>
      </c>
      <c r="M13" s="1" t="s">
        <v>31</v>
      </c>
      <c r="N13" s="1"/>
      <c r="O13" s="1" t="s">
        <v>167</v>
      </c>
      <c r="P13" s="1" t="s">
        <v>125</v>
      </c>
      <c r="Q13" s="1"/>
      <c r="R13" s="1" t="s">
        <v>168</v>
      </c>
      <c r="S13" s="1"/>
      <c r="T13" s="1" t="s">
        <v>169</v>
      </c>
      <c r="U13" s="1" t="s">
        <v>170</v>
      </c>
    </row>
    <row r="14" ht="14.25" customHeight="1">
      <c r="A14" s="1" t="s">
        <v>21</v>
      </c>
      <c r="B14" s="1" t="s">
        <v>171</v>
      </c>
      <c r="C14" s="1" t="s">
        <v>172</v>
      </c>
      <c r="D14" s="3" t="s">
        <v>173</v>
      </c>
      <c r="E14" s="1" t="s">
        <v>174</v>
      </c>
      <c r="F14" s="1" t="s">
        <v>41</v>
      </c>
      <c r="G14" s="1" t="s">
        <v>42</v>
      </c>
      <c r="H14" s="1" t="s">
        <v>163</v>
      </c>
      <c r="I14" s="1" t="s">
        <v>175</v>
      </c>
      <c r="J14" s="1" t="s">
        <v>176</v>
      </c>
      <c r="K14" s="1" t="s">
        <v>177</v>
      </c>
      <c r="L14" s="1" t="s">
        <v>178</v>
      </c>
      <c r="M14" s="1" t="s">
        <v>59</v>
      </c>
      <c r="N14" s="1" t="s">
        <v>179</v>
      </c>
      <c r="O14" s="1"/>
      <c r="P14" s="1"/>
      <c r="Q14" s="1"/>
      <c r="R14" s="1" t="s">
        <v>180</v>
      </c>
      <c r="S14" s="1" t="s">
        <v>174</v>
      </c>
      <c r="T14" s="1" t="s">
        <v>181</v>
      </c>
      <c r="U14" s="1" t="s">
        <v>182</v>
      </c>
    </row>
    <row r="15" ht="14.25" customHeight="1">
      <c r="A15" s="1" t="s">
        <v>21</v>
      </c>
      <c r="B15" s="1" t="s">
        <v>183</v>
      </c>
      <c r="C15" s="1" t="s">
        <v>184</v>
      </c>
      <c r="D15" s="3" t="s">
        <v>185</v>
      </c>
      <c r="E15" s="1" t="s">
        <v>117</v>
      </c>
      <c r="F15" s="1" t="s">
        <v>118</v>
      </c>
      <c r="G15" s="1" t="s">
        <v>42</v>
      </c>
      <c r="H15" s="1" t="s">
        <v>84</v>
      </c>
      <c r="I15" s="1" t="s">
        <v>186</v>
      </c>
      <c r="J15" s="1"/>
      <c r="K15" s="1" t="s">
        <v>187</v>
      </c>
      <c r="L15" s="1" t="s">
        <v>188</v>
      </c>
      <c r="M15" s="1" t="s">
        <v>31</v>
      </c>
      <c r="N15" s="1"/>
      <c r="O15" s="4" t="s">
        <v>189</v>
      </c>
      <c r="P15" s="1" t="s">
        <v>190</v>
      </c>
      <c r="Q15" s="1"/>
      <c r="R15" s="1" t="s">
        <v>191</v>
      </c>
      <c r="S15" s="1"/>
      <c r="T15" s="1" t="s">
        <v>192</v>
      </c>
      <c r="U15" s="1" t="s">
        <v>192</v>
      </c>
    </row>
    <row r="16" ht="14.25" customHeight="1">
      <c r="A16" s="1" t="s">
        <v>21</v>
      </c>
      <c r="B16" s="1" t="s">
        <v>193</v>
      </c>
      <c r="C16" s="1" t="s">
        <v>194</v>
      </c>
      <c r="D16" s="3" t="s">
        <v>195</v>
      </c>
      <c r="E16" s="1" t="s">
        <v>91</v>
      </c>
      <c r="F16" s="1" t="s">
        <v>41</v>
      </c>
      <c r="G16" s="1" t="s">
        <v>42</v>
      </c>
      <c r="H16" s="1" t="s">
        <v>196</v>
      </c>
      <c r="I16" s="1" t="s">
        <v>197</v>
      </c>
      <c r="J16" s="1"/>
      <c r="K16" s="1" t="s">
        <v>198</v>
      </c>
      <c r="L16" s="1" t="s">
        <v>199</v>
      </c>
      <c r="M16" s="1" t="s">
        <v>59</v>
      </c>
      <c r="N16" s="1" t="s">
        <v>200</v>
      </c>
      <c r="O16" s="1" t="s">
        <v>201</v>
      </c>
      <c r="P16" s="1" t="s">
        <v>202</v>
      </c>
      <c r="Q16" s="1"/>
      <c r="R16" s="1" t="s">
        <v>203</v>
      </c>
      <c r="S16" s="1" t="s">
        <v>91</v>
      </c>
      <c r="T16" s="1" t="s">
        <v>204</v>
      </c>
      <c r="U16" s="1" t="s">
        <v>205</v>
      </c>
    </row>
    <row r="17" ht="14.25" customHeight="1">
      <c r="A17" s="1" t="s">
        <v>21</v>
      </c>
      <c r="B17" s="1" t="s">
        <v>206</v>
      </c>
      <c r="C17" s="1" t="s">
        <v>207</v>
      </c>
      <c r="D17" s="3" t="s">
        <v>208</v>
      </c>
      <c r="E17" s="1" t="s">
        <v>79</v>
      </c>
      <c r="F17" s="1" t="s">
        <v>41</v>
      </c>
      <c r="G17" s="1" t="s">
        <v>42</v>
      </c>
      <c r="H17" s="1" t="s">
        <v>209</v>
      </c>
      <c r="I17" s="1" t="s">
        <v>210</v>
      </c>
      <c r="J17" s="1"/>
      <c r="K17" s="1" t="s">
        <v>211</v>
      </c>
      <c r="L17" s="1" t="s">
        <v>212</v>
      </c>
      <c r="M17" s="1" t="s">
        <v>59</v>
      </c>
      <c r="N17" s="1" t="s">
        <v>213</v>
      </c>
      <c r="O17" s="1" t="s">
        <v>214</v>
      </c>
      <c r="P17" s="1" t="s">
        <v>215</v>
      </c>
      <c r="Q17" s="1"/>
      <c r="R17" s="1" t="s">
        <v>216</v>
      </c>
      <c r="S17" s="1"/>
      <c r="T17" s="1" t="s">
        <v>217</v>
      </c>
      <c r="U17" s="1" t="s">
        <v>215</v>
      </c>
    </row>
    <row r="18" ht="14.25" customHeight="1">
      <c r="A18" s="1" t="s">
        <v>21</v>
      </c>
      <c r="B18" s="1" t="s">
        <v>218</v>
      </c>
      <c r="C18" s="1" t="s">
        <v>219</v>
      </c>
      <c r="D18" s="3" t="s">
        <v>220</v>
      </c>
      <c r="E18" s="1" t="s">
        <v>91</v>
      </c>
      <c r="F18" s="1" t="s">
        <v>26</v>
      </c>
      <c r="G18" s="1" t="s">
        <v>27</v>
      </c>
      <c r="H18" s="1" t="s">
        <v>209</v>
      </c>
      <c r="I18" s="1" t="s">
        <v>221</v>
      </c>
      <c r="J18" s="1" t="s">
        <v>222</v>
      </c>
      <c r="K18" s="1" t="s">
        <v>223</v>
      </c>
      <c r="L18" s="1" t="s">
        <v>224</v>
      </c>
      <c r="M18" s="1" t="s">
        <v>59</v>
      </c>
      <c r="N18" s="1" t="s">
        <v>225</v>
      </c>
      <c r="O18" s="1"/>
      <c r="P18" s="1"/>
      <c r="Q18" s="1"/>
      <c r="R18" s="1" t="s">
        <v>226</v>
      </c>
      <c r="S18" s="1" t="s">
        <v>91</v>
      </c>
      <c r="T18" s="1" t="s">
        <v>227</v>
      </c>
      <c r="U18" s="1" t="s">
        <v>228</v>
      </c>
    </row>
    <row r="19" ht="14.25" customHeight="1">
      <c r="A19" s="1" t="s">
        <v>21</v>
      </c>
      <c r="B19" s="1" t="s">
        <v>229</v>
      </c>
      <c r="C19" s="1" t="s">
        <v>230</v>
      </c>
      <c r="D19" s="3" t="s">
        <v>231</v>
      </c>
      <c r="E19" s="1" t="s">
        <v>40</v>
      </c>
      <c r="F19" s="1" t="s">
        <v>41</v>
      </c>
      <c r="G19" s="1" t="s">
        <v>232</v>
      </c>
      <c r="H19" s="1" t="s">
        <v>209</v>
      </c>
      <c r="I19" s="1" t="s">
        <v>233</v>
      </c>
      <c r="J19" s="1"/>
      <c r="K19" s="1" t="s">
        <v>234</v>
      </c>
      <c r="L19" s="1" t="s">
        <v>235</v>
      </c>
      <c r="M19" s="1" t="s">
        <v>59</v>
      </c>
      <c r="N19" s="1" t="s">
        <v>236</v>
      </c>
      <c r="O19" s="1" t="s">
        <v>237</v>
      </c>
      <c r="P19" s="1" t="s">
        <v>202</v>
      </c>
      <c r="Q19" s="1"/>
      <c r="R19" s="1" t="s">
        <v>238</v>
      </c>
      <c r="S19" s="1"/>
      <c r="T19" s="1" t="s">
        <v>239</v>
      </c>
      <c r="U19" s="1" t="s">
        <v>84</v>
      </c>
    </row>
    <row r="20" ht="14.25" customHeight="1">
      <c r="A20" s="1" t="s">
        <v>21</v>
      </c>
      <c r="B20" s="1" t="s">
        <v>240</v>
      </c>
      <c r="C20" s="1" t="s">
        <v>241</v>
      </c>
      <c r="D20" s="3" t="s">
        <v>242</v>
      </c>
      <c r="E20" s="1" t="s">
        <v>174</v>
      </c>
      <c r="F20" s="1" t="s">
        <v>118</v>
      </c>
      <c r="G20" s="1" t="s">
        <v>42</v>
      </c>
      <c r="H20" s="1" t="s">
        <v>65</v>
      </c>
      <c r="I20" s="1" t="s">
        <v>243</v>
      </c>
      <c r="J20" s="1"/>
      <c r="K20" s="1" t="s">
        <v>244</v>
      </c>
      <c r="L20" s="1" t="s">
        <v>245</v>
      </c>
      <c r="M20" s="1" t="s">
        <v>31</v>
      </c>
      <c r="N20" s="1"/>
      <c r="O20" s="1" t="s">
        <v>246</v>
      </c>
      <c r="P20" s="1" t="s">
        <v>110</v>
      </c>
      <c r="Q20" s="1"/>
      <c r="R20" s="1" t="s">
        <v>247</v>
      </c>
      <c r="S20" s="1"/>
      <c r="T20" s="1" t="s">
        <v>248</v>
      </c>
      <c r="U20" s="1" t="s">
        <v>249</v>
      </c>
    </row>
    <row r="21" ht="14.25" customHeight="1">
      <c r="A21" s="1" t="s">
        <v>21</v>
      </c>
      <c r="B21" s="1" t="s">
        <v>250</v>
      </c>
      <c r="C21" s="1" t="s">
        <v>251</v>
      </c>
      <c r="D21" s="3" t="s">
        <v>252</v>
      </c>
      <c r="E21" s="1" t="s">
        <v>91</v>
      </c>
      <c r="F21" s="1" t="s">
        <v>41</v>
      </c>
      <c r="G21" s="1" t="s">
        <v>42</v>
      </c>
      <c r="H21" s="1" t="s">
        <v>65</v>
      </c>
      <c r="I21" s="1" t="s">
        <v>253</v>
      </c>
      <c r="J21" s="1" t="s">
        <v>254</v>
      </c>
      <c r="K21" s="1" t="s">
        <v>255</v>
      </c>
      <c r="L21" s="1" t="s">
        <v>256</v>
      </c>
      <c r="M21" s="1" t="s">
        <v>31</v>
      </c>
      <c r="N21" s="1"/>
      <c r="O21" s="1" t="s">
        <v>257</v>
      </c>
      <c r="P21" s="1" t="s">
        <v>258</v>
      </c>
      <c r="Q21" s="1"/>
      <c r="R21" s="1" t="s">
        <v>259</v>
      </c>
      <c r="S21" s="1"/>
      <c r="T21" s="1" t="s">
        <v>260</v>
      </c>
      <c r="U21" s="1" t="s">
        <v>261</v>
      </c>
    </row>
    <row r="22" ht="14.25" customHeight="1">
      <c r="A22" s="1" t="s">
        <v>21</v>
      </c>
      <c r="B22" s="1" t="s">
        <v>262</v>
      </c>
      <c r="C22" s="1" t="s">
        <v>263</v>
      </c>
      <c r="D22" s="3" t="s">
        <v>264</v>
      </c>
      <c r="E22" s="1" t="s">
        <v>99</v>
      </c>
      <c r="F22" s="1" t="s">
        <v>41</v>
      </c>
      <c r="G22" s="1" t="s">
        <v>42</v>
      </c>
      <c r="H22" s="1" t="s">
        <v>101</v>
      </c>
      <c r="I22" s="1" t="s">
        <v>265</v>
      </c>
      <c r="J22" s="1" t="s">
        <v>266</v>
      </c>
      <c r="K22" s="1" t="s">
        <v>267</v>
      </c>
      <c r="L22" s="1" t="s">
        <v>268</v>
      </c>
      <c r="M22" s="1" t="s">
        <v>59</v>
      </c>
      <c r="N22" s="1" t="s">
        <v>269</v>
      </c>
      <c r="O22" s="1" t="s">
        <v>270</v>
      </c>
      <c r="P22" s="1" t="s">
        <v>135</v>
      </c>
      <c r="Q22" s="1"/>
      <c r="R22" s="1" t="s">
        <v>271</v>
      </c>
      <c r="S22" s="1" t="s">
        <v>99</v>
      </c>
      <c r="T22" s="1" t="s">
        <v>272</v>
      </c>
      <c r="U22" s="1" t="s">
        <v>273</v>
      </c>
    </row>
    <row r="23" ht="14.25" customHeight="1">
      <c r="A23" s="1" t="s">
        <v>21</v>
      </c>
      <c r="B23" s="1" t="s">
        <v>274</v>
      </c>
      <c r="C23" s="1" t="s">
        <v>275</v>
      </c>
      <c r="D23" s="3" t="s">
        <v>276</v>
      </c>
      <c r="E23" s="1" t="s">
        <v>91</v>
      </c>
      <c r="F23" s="1" t="s">
        <v>41</v>
      </c>
      <c r="G23" s="1" t="s">
        <v>42</v>
      </c>
      <c r="H23" s="1" t="s">
        <v>101</v>
      </c>
      <c r="I23" s="1" t="s">
        <v>277</v>
      </c>
      <c r="J23" s="1" t="s">
        <v>278</v>
      </c>
      <c r="K23" s="1" t="s">
        <v>279</v>
      </c>
      <c r="L23" s="1" t="s">
        <v>280</v>
      </c>
      <c r="M23" s="1" t="s">
        <v>59</v>
      </c>
      <c r="N23" s="1" t="s">
        <v>281</v>
      </c>
      <c r="O23" s="1" t="s">
        <v>282</v>
      </c>
      <c r="P23" s="1" t="s">
        <v>283</v>
      </c>
      <c r="Q23" s="1"/>
      <c r="R23" s="1" t="s">
        <v>284</v>
      </c>
      <c r="S23" s="1"/>
      <c r="T23" s="1" t="s">
        <v>285</v>
      </c>
      <c r="U23" s="1" t="s">
        <v>286</v>
      </c>
    </row>
    <row r="24" ht="14.25" customHeight="1">
      <c r="A24" s="1" t="s">
        <v>21</v>
      </c>
      <c r="B24" s="1" t="s">
        <v>287</v>
      </c>
      <c r="C24" s="1" t="s">
        <v>288</v>
      </c>
      <c r="D24" s="1"/>
      <c r="E24" s="1"/>
      <c r="F24" s="1" t="s">
        <v>41</v>
      </c>
      <c r="G24" s="1" t="s">
        <v>42</v>
      </c>
      <c r="H24" s="1" t="s">
        <v>62</v>
      </c>
      <c r="I24" s="1" t="s">
        <v>289</v>
      </c>
      <c r="J24" s="1"/>
      <c r="K24" s="1" t="s">
        <v>290</v>
      </c>
      <c r="L24" s="1" t="s">
        <v>291</v>
      </c>
      <c r="M24" s="1" t="s">
        <v>31</v>
      </c>
      <c r="N24" s="1"/>
      <c r="O24" s="1" t="s">
        <v>292</v>
      </c>
      <c r="P24" s="1" t="s">
        <v>135</v>
      </c>
      <c r="Q24" s="1"/>
      <c r="R24" s="1" t="s">
        <v>111</v>
      </c>
      <c r="S24" s="1"/>
      <c r="T24" s="1" t="s">
        <v>293</v>
      </c>
      <c r="U24" s="1" t="s">
        <v>294</v>
      </c>
    </row>
    <row r="25" ht="14.25" customHeight="1">
      <c r="A25" s="1" t="s">
        <v>21</v>
      </c>
      <c r="B25" s="1" t="s">
        <v>295</v>
      </c>
      <c r="C25" s="1" t="s">
        <v>296</v>
      </c>
      <c r="D25" s="3" t="s">
        <v>297</v>
      </c>
      <c r="E25" s="1" t="s">
        <v>117</v>
      </c>
      <c r="F25" s="1" t="s">
        <v>41</v>
      </c>
      <c r="G25" s="1" t="s">
        <v>42</v>
      </c>
      <c r="H25" s="1" t="s">
        <v>298</v>
      </c>
      <c r="I25" s="1" t="s">
        <v>243</v>
      </c>
      <c r="J25" s="1" t="s">
        <v>299</v>
      </c>
      <c r="K25" s="1" t="s">
        <v>300</v>
      </c>
      <c r="L25" s="1" t="s">
        <v>301</v>
      </c>
      <c r="M25" s="1" t="s">
        <v>59</v>
      </c>
      <c r="N25" s="1" t="s">
        <v>302</v>
      </c>
      <c r="O25" s="1" t="s">
        <v>303</v>
      </c>
      <c r="P25" s="1" t="s">
        <v>196</v>
      </c>
      <c r="Q25" s="1"/>
      <c r="R25" s="1" t="s">
        <v>304</v>
      </c>
      <c r="S25" s="1" t="s">
        <v>117</v>
      </c>
      <c r="T25" s="1" t="s">
        <v>305</v>
      </c>
      <c r="U25" s="1" t="s">
        <v>306</v>
      </c>
    </row>
    <row r="26" ht="14.25" customHeight="1">
      <c r="A26" s="1" t="s">
        <v>21</v>
      </c>
      <c r="B26" s="1" t="s">
        <v>307</v>
      </c>
      <c r="C26" s="1" t="s">
        <v>308</v>
      </c>
      <c r="D26" s="3" t="s">
        <v>309</v>
      </c>
      <c r="E26" s="1" t="s">
        <v>99</v>
      </c>
      <c r="F26" s="1" t="s">
        <v>41</v>
      </c>
      <c r="G26" s="1" t="s">
        <v>42</v>
      </c>
      <c r="H26" s="1" t="s">
        <v>298</v>
      </c>
      <c r="I26" s="1" t="s">
        <v>310</v>
      </c>
      <c r="J26" s="1" t="s">
        <v>311</v>
      </c>
      <c r="K26" s="1" t="s">
        <v>312</v>
      </c>
      <c r="L26" s="1" t="s">
        <v>313</v>
      </c>
      <c r="M26" s="1" t="s">
        <v>59</v>
      </c>
      <c r="N26" s="1" t="s">
        <v>314</v>
      </c>
      <c r="O26" s="1" t="s">
        <v>315</v>
      </c>
      <c r="P26" s="1" t="s">
        <v>247</v>
      </c>
      <c r="Q26" s="1"/>
      <c r="R26" s="1" t="s">
        <v>28</v>
      </c>
      <c r="S26" s="1" t="s">
        <v>99</v>
      </c>
      <c r="T26" s="1" t="s">
        <v>316</v>
      </c>
      <c r="U26" s="1" t="s">
        <v>317</v>
      </c>
    </row>
    <row r="27" ht="14.25" customHeight="1">
      <c r="A27" s="1" t="s">
        <v>21</v>
      </c>
      <c r="B27" s="1" t="s">
        <v>318</v>
      </c>
      <c r="C27" s="1" t="s">
        <v>319</v>
      </c>
      <c r="D27" s="3" t="s">
        <v>320</v>
      </c>
      <c r="E27" s="1" t="s">
        <v>54</v>
      </c>
      <c r="F27" s="1" t="s">
        <v>41</v>
      </c>
      <c r="G27" s="1" t="s">
        <v>42</v>
      </c>
      <c r="H27" s="1" t="s">
        <v>298</v>
      </c>
      <c r="I27" s="1" t="s">
        <v>321</v>
      </c>
      <c r="J27" s="1"/>
      <c r="K27" s="1" t="s">
        <v>322</v>
      </c>
      <c r="L27" s="1" t="s">
        <v>323</v>
      </c>
      <c r="M27" s="1" t="s">
        <v>59</v>
      </c>
      <c r="N27" s="1" t="s">
        <v>324</v>
      </c>
      <c r="O27" s="1" t="s">
        <v>325</v>
      </c>
      <c r="P27" s="1"/>
      <c r="Q27" s="1"/>
      <c r="R27" s="1" t="s">
        <v>326</v>
      </c>
      <c r="S27" s="1"/>
      <c r="T27" s="1" t="s">
        <v>327</v>
      </c>
      <c r="U27" s="1" t="s">
        <v>328</v>
      </c>
    </row>
    <row r="28" ht="14.25" customHeight="1">
      <c r="A28" s="1" t="s">
        <v>21</v>
      </c>
      <c r="B28" s="1" t="s">
        <v>329</v>
      </c>
      <c r="C28" s="1" t="s">
        <v>330</v>
      </c>
      <c r="D28" s="3" t="s">
        <v>331</v>
      </c>
      <c r="E28" s="1" t="s">
        <v>54</v>
      </c>
      <c r="F28" s="1" t="s">
        <v>41</v>
      </c>
      <c r="G28" s="1" t="s">
        <v>42</v>
      </c>
      <c r="H28" s="1" t="s">
        <v>298</v>
      </c>
      <c r="I28" s="1" t="s">
        <v>332</v>
      </c>
      <c r="J28" s="1"/>
      <c r="K28" s="1" t="s">
        <v>333</v>
      </c>
      <c r="L28" s="1" t="s">
        <v>334</v>
      </c>
      <c r="M28" s="1" t="s">
        <v>59</v>
      </c>
      <c r="N28" s="1" t="s">
        <v>335</v>
      </c>
      <c r="O28" s="1" t="s">
        <v>336</v>
      </c>
      <c r="P28" s="1"/>
      <c r="Q28" s="1"/>
      <c r="R28" s="1" t="s">
        <v>259</v>
      </c>
      <c r="S28" s="1"/>
      <c r="T28" s="1" t="s">
        <v>337</v>
      </c>
      <c r="U28" s="1" t="s">
        <v>338</v>
      </c>
    </row>
    <row r="29" ht="14.25" customHeight="1">
      <c r="A29" s="1" t="s">
        <v>21</v>
      </c>
      <c r="B29" s="1" t="s">
        <v>339</v>
      </c>
      <c r="C29" s="1" t="s">
        <v>340</v>
      </c>
      <c r="D29" s="1"/>
      <c r="E29" s="1"/>
      <c r="F29" s="1" t="s">
        <v>41</v>
      </c>
      <c r="G29" s="1" t="s">
        <v>42</v>
      </c>
      <c r="H29" s="1" t="s">
        <v>125</v>
      </c>
      <c r="I29" s="1" t="s">
        <v>341</v>
      </c>
      <c r="J29" s="1" t="s">
        <v>342</v>
      </c>
      <c r="K29" s="1" t="s">
        <v>343</v>
      </c>
      <c r="L29" s="1" t="s">
        <v>344</v>
      </c>
      <c r="M29" s="1" t="s">
        <v>31</v>
      </c>
      <c r="N29" s="1"/>
      <c r="O29" s="1" t="s">
        <v>345</v>
      </c>
      <c r="P29" s="1" t="s">
        <v>346</v>
      </c>
      <c r="Q29" s="1"/>
      <c r="R29" s="1" t="s">
        <v>216</v>
      </c>
      <c r="S29" s="1"/>
      <c r="T29" s="1" t="s">
        <v>347</v>
      </c>
      <c r="U29" s="1" t="s">
        <v>348</v>
      </c>
    </row>
    <row r="30" ht="14.25" customHeight="1">
      <c r="A30" s="1" t="s">
        <v>21</v>
      </c>
      <c r="B30" s="1" t="s">
        <v>349</v>
      </c>
      <c r="C30" s="1" t="s">
        <v>350</v>
      </c>
      <c r="D30" s="3" t="s">
        <v>351</v>
      </c>
      <c r="E30" s="1" t="s">
        <v>352</v>
      </c>
      <c r="F30" s="1" t="s">
        <v>41</v>
      </c>
      <c r="G30" s="1" t="s">
        <v>42</v>
      </c>
      <c r="H30" s="1" t="s">
        <v>125</v>
      </c>
      <c r="I30" s="1" t="s">
        <v>353</v>
      </c>
      <c r="J30" s="1"/>
      <c r="K30" s="1" t="s">
        <v>354</v>
      </c>
      <c r="L30" s="1" t="s">
        <v>355</v>
      </c>
      <c r="M30" s="1" t="s">
        <v>31</v>
      </c>
      <c r="N30" s="1"/>
      <c r="O30" s="1" t="s">
        <v>356</v>
      </c>
      <c r="P30" s="1" t="s">
        <v>196</v>
      </c>
      <c r="Q30" s="1"/>
      <c r="R30" s="1" t="s">
        <v>357</v>
      </c>
      <c r="S30" s="1"/>
      <c r="T30" s="1" t="s">
        <v>358</v>
      </c>
      <c r="U30" s="1" t="s">
        <v>346</v>
      </c>
    </row>
    <row r="31" ht="14.25" customHeight="1">
      <c r="A31" s="1" t="s">
        <v>21</v>
      </c>
      <c r="B31" s="1" t="s">
        <v>359</v>
      </c>
      <c r="C31" s="1" t="s">
        <v>360</v>
      </c>
      <c r="D31" s="3" t="s">
        <v>53</v>
      </c>
      <c r="E31" s="1" t="s">
        <v>54</v>
      </c>
      <c r="F31" s="1" t="s">
        <v>41</v>
      </c>
      <c r="G31" s="1" t="s">
        <v>42</v>
      </c>
      <c r="H31" s="1" t="s">
        <v>361</v>
      </c>
      <c r="I31" s="1" t="s">
        <v>362</v>
      </c>
      <c r="J31" s="1"/>
      <c r="K31" s="1" t="s">
        <v>363</v>
      </c>
      <c r="L31" s="1" t="s">
        <v>364</v>
      </c>
      <c r="M31" s="1" t="s">
        <v>59</v>
      </c>
      <c r="N31" s="1" t="s">
        <v>365</v>
      </c>
      <c r="O31" s="1" t="s">
        <v>366</v>
      </c>
      <c r="P31" s="1" t="s">
        <v>361</v>
      </c>
      <c r="Q31" s="1"/>
      <c r="R31" s="1" t="s">
        <v>367</v>
      </c>
      <c r="S31" s="1"/>
      <c r="T31" s="1" t="s">
        <v>368</v>
      </c>
      <c r="U31" s="1" t="s">
        <v>369</v>
      </c>
    </row>
    <row r="32" ht="14.25" customHeight="1">
      <c r="A32" s="1" t="s">
        <v>21</v>
      </c>
      <c r="B32" s="1" t="s">
        <v>370</v>
      </c>
      <c r="C32" s="1" t="s">
        <v>371</v>
      </c>
      <c r="D32" s="3" t="s">
        <v>372</v>
      </c>
      <c r="E32" s="1" t="s">
        <v>99</v>
      </c>
      <c r="F32" s="1" t="s">
        <v>41</v>
      </c>
      <c r="G32" s="1" t="s">
        <v>42</v>
      </c>
      <c r="H32" s="1" t="s">
        <v>361</v>
      </c>
      <c r="I32" s="1" t="s">
        <v>373</v>
      </c>
      <c r="J32" s="1" t="s">
        <v>374</v>
      </c>
      <c r="K32" s="1" t="s">
        <v>375</v>
      </c>
      <c r="L32" s="1" t="s">
        <v>376</v>
      </c>
      <c r="M32" s="1" t="s">
        <v>59</v>
      </c>
      <c r="N32" s="1" t="s">
        <v>377</v>
      </c>
      <c r="O32" s="1" t="s">
        <v>378</v>
      </c>
      <c r="P32" s="1" t="s">
        <v>124</v>
      </c>
      <c r="Q32" s="1"/>
      <c r="R32" s="1" t="s">
        <v>202</v>
      </c>
      <c r="S32" s="1" t="s">
        <v>99</v>
      </c>
      <c r="T32" s="1" t="s">
        <v>379</v>
      </c>
      <c r="U32" s="1" t="s">
        <v>380</v>
      </c>
    </row>
    <row r="33" ht="14.25" customHeight="1">
      <c r="A33" s="1" t="s">
        <v>21</v>
      </c>
      <c r="B33" s="1" t="s">
        <v>381</v>
      </c>
      <c r="C33" s="1" t="s">
        <v>382</v>
      </c>
      <c r="D33" s="3" t="s">
        <v>383</v>
      </c>
      <c r="E33" s="1" t="s">
        <v>384</v>
      </c>
      <c r="F33" s="1" t="s">
        <v>41</v>
      </c>
      <c r="G33" s="1" t="s">
        <v>42</v>
      </c>
      <c r="H33" s="1" t="s">
        <v>361</v>
      </c>
      <c r="I33" s="1" t="s">
        <v>385</v>
      </c>
      <c r="J33" s="1" t="s">
        <v>386</v>
      </c>
      <c r="K33" s="1" t="s">
        <v>387</v>
      </c>
      <c r="L33" s="1" t="s">
        <v>388</v>
      </c>
      <c r="M33" s="1" t="s">
        <v>59</v>
      </c>
      <c r="N33" s="1" t="s">
        <v>389</v>
      </c>
      <c r="O33" s="1" t="s">
        <v>390</v>
      </c>
      <c r="P33" s="1" t="s">
        <v>105</v>
      </c>
      <c r="Q33" s="1"/>
      <c r="R33" s="1" t="s">
        <v>391</v>
      </c>
      <c r="S33" s="1" t="s">
        <v>174</v>
      </c>
      <c r="T33" s="1" t="s">
        <v>392</v>
      </c>
      <c r="U33" s="1" t="s">
        <v>393</v>
      </c>
    </row>
    <row r="34" ht="14.25" customHeight="1">
      <c r="A34" s="1" t="s">
        <v>21</v>
      </c>
      <c r="B34" s="1" t="s">
        <v>394</v>
      </c>
      <c r="C34" s="1" t="s">
        <v>395</v>
      </c>
      <c r="D34" s="3" t="s">
        <v>396</v>
      </c>
      <c r="E34" s="1" t="s">
        <v>91</v>
      </c>
      <c r="F34" s="1" t="s">
        <v>41</v>
      </c>
      <c r="G34" s="1" t="s">
        <v>42</v>
      </c>
      <c r="H34" s="1" t="s">
        <v>135</v>
      </c>
      <c r="I34" s="1" t="s">
        <v>397</v>
      </c>
      <c r="J34" s="1" t="s">
        <v>398</v>
      </c>
      <c r="K34" s="1" t="s">
        <v>399</v>
      </c>
      <c r="L34" s="1" t="s">
        <v>400</v>
      </c>
      <c r="M34" s="1" t="s">
        <v>59</v>
      </c>
      <c r="N34" s="1" t="s">
        <v>401</v>
      </c>
      <c r="O34" s="1" t="s">
        <v>402</v>
      </c>
      <c r="P34" s="1" t="s">
        <v>163</v>
      </c>
      <c r="Q34" s="1"/>
      <c r="R34" s="1" t="s">
        <v>403</v>
      </c>
      <c r="S34" s="1" t="s">
        <v>91</v>
      </c>
      <c r="T34" s="1" t="s">
        <v>404</v>
      </c>
      <c r="U34" s="1" t="s">
        <v>405</v>
      </c>
    </row>
    <row r="35" ht="14.25" customHeight="1">
      <c r="A35" s="1" t="s">
        <v>21</v>
      </c>
      <c r="B35" s="1" t="s">
        <v>406</v>
      </c>
      <c r="C35" s="1" t="s">
        <v>407</v>
      </c>
      <c r="D35" s="3" t="s">
        <v>408</v>
      </c>
      <c r="E35" s="1" t="s">
        <v>25</v>
      </c>
      <c r="F35" s="1" t="s">
        <v>41</v>
      </c>
      <c r="G35" s="1" t="s">
        <v>42</v>
      </c>
      <c r="H35" s="1" t="s">
        <v>135</v>
      </c>
      <c r="I35" s="1" t="s">
        <v>409</v>
      </c>
      <c r="J35" s="1" t="s">
        <v>410</v>
      </c>
      <c r="K35" s="1" t="s">
        <v>411</v>
      </c>
      <c r="L35" s="1"/>
      <c r="M35" s="1" t="s">
        <v>31</v>
      </c>
      <c r="N35" s="1"/>
      <c r="O35" s="1"/>
      <c r="P35" s="1"/>
      <c r="Q35" s="1"/>
      <c r="R35" s="1" t="s">
        <v>412</v>
      </c>
      <c r="S35" s="1" t="s">
        <v>117</v>
      </c>
      <c r="T35" s="1" t="s">
        <v>413</v>
      </c>
      <c r="U35" s="1" t="s">
        <v>34</v>
      </c>
    </row>
    <row r="36" ht="14.25" customHeight="1">
      <c r="A36" s="1" t="s">
        <v>21</v>
      </c>
      <c r="B36" s="1" t="s">
        <v>414</v>
      </c>
      <c r="C36" s="1" t="s">
        <v>415</v>
      </c>
      <c r="D36" s="3" t="s">
        <v>416</v>
      </c>
      <c r="E36" s="1" t="s">
        <v>91</v>
      </c>
      <c r="F36" s="1" t="s">
        <v>41</v>
      </c>
      <c r="G36" s="1" t="s">
        <v>417</v>
      </c>
      <c r="H36" s="1" t="s">
        <v>156</v>
      </c>
      <c r="I36" s="1" t="s">
        <v>418</v>
      </c>
      <c r="J36" s="1" t="s">
        <v>419</v>
      </c>
      <c r="K36" s="1" t="s">
        <v>420</v>
      </c>
      <c r="L36" s="1" t="s">
        <v>421</v>
      </c>
      <c r="M36" s="1" t="s">
        <v>59</v>
      </c>
      <c r="N36" s="1" t="s">
        <v>422</v>
      </c>
      <c r="O36" s="1" t="s">
        <v>423</v>
      </c>
      <c r="P36" s="1" t="s">
        <v>135</v>
      </c>
      <c r="Q36" s="1"/>
      <c r="R36" s="1" t="s">
        <v>424</v>
      </c>
      <c r="S36" s="1" t="s">
        <v>91</v>
      </c>
      <c r="T36" s="1" t="s">
        <v>425</v>
      </c>
      <c r="U36" s="1" t="s">
        <v>163</v>
      </c>
    </row>
    <row r="37" ht="14.25" customHeight="1">
      <c r="A37" s="1" t="s">
        <v>21</v>
      </c>
      <c r="B37" s="1" t="s">
        <v>426</v>
      </c>
      <c r="C37" s="1" t="s">
        <v>427</v>
      </c>
      <c r="D37" s="3" t="s">
        <v>428</v>
      </c>
      <c r="E37" s="1" t="s">
        <v>429</v>
      </c>
      <c r="F37" s="1" t="s">
        <v>41</v>
      </c>
      <c r="G37" s="1" t="s">
        <v>232</v>
      </c>
      <c r="H37" s="1" t="s">
        <v>156</v>
      </c>
      <c r="I37" s="1" t="s">
        <v>430</v>
      </c>
      <c r="J37" s="1"/>
      <c r="K37" s="1" t="s">
        <v>431</v>
      </c>
      <c r="L37" s="1" t="s">
        <v>432</v>
      </c>
      <c r="M37" s="1" t="s">
        <v>31</v>
      </c>
      <c r="N37" s="1"/>
      <c r="O37" s="1" t="s">
        <v>433</v>
      </c>
      <c r="P37" s="1" t="s">
        <v>124</v>
      </c>
      <c r="Q37" s="1"/>
      <c r="R37" s="1" t="s">
        <v>84</v>
      </c>
      <c r="S37" s="1"/>
      <c r="T37" s="1" t="s">
        <v>434</v>
      </c>
      <c r="U37" s="1" t="s">
        <v>435</v>
      </c>
    </row>
    <row r="38" ht="14.25" customHeight="1">
      <c r="A38" s="1" t="s">
        <v>21</v>
      </c>
      <c r="B38" s="1" t="s">
        <v>436</v>
      </c>
      <c r="C38" s="1" t="s">
        <v>437</v>
      </c>
      <c r="D38" s="3" t="s">
        <v>438</v>
      </c>
      <c r="E38" s="1" t="s">
        <v>352</v>
      </c>
      <c r="F38" s="1" t="s">
        <v>41</v>
      </c>
      <c r="G38" s="1" t="s">
        <v>42</v>
      </c>
      <c r="H38" s="1" t="s">
        <v>247</v>
      </c>
      <c r="I38" s="1" t="s">
        <v>439</v>
      </c>
      <c r="J38" s="1" t="s">
        <v>440</v>
      </c>
      <c r="K38" s="1" t="s">
        <v>441</v>
      </c>
      <c r="L38" s="1" t="s">
        <v>442</v>
      </c>
      <c r="M38" s="1" t="s">
        <v>59</v>
      </c>
      <c r="N38" s="1" t="s">
        <v>443</v>
      </c>
      <c r="O38" s="1" t="s">
        <v>444</v>
      </c>
      <c r="P38" s="1" t="s">
        <v>130</v>
      </c>
      <c r="Q38" s="1"/>
      <c r="R38" s="1" t="s">
        <v>445</v>
      </c>
      <c r="S38" s="1" t="s">
        <v>352</v>
      </c>
      <c r="T38" s="1" t="s">
        <v>446</v>
      </c>
      <c r="U38" s="1" t="s">
        <v>447</v>
      </c>
    </row>
    <row r="39" ht="14.25" customHeight="1">
      <c r="A39" s="1" t="s">
        <v>21</v>
      </c>
      <c r="B39" s="1" t="s">
        <v>448</v>
      </c>
      <c r="C39" s="1" t="s">
        <v>449</v>
      </c>
      <c r="D39" s="3" t="s">
        <v>450</v>
      </c>
      <c r="E39" s="1" t="s">
        <v>174</v>
      </c>
      <c r="F39" s="1" t="s">
        <v>26</v>
      </c>
      <c r="G39" s="1" t="s">
        <v>42</v>
      </c>
      <c r="H39" s="1" t="s">
        <v>247</v>
      </c>
      <c r="I39" s="1" t="s">
        <v>397</v>
      </c>
      <c r="J39" s="1" t="s">
        <v>451</v>
      </c>
      <c r="K39" s="1" t="s">
        <v>452</v>
      </c>
      <c r="L39" s="1" t="s">
        <v>453</v>
      </c>
      <c r="M39" s="1" t="s">
        <v>59</v>
      </c>
      <c r="N39" s="1" t="s">
        <v>454</v>
      </c>
      <c r="O39" s="1"/>
      <c r="P39" s="1"/>
      <c r="Q39" s="1"/>
      <c r="R39" s="1" t="s">
        <v>455</v>
      </c>
      <c r="S39" s="1" t="s">
        <v>174</v>
      </c>
      <c r="T39" s="1" t="s">
        <v>456</v>
      </c>
      <c r="U39" s="1" t="s">
        <v>34</v>
      </c>
    </row>
    <row r="40" ht="14.25" customHeight="1">
      <c r="A40" s="1" t="s">
        <v>21</v>
      </c>
      <c r="B40" s="1" t="s">
        <v>457</v>
      </c>
      <c r="C40" s="1" t="s">
        <v>458</v>
      </c>
      <c r="D40" s="3" t="s">
        <v>459</v>
      </c>
      <c r="E40" s="1" t="s">
        <v>54</v>
      </c>
      <c r="F40" s="1" t="s">
        <v>41</v>
      </c>
      <c r="G40" s="1" t="s">
        <v>42</v>
      </c>
      <c r="H40" s="1" t="s">
        <v>34</v>
      </c>
      <c r="I40" s="1" t="s">
        <v>460</v>
      </c>
      <c r="J40" s="1"/>
      <c r="K40" s="1" t="s">
        <v>461</v>
      </c>
      <c r="L40" s="1" t="s">
        <v>462</v>
      </c>
      <c r="M40" s="1" t="s">
        <v>31</v>
      </c>
      <c r="N40" s="1"/>
      <c r="O40" s="1" t="s">
        <v>463</v>
      </c>
      <c r="P40" s="1" t="s">
        <v>247</v>
      </c>
      <c r="Q40" s="1"/>
      <c r="R40" s="1" t="s">
        <v>203</v>
      </c>
      <c r="S40" s="1"/>
      <c r="T40" s="1" t="s">
        <v>464</v>
      </c>
      <c r="U40" s="1" t="s">
        <v>465</v>
      </c>
    </row>
    <row r="41" ht="14.25" customHeight="1">
      <c r="A41" s="1" t="s">
        <v>21</v>
      </c>
      <c r="B41" s="1" t="s">
        <v>466</v>
      </c>
      <c r="C41" s="1" t="s">
        <v>467</v>
      </c>
      <c r="D41" s="3" t="s">
        <v>468</v>
      </c>
      <c r="E41" s="1" t="s">
        <v>91</v>
      </c>
      <c r="F41" s="1" t="s">
        <v>41</v>
      </c>
      <c r="G41" s="1" t="s">
        <v>42</v>
      </c>
      <c r="H41" s="1" t="s">
        <v>34</v>
      </c>
      <c r="I41" s="1" t="s">
        <v>469</v>
      </c>
      <c r="J41" s="1" t="s">
        <v>470</v>
      </c>
      <c r="K41" s="1" t="s">
        <v>471</v>
      </c>
      <c r="L41" s="1" t="s">
        <v>472</v>
      </c>
      <c r="M41" s="1" t="s">
        <v>59</v>
      </c>
      <c r="N41" s="1" t="s">
        <v>473</v>
      </c>
      <c r="O41" s="1" t="s">
        <v>474</v>
      </c>
      <c r="P41" s="1" t="s">
        <v>110</v>
      </c>
      <c r="Q41" s="1"/>
      <c r="R41" s="1" t="s">
        <v>475</v>
      </c>
      <c r="S41" s="1" t="s">
        <v>91</v>
      </c>
      <c r="T41" s="1" t="s">
        <v>476</v>
      </c>
      <c r="U41" s="1" t="s">
        <v>477</v>
      </c>
    </row>
    <row r="42" ht="14.25" customHeight="1">
      <c r="A42" s="1" t="s">
        <v>21</v>
      </c>
      <c r="B42" s="1" t="s">
        <v>478</v>
      </c>
      <c r="C42" s="1" t="s">
        <v>479</v>
      </c>
      <c r="D42" s="1"/>
      <c r="E42" s="1"/>
      <c r="F42" s="1" t="s">
        <v>41</v>
      </c>
      <c r="G42" s="1" t="s">
        <v>42</v>
      </c>
      <c r="H42" s="1" t="s">
        <v>34</v>
      </c>
      <c r="I42" s="1" t="s">
        <v>480</v>
      </c>
      <c r="J42" s="1" t="s">
        <v>481</v>
      </c>
      <c r="K42" s="1" t="s">
        <v>482</v>
      </c>
      <c r="L42" s="1" t="s">
        <v>483</v>
      </c>
      <c r="M42" s="1" t="s">
        <v>31</v>
      </c>
      <c r="N42" s="1"/>
      <c r="O42" s="1" t="s">
        <v>484</v>
      </c>
      <c r="P42" s="1" t="s">
        <v>215</v>
      </c>
      <c r="Q42" s="1"/>
      <c r="R42" s="1" t="s">
        <v>485</v>
      </c>
      <c r="S42" s="1"/>
      <c r="T42" s="1" t="s">
        <v>486</v>
      </c>
      <c r="U42" s="1" t="s">
        <v>487</v>
      </c>
    </row>
    <row r="43" ht="14.25" customHeight="1">
      <c r="A43" s="1" t="s">
        <v>21</v>
      </c>
      <c r="B43" s="1" t="s">
        <v>488</v>
      </c>
      <c r="C43" s="1" t="s">
        <v>489</v>
      </c>
      <c r="D43" s="3" t="s">
        <v>490</v>
      </c>
      <c r="E43" s="1" t="s">
        <v>91</v>
      </c>
      <c r="F43" s="1" t="s">
        <v>41</v>
      </c>
      <c r="G43" s="1" t="s">
        <v>42</v>
      </c>
      <c r="H43" s="1" t="s">
        <v>34</v>
      </c>
      <c r="I43" s="1" t="s">
        <v>491</v>
      </c>
      <c r="J43" s="1"/>
      <c r="K43" s="1" t="s">
        <v>492</v>
      </c>
      <c r="L43" s="1" t="s">
        <v>493</v>
      </c>
      <c r="M43" s="1" t="s">
        <v>31</v>
      </c>
      <c r="N43" s="1"/>
      <c r="O43" s="1" t="s">
        <v>494</v>
      </c>
      <c r="P43" s="1" t="s">
        <v>182</v>
      </c>
      <c r="Q43" s="1"/>
      <c r="R43" s="1" t="s">
        <v>495</v>
      </c>
      <c r="S43" s="1"/>
      <c r="T43" s="1" t="s">
        <v>496</v>
      </c>
      <c r="U43" s="1" t="s">
        <v>465</v>
      </c>
    </row>
    <row r="44" ht="14.25" customHeight="1">
      <c r="A44" s="1" t="s">
        <v>21</v>
      </c>
      <c r="B44" s="1" t="s">
        <v>497</v>
      </c>
      <c r="C44" s="1" t="s">
        <v>498</v>
      </c>
      <c r="D44" s="3" t="s">
        <v>499</v>
      </c>
      <c r="E44" s="1" t="s">
        <v>54</v>
      </c>
      <c r="F44" s="1" t="s">
        <v>41</v>
      </c>
      <c r="G44" s="1" t="s">
        <v>42</v>
      </c>
      <c r="H44" s="1" t="s">
        <v>34</v>
      </c>
      <c r="I44" s="1" t="s">
        <v>500</v>
      </c>
      <c r="J44" s="1" t="s">
        <v>501</v>
      </c>
      <c r="K44" s="1" t="s">
        <v>502</v>
      </c>
      <c r="L44" s="1" t="s">
        <v>503</v>
      </c>
      <c r="M44" s="1" t="s">
        <v>59</v>
      </c>
      <c r="N44" s="1" t="s">
        <v>504</v>
      </c>
      <c r="O44" s="1"/>
      <c r="P44" s="1"/>
      <c r="Q44" s="1"/>
      <c r="R44" s="1" t="s">
        <v>505</v>
      </c>
      <c r="S44" s="1" t="s">
        <v>40</v>
      </c>
      <c r="T44" s="1" t="s">
        <v>506</v>
      </c>
      <c r="U44" s="1" t="s">
        <v>507</v>
      </c>
    </row>
    <row r="45" ht="14.25" customHeight="1">
      <c r="A45" s="1" t="s">
        <v>21</v>
      </c>
      <c r="B45" s="1" t="s">
        <v>508</v>
      </c>
      <c r="C45" s="1" t="s">
        <v>509</v>
      </c>
      <c r="D45" s="3" t="s">
        <v>510</v>
      </c>
      <c r="E45" s="1" t="s">
        <v>99</v>
      </c>
      <c r="F45" s="1" t="s">
        <v>41</v>
      </c>
      <c r="G45" s="1" t="s">
        <v>42</v>
      </c>
      <c r="H45" s="1" t="s">
        <v>34</v>
      </c>
      <c r="I45" s="1" t="s">
        <v>511</v>
      </c>
      <c r="J45" s="1" t="s">
        <v>512</v>
      </c>
      <c r="K45" s="1" t="s">
        <v>513</v>
      </c>
      <c r="L45" s="1" t="s">
        <v>514</v>
      </c>
      <c r="M45" s="1" t="s">
        <v>59</v>
      </c>
      <c r="N45" s="1" t="s">
        <v>515</v>
      </c>
      <c r="O45" s="1" t="s">
        <v>516</v>
      </c>
      <c r="P45" s="1" t="s">
        <v>517</v>
      </c>
      <c r="Q45" s="1"/>
      <c r="R45" s="1" t="s">
        <v>163</v>
      </c>
      <c r="S45" s="1" t="s">
        <v>99</v>
      </c>
      <c r="T45" s="1" t="s">
        <v>518</v>
      </c>
      <c r="U45" s="1" t="s">
        <v>519</v>
      </c>
    </row>
    <row r="46" ht="14.25" customHeight="1">
      <c r="A46" s="1" t="s">
        <v>21</v>
      </c>
      <c r="B46" s="1" t="s">
        <v>520</v>
      </c>
      <c r="C46" s="1" t="s">
        <v>521</v>
      </c>
      <c r="D46" s="3" t="s">
        <v>522</v>
      </c>
      <c r="E46" s="1" t="s">
        <v>117</v>
      </c>
      <c r="F46" s="1" t="s">
        <v>41</v>
      </c>
      <c r="G46" s="1" t="s">
        <v>42</v>
      </c>
      <c r="H46" s="1" t="s">
        <v>34</v>
      </c>
      <c r="I46" s="1" t="s">
        <v>523</v>
      </c>
      <c r="J46" s="1"/>
      <c r="K46" s="1" t="s">
        <v>524</v>
      </c>
      <c r="L46" s="1" t="s">
        <v>525</v>
      </c>
      <c r="M46" s="1" t="s">
        <v>59</v>
      </c>
      <c r="N46" s="1" t="s">
        <v>526</v>
      </c>
      <c r="O46" s="1" t="s">
        <v>527</v>
      </c>
      <c r="P46" s="1" t="s">
        <v>182</v>
      </c>
      <c r="Q46" s="1"/>
      <c r="R46" s="1" t="s">
        <v>157</v>
      </c>
      <c r="S46" s="1"/>
      <c r="T46" s="1" t="s">
        <v>528</v>
      </c>
      <c r="U46" s="1" t="s">
        <v>529</v>
      </c>
    </row>
    <row r="47" ht="14.25" customHeight="1">
      <c r="A47" s="1" t="s">
        <v>21</v>
      </c>
      <c r="B47" s="1" t="s">
        <v>530</v>
      </c>
      <c r="C47" s="1" t="s">
        <v>531</v>
      </c>
      <c r="D47" s="3" t="s">
        <v>532</v>
      </c>
      <c r="E47" s="1" t="s">
        <v>40</v>
      </c>
      <c r="F47" s="1" t="s">
        <v>41</v>
      </c>
      <c r="G47" s="1" t="s">
        <v>42</v>
      </c>
      <c r="H47" s="1" t="s">
        <v>34</v>
      </c>
      <c r="I47" s="1" t="s">
        <v>180</v>
      </c>
      <c r="J47" s="1"/>
      <c r="K47" s="1" t="s">
        <v>533</v>
      </c>
      <c r="L47" s="1" t="s">
        <v>534</v>
      </c>
      <c r="M47" s="1" t="s">
        <v>31</v>
      </c>
      <c r="N47" s="1"/>
      <c r="O47" s="1"/>
      <c r="P47" s="1"/>
      <c r="Q47" s="1"/>
      <c r="R47" s="1" t="s">
        <v>535</v>
      </c>
      <c r="S47" s="1"/>
      <c r="T47" s="1" t="s">
        <v>536</v>
      </c>
      <c r="U47" s="1" t="s">
        <v>247</v>
      </c>
    </row>
    <row r="48" ht="14.25" customHeight="1">
      <c r="A48" s="1" t="s">
        <v>21</v>
      </c>
      <c r="B48" s="1" t="s">
        <v>537</v>
      </c>
      <c r="C48" s="1" t="s">
        <v>538</v>
      </c>
      <c r="D48" s="3" t="s">
        <v>539</v>
      </c>
      <c r="E48" s="1" t="s">
        <v>174</v>
      </c>
      <c r="F48" s="1" t="s">
        <v>41</v>
      </c>
      <c r="G48" s="1" t="s">
        <v>42</v>
      </c>
      <c r="H48" s="1" t="s">
        <v>34</v>
      </c>
      <c r="I48" s="1" t="s">
        <v>540</v>
      </c>
      <c r="J48" s="1" t="s">
        <v>541</v>
      </c>
      <c r="K48" s="1" t="s">
        <v>542</v>
      </c>
      <c r="L48" s="1" t="s">
        <v>543</v>
      </c>
      <c r="M48" s="1" t="s">
        <v>31</v>
      </c>
      <c r="N48" s="1"/>
      <c r="O48" s="1" t="s">
        <v>544</v>
      </c>
      <c r="P48" s="1" t="s">
        <v>247</v>
      </c>
      <c r="Q48" s="1"/>
      <c r="R48" s="1" t="s">
        <v>545</v>
      </c>
      <c r="S48" s="1"/>
      <c r="T48" s="1" t="s">
        <v>546</v>
      </c>
      <c r="U48" s="1" t="s">
        <v>547</v>
      </c>
    </row>
    <row r="49" ht="14.25" customHeight="1">
      <c r="A49" s="1" t="s">
        <v>21</v>
      </c>
      <c r="B49" s="1" t="s">
        <v>548</v>
      </c>
      <c r="C49" s="1" t="s">
        <v>549</v>
      </c>
      <c r="D49" s="3" t="s">
        <v>550</v>
      </c>
      <c r="E49" s="1" t="s">
        <v>174</v>
      </c>
      <c r="F49" s="1" t="s">
        <v>41</v>
      </c>
      <c r="G49" s="1" t="s">
        <v>42</v>
      </c>
      <c r="H49" s="1" t="s">
        <v>110</v>
      </c>
      <c r="I49" s="1" t="s">
        <v>551</v>
      </c>
      <c r="J49" s="1" t="s">
        <v>552</v>
      </c>
      <c r="K49" s="1" t="s">
        <v>553</v>
      </c>
      <c r="L49" s="1" t="s">
        <v>554</v>
      </c>
      <c r="M49" s="1" t="s">
        <v>59</v>
      </c>
      <c r="N49" s="1" t="s">
        <v>555</v>
      </c>
      <c r="O49" s="1" t="s">
        <v>556</v>
      </c>
      <c r="P49" s="1" t="s">
        <v>163</v>
      </c>
      <c r="Q49" s="1"/>
      <c r="R49" s="1" t="s">
        <v>557</v>
      </c>
      <c r="S49" s="1" t="s">
        <v>174</v>
      </c>
      <c r="T49" s="1" t="s">
        <v>558</v>
      </c>
      <c r="U49" s="1" t="s">
        <v>559</v>
      </c>
    </row>
    <row r="50" ht="14.25" customHeight="1">
      <c r="A50" s="1" t="s">
        <v>21</v>
      </c>
      <c r="B50" s="1" t="s">
        <v>560</v>
      </c>
      <c r="C50" s="1" t="s">
        <v>561</v>
      </c>
      <c r="D50" s="3" t="s">
        <v>562</v>
      </c>
      <c r="E50" s="1" t="s">
        <v>174</v>
      </c>
      <c r="F50" s="1" t="s">
        <v>41</v>
      </c>
      <c r="G50" s="1" t="s">
        <v>42</v>
      </c>
      <c r="H50" s="1" t="s">
        <v>110</v>
      </c>
      <c r="I50" s="1" t="s">
        <v>563</v>
      </c>
      <c r="J50" s="1"/>
      <c r="K50" s="1" t="s">
        <v>564</v>
      </c>
      <c r="L50" s="1" t="s">
        <v>565</v>
      </c>
      <c r="M50" s="1" t="s">
        <v>31</v>
      </c>
      <c r="N50" s="1"/>
      <c r="O50" s="1" t="s">
        <v>566</v>
      </c>
      <c r="P50" s="1"/>
      <c r="Q50" s="1"/>
      <c r="R50" s="1" t="s">
        <v>271</v>
      </c>
      <c r="S50" s="1"/>
      <c r="T50" s="1" t="s">
        <v>567</v>
      </c>
      <c r="U50" s="1" t="s">
        <v>34</v>
      </c>
    </row>
    <row r="51" ht="14.25" customHeight="1">
      <c r="A51" s="1" t="s">
        <v>21</v>
      </c>
      <c r="B51" s="1" t="s">
        <v>568</v>
      </c>
      <c r="C51" s="1" t="s">
        <v>569</v>
      </c>
      <c r="D51" s="3" t="s">
        <v>570</v>
      </c>
      <c r="E51" s="1" t="s">
        <v>99</v>
      </c>
      <c r="F51" s="1" t="s">
        <v>41</v>
      </c>
      <c r="G51" s="1" t="s">
        <v>42</v>
      </c>
      <c r="H51" s="1" t="s">
        <v>110</v>
      </c>
      <c r="I51" s="1" t="s">
        <v>571</v>
      </c>
      <c r="J51" s="1" t="s">
        <v>572</v>
      </c>
      <c r="K51" s="1" t="s">
        <v>573</v>
      </c>
      <c r="L51" s="1" t="s">
        <v>574</v>
      </c>
      <c r="M51" s="1" t="s">
        <v>59</v>
      </c>
      <c r="N51" s="1" t="s">
        <v>575</v>
      </c>
      <c r="O51" s="1"/>
      <c r="P51" s="1"/>
      <c r="Q51" s="1"/>
      <c r="R51" s="1" t="s">
        <v>147</v>
      </c>
      <c r="S51" s="1" t="s">
        <v>99</v>
      </c>
      <c r="T51" s="1" t="s">
        <v>576</v>
      </c>
      <c r="U51" s="1" t="s">
        <v>135</v>
      </c>
    </row>
    <row r="52" ht="14.25" customHeight="1">
      <c r="A52" s="1" t="s">
        <v>21</v>
      </c>
      <c r="B52" s="1" t="s">
        <v>577</v>
      </c>
      <c r="C52" s="1" t="s">
        <v>578</v>
      </c>
      <c r="D52" s="3" t="s">
        <v>579</v>
      </c>
      <c r="E52" s="1" t="s">
        <v>99</v>
      </c>
      <c r="F52" s="1" t="s">
        <v>41</v>
      </c>
      <c r="G52" s="1" t="s">
        <v>42</v>
      </c>
      <c r="H52" s="1" t="s">
        <v>110</v>
      </c>
      <c r="I52" s="1" t="s">
        <v>580</v>
      </c>
      <c r="J52" s="1"/>
      <c r="K52" s="1" t="s">
        <v>581</v>
      </c>
      <c r="L52" s="1" t="s">
        <v>582</v>
      </c>
      <c r="M52" s="1" t="s">
        <v>31</v>
      </c>
      <c r="N52" s="1"/>
      <c r="O52" s="1" t="s">
        <v>583</v>
      </c>
      <c r="P52" s="1" t="s">
        <v>192</v>
      </c>
      <c r="Q52" s="1"/>
      <c r="R52" s="1" t="s">
        <v>584</v>
      </c>
      <c r="S52" s="1"/>
      <c r="T52" s="1" t="s">
        <v>585</v>
      </c>
      <c r="U52" s="1" t="s">
        <v>586</v>
      </c>
    </row>
    <row r="53" ht="14.25" customHeight="1">
      <c r="A53" s="1" t="s">
        <v>21</v>
      </c>
      <c r="B53" s="1" t="s">
        <v>587</v>
      </c>
      <c r="C53" s="1" t="s">
        <v>588</v>
      </c>
      <c r="D53" s="3" t="s">
        <v>589</v>
      </c>
      <c r="E53" s="1" t="s">
        <v>429</v>
      </c>
      <c r="F53" s="1" t="s">
        <v>26</v>
      </c>
      <c r="G53" s="1" t="s">
        <v>42</v>
      </c>
      <c r="H53" s="1" t="s">
        <v>110</v>
      </c>
      <c r="I53" s="1" t="s">
        <v>511</v>
      </c>
      <c r="J53" s="1"/>
      <c r="K53" s="1" t="s">
        <v>590</v>
      </c>
      <c r="L53" s="1" t="s">
        <v>591</v>
      </c>
      <c r="M53" s="1" t="s">
        <v>59</v>
      </c>
      <c r="N53" s="1" t="s">
        <v>592</v>
      </c>
      <c r="O53" s="1" t="s">
        <v>593</v>
      </c>
      <c r="P53" s="1" t="s">
        <v>517</v>
      </c>
      <c r="Q53" s="1"/>
      <c r="R53" s="1" t="s">
        <v>594</v>
      </c>
      <c r="S53" s="1"/>
      <c r="T53" s="1" t="s">
        <v>595</v>
      </c>
      <c r="U53" s="1" t="s">
        <v>596</v>
      </c>
    </row>
    <row r="54" ht="14.25" customHeight="1">
      <c r="A54" s="1" t="s">
        <v>21</v>
      </c>
      <c r="B54" s="1" t="s">
        <v>597</v>
      </c>
      <c r="C54" s="1" t="s">
        <v>598</v>
      </c>
      <c r="D54" s="3" t="s">
        <v>599</v>
      </c>
      <c r="E54" s="1" t="s">
        <v>384</v>
      </c>
      <c r="F54" s="1" t="s">
        <v>41</v>
      </c>
      <c r="G54" s="1" t="s">
        <v>42</v>
      </c>
      <c r="H54" s="1" t="s">
        <v>487</v>
      </c>
      <c r="I54" s="1" t="s">
        <v>600</v>
      </c>
      <c r="J54" s="1"/>
      <c r="K54" s="1" t="s">
        <v>601</v>
      </c>
      <c r="L54" s="1" t="s">
        <v>602</v>
      </c>
      <c r="M54" s="1" t="s">
        <v>31</v>
      </c>
      <c r="N54" s="1"/>
      <c r="O54" s="1" t="s">
        <v>603</v>
      </c>
      <c r="P54" s="1" t="s">
        <v>141</v>
      </c>
      <c r="Q54" s="1"/>
      <c r="R54" s="1" t="s">
        <v>403</v>
      </c>
      <c r="S54" s="1"/>
      <c r="T54" s="1" t="s">
        <v>604</v>
      </c>
      <c r="U54" s="1" t="s">
        <v>605</v>
      </c>
    </row>
    <row r="55" ht="14.25" customHeight="1">
      <c r="A55" s="1" t="s">
        <v>21</v>
      </c>
      <c r="B55" s="1" t="s">
        <v>606</v>
      </c>
      <c r="C55" s="1" t="s">
        <v>607</v>
      </c>
      <c r="D55" s="1"/>
      <c r="E55" s="1"/>
      <c r="F55" s="1" t="s">
        <v>41</v>
      </c>
      <c r="G55" s="1" t="s">
        <v>42</v>
      </c>
      <c r="H55" s="1" t="s">
        <v>487</v>
      </c>
      <c r="I55" s="1" t="s">
        <v>608</v>
      </c>
      <c r="J55" s="1" t="s">
        <v>609</v>
      </c>
      <c r="K55" s="1" t="s">
        <v>610</v>
      </c>
      <c r="L55" s="1" t="s">
        <v>611</v>
      </c>
      <c r="M55" s="1" t="s">
        <v>59</v>
      </c>
      <c r="N55" s="1" t="s">
        <v>612</v>
      </c>
      <c r="O55" s="4" t="s">
        <v>613</v>
      </c>
      <c r="P55" s="1" t="s">
        <v>614</v>
      </c>
      <c r="Q55" s="1"/>
      <c r="R55" s="1" t="s">
        <v>615</v>
      </c>
      <c r="S55" s="1" t="s">
        <v>616</v>
      </c>
      <c r="T55" s="1" t="s">
        <v>617</v>
      </c>
      <c r="U55" s="1" t="s">
        <v>618</v>
      </c>
    </row>
    <row r="56" ht="14.25" customHeight="1">
      <c r="A56" s="1" t="s">
        <v>21</v>
      </c>
      <c r="B56" s="1" t="s">
        <v>619</v>
      </c>
      <c r="C56" s="1" t="s">
        <v>620</v>
      </c>
      <c r="D56" s="3" t="s">
        <v>621</v>
      </c>
      <c r="E56" s="1" t="s">
        <v>25</v>
      </c>
      <c r="F56" s="1" t="s">
        <v>622</v>
      </c>
      <c r="G56" s="1" t="s">
        <v>42</v>
      </c>
      <c r="H56" s="1" t="s">
        <v>487</v>
      </c>
      <c r="I56" s="1" t="s">
        <v>623</v>
      </c>
      <c r="J56" s="1"/>
      <c r="K56" s="1" t="s">
        <v>624</v>
      </c>
      <c r="L56" s="1" t="s">
        <v>625</v>
      </c>
      <c r="M56" s="1" t="s">
        <v>31</v>
      </c>
      <c r="N56" s="1"/>
      <c r="O56" s="1" t="s">
        <v>626</v>
      </c>
      <c r="P56" s="1" t="s">
        <v>124</v>
      </c>
      <c r="Q56" s="1"/>
      <c r="R56" s="1" t="s">
        <v>156</v>
      </c>
      <c r="S56" s="1"/>
      <c r="T56" s="1" t="s">
        <v>627</v>
      </c>
      <c r="U56" s="1" t="s">
        <v>628</v>
      </c>
    </row>
    <row r="57" ht="14.25" customHeight="1">
      <c r="A57" s="1" t="s">
        <v>21</v>
      </c>
      <c r="B57" s="1" t="s">
        <v>629</v>
      </c>
      <c r="C57" s="1" t="s">
        <v>630</v>
      </c>
      <c r="D57" s="1"/>
      <c r="E57" s="1"/>
      <c r="F57" s="1" t="s">
        <v>41</v>
      </c>
      <c r="G57" s="1" t="s">
        <v>42</v>
      </c>
      <c r="H57" s="1" t="s">
        <v>487</v>
      </c>
      <c r="I57" s="1" t="s">
        <v>304</v>
      </c>
      <c r="J57" s="1" t="s">
        <v>631</v>
      </c>
      <c r="K57" s="1" t="s">
        <v>632</v>
      </c>
      <c r="L57" s="1" t="s">
        <v>633</v>
      </c>
      <c r="M57" s="1" t="s">
        <v>59</v>
      </c>
      <c r="N57" s="1" t="s">
        <v>634</v>
      </c>
      <c r="O57" s="1" t="s">
        <v>635</v>
      </c>
      <c r="P57" s="1" t="s">
        <v>101</v>
      </c>
      <c r="Q57" s="1"/>
      <c r="R57" s="1" t="s">
        <v>636</v>
      </c>
      <c r="S57" s="1" t="s">
        <v>637</v>
      </c>
      <c r="T57" s="1" t="s">
        <v>638</v>
      </c>
      <c r="U57" s="1" t="s">
        <v>182</v>
      </c>
    </row>
    <row r="58" ht="14.25" customHeight="1">
      <c r="A58" s="1" t="s">
        <v>21</v>
      </c>
      <c r="B58" s="1" t="s">
        <v>639</v>
      </c>
      <c r="C58" s="1" t="s">
        <v>640</v>
      </c>
      <c r="D58" s="1"/>
      <c r="E58" s="1"/>
      <c r="F58" s="1" t="s">
        <v>41</v>
      </c>
      <c r="G58" s="1" t="s">
        <v>42</v>
      </c>
      <c r="H58" s="1" t="s">
        <v>182</v>
      </c>
      <c r="I58" s="1" t="s">
        <v>641</v>
      </c>
      <c r="J58" s="1"/>
      <c r="K58" s="1" t="s">
        <v>642</v>
      </c>
      <c r="L58" s="1" t="s">
        <v>643</v>
      </c>
      <c r="M58" s="1" t="s">
        <v>59</v>
      </c>
      <c r="N58" s="1" t="s">
        <v>644</v>
      </c>
      <c r="O58" s="1" t="s">
        <v>645</v>
      </c>
      <c r="P58" s="1" t="s">
        <v>646</v>
      </c>
      <c r="Q58" s="1"/>
      <c r="R58" s="1" t="s">
        <v>98</v>
      </c>
      <c r="S58" s="1"/>
      <c r="T58" s="1" t="s">
        <v>647</v>
      </c>
      <c r="U58" s="1" t="s">
        <v>228</v>
      </c>
    </row>
    <row r="59" ht="14.25" customHeight="1">
      <c r="A59" s="1" t="s">
        <v>21</v>
      </c>
      <c r="B59" s="1" t="s">
        <v>648</v>
      </c>
      <c r="C59" s="1" t="s">
        <v>649</v>
      </c>
      <c r="D59" s="3" t="s">
        <v>650</v>
      </c>
      <c r="E59" s="1" t="s">
        <v>174</v>
      </c>
      <c r="F59" s="1" t="s">
        <v>41</v>
      </c>
      <c r="G59" s="1" t="s">
        <v>42</v>
      </c>
      <c r="H59" s="1" t="s">
        <v>182</v>
      </c>
      <c r="I59" s="1" t="s">
        <v>651</v>
      </c>
      <c r="J59" s="1"/>
      <c r="K59" s="1" t="s">
        <v>652</v>
      </c>
      <c r="L59" s="1" t="s">
        <v>653</v>
      </c>
      <c r="M59" s="1" t="s">
        <v>31</v>
      </c>
      <c r="N59" s="1"/>
      <c r="O59" s="1"/>
      <c r="P59" s="1"/>
      <c r="Q59" s="1"/>
      <c r="R59" s="1" t="s">
        <v>203</v>
      </c>
      <c r="S59" s="1"/>
      <c r="T59" s="1" t="s">
        <v>654</v>
      </c>
      <c r="U59" s="1" t="s">
        <v>655</v>
      </c>
    </row>
    <row r="60" ht="14.25" customHeight="1">
      <c r="A60" s="1" t="s">
        <v>21</v>
      </c>
      <c r="B60" s="1" t="s">
        <v>656</v>
      </c>
      <c r="C60" s="1" t="s">
        <v>657</v>
      </c>
      <c r="D60" s="3" t="s">
        <v>658</v>
      </c>
      <c r="E60" s="1" t="s">
        <v>384</v>
      </c>
      <c r="F60" s="1" t="s">
        <v>41</v>
      </c>
      <c r="G60" s="1" t="s">
        <v>42</v>
      </c>
      <c r="H60" s="1" t="s">
        <v>182</v>
      </c>
      <c r="I60" s="1" t="s">
        <v>659</v>
      </c>
      <c r="J60" s="1"/>
      <c r="K60" s="1" t="s">
        <v>660</v>
      </c>
      <c r="L60" s="1" t="s">
        <v>661</v>
      </c>
      <c r="M60" s="1" t="s">
        <v>59</v>
      </c>
      <c r="N60" s="1" t="s">
        <v>662</v>
      </c>
      <c r="O60" s="1"/>
      <c r="P60" s="1"/>
      <c r="Q60" s="1"/>
      <c r="R60" s="1" t="s">
        <v>663</v>
      </c>
      <c r="S60" s="1" t="s">
        <v>384</v>
      </c>
      <c r="T60" s="1" t="s">
        <v>664</v>
      </c>
      <c r="U60" s="1" t="s">
        <v>646</v>
      </c>
    </row>
    <row r="61" ht="14.25" customHeight="1">
      <c r="A61" s="1" t="s">
        <v>21</v>
      </c>
      <c r="B61" s="1" t="s">
        <v>665</v>
      </c>
      <c r="C61" s="1" t="s">
        <v>666</v>
      </c>
      <c r="D61" s="1"/>
      <c r="E61" s="1"/>
      <c r="F61" s="1" t="s">
        <v>26</v>
      </c>
      <c r="G61" s="1" t="s">
        <v>42</v>
      </c>
      <c r="H61" s="1" t="s">
        <v>182</v>
      </c>
      <c r="I61" s="1" t="s">
        <v>667</v>
      </c>
      <c r="J61" s="1"/>
      <c r="K61" s="1" t="s">
        <v>668</v>
      </c>
      <c r="L61" s="1" t="s">
        <v>669</v>
      </c>
      <c r="M61" s="1" t="s">
        <v>59</v>
      </c>
      <c r="N61" s="1" t="s">
        <v>670</v>
      </c>
      <c r="O61" s="1"/>
      <c r="P61" s="1"/>
      <c r="Q61" s="1"/>
      <c r="R61" s="1" t="s">
        <v>247</v>
      </c>
      <c r="S61" s="1" t="s">
        <v>91</v>
      </c>
      <c r="T61" s="1" t="s">
        <v>671</v>
      </c>
      <c r="U61" s="1" t="s">
        <v>672</v>
      </c>
    </row>
    <row r="62" ht="14.25" customHeight="1">
      <c r="A62" s="1" t="s">
        <v>21</v>
      </c>
      <c r="B62" s="1" t="s">
        <v>673</v>
      </c>
      <c r="C62" s="1" t="s">
        <v>674</v>
      </c>
      <c r="D62" s="3" t="s">
        <v>675</v>
      </c>
      <c r="E62" s="1" t="s">
        <v>117</v>
      </c>
      <c r="F62" s="1" t="s">
        <v>41</v>
      </c>
      <c r="G62" s="1" t="s">
        <v>42</v>
      </c>
      <c r="H62" s="1" t="s">
        <v>182</v>
      </c>
      <c r="I62" s="1" t="s">
        <v>676</v>
      </c>
      <c r="J62" s="1"/>
      <c r="K62" s="1" t="s">
        <v>677</v>
      </c>
      <c r="L62" s="1" t="s">
        <v>678</v>
      </c>
      <c r="M62" s="1" t="s">
        <v>59</v>
      </c>
      <c r="N62" s="1" t="s">
        <v>679</v>
      </c>
      <c r="O62" s="1" t="s">
        <v>680</v>
      </c>
      <c r="P62" s="1"/>
      <c r="Q62" s="1"/>
      <c r="R62" s="1" t="s">
        <v>62</v>
      </c>
      <c r="S62" s="1"/>
      <c r="T62" s="1" t="s">
        <v>681</v>
      </c>
      <c r="U62" s="1" t="s">
        <v>73</v>
      </c>
    </row>
    <row r="63" ht="14.25" customHeight="1">
      <c r="A63" s="1" t="s">
        <v>21</v>
      </c>
      <c r="B63" s="1" t="s">
        <v>682</v>
      </c>
      <c r="C63" s="1" t="s">
        <v>683</v>
      </c>
      <c r="D63" s="3" t="s">
        <v>684</v>
      </c>
      <c r="E63" s="1" t="s">
        <v>429</v>
      </c>
      <c r="F63" s="1" t="s">
        <v>41</v>
      </c>
      <c r="G63" s="1" t="s">
        <v>42</v>
      </c>
      <c r="H63" s="1" t="s">
        <v>517</v>
      </c>
      <c r="I63" s="1" t="s">
        <v>685</v>
      </c>
      <c r="J63" s="1"/>
      <c r="K63" s="1" t="s">
        <v>686</v>
      </c>
      <c r="L63" s="1" t="s">
        <v>687</v>
      </c>
      <c r="M63" s="1" t="s">
        <v>31</v>
      </c>
      <c r="N63" s="1"/>
      <c r="O63" s="1" t="s">
        <v>688</v>
      </c>
      <c r="P63" s="1" t="s">
        <v>298</v>
      </c>
      <c r="Q63" s="1"/>
      <c r="R63" s="1" t="s">
        <v>689</v>
      </c>
      <c r="S63" s="1"/>
      <c r="T63" s="1" t="s">
        <v>690</v>
      </c>
      <c r="U63" s="1" t="s">
        <v>156</v>
      </c>
    </row>
    <row r="64" ht="14.25" customHeight="1">
      <c r="A64" s="1" t="s">
        <v>21</v>
      </c>
      <c r="B64" s="1" t="s">
        <v>691</v>
      </c>
      <c r="C64" s="1" t="s">
        <v>692</v>
      </c>
      <c r="D64" s="3" t="s">
        <v>693</v>
      </c>
      <c r="E64" s="1" t="s">
        <v>637</v>
      </c>
      <c r="F64" s="1" t="s">
        <v>41</v>
      </c>
      <c r="G64" s="1" t="s">
        <v>42</v>
      </c>
      <c r="H64" s="1" t="s">
        <v>517</v>
      </c>
      <c r="I64" s="1" t="s">
        <v>326</v>
      </c>
      <c r="J64" s="1" t="s">
        <v>694</v>
      </c>
      <c r="K64" s="1" t="s">
        <v>695</v>
      </c>
      <c r="L64" s="1" t="s">
        <v>696</v>
      </c>
      <c r="M64" s="1" t="s">
        <v>59</v>
      </c>
      <c r="N64" s="1" t="s">
        <v>697</v>
      </c>
      <c r="O64" s="1" t="s">
        <v>698</v>
      </c>
      <c r="P64" s="1" t="s">
        <v>475</v>
      </c>
      <c r="Q64" s="1"/>
      <c r="R64" s="1" t="s">
        <v>699</v>
      </c>
      <c r="S64" s="1"/>
      <c r="T64" s="1" t="s">
        <v>700</v>
      </c>
      <c r="U64" s="1" t="s">
        <v>701</v>
      </c>
    </row>
    <row r="65" ht="14.25" customHeight="1">
      <c r="A65" s="1" t="s">
        <v>21</v>
      </c>
      <c r="B65" s="1" t="s">
        <v>702</v>
      </c>
      <c r="C65" s="1" t="s">
        <v>703</v>
      </c>
      <c r="D65" s="3" t="s">
        <v>704</v>
      </c>
      <c r="E65" s="1" t="s">
        <v>384</v>
      </c>
      <c r="F65" s="1" t="s">
        <v>41</v>
      </c>
      <c r="G65" s="1" t="s">
        <v>42</v>
      </c>
      <c r="H65" s="1" t="s">
        <v>517</v>
      </c>
      <c r="I65" s="1" t="s">
        <v>705</v>
      </c>
      <c r="J65" s="1" t="s">
        <v>706</v>
      </c>
      <c r="K65" s="1" t="s">
        <v>707</v>
      </c>
      <c r="L65" s="1" t="s">
        <v>708</v>
      </c>
      <c r="M65" s="1" t="s">
        <v>59</v>
      </c>
      <c r="N65" s="1" t="s">
        <v>709</v>
      </c>
      <c r="O65" s="1"/>
      <c r="P65" s="1"/>
      <c r="Q65" s="1"/>
      <c r="R65" s="1" t="s">
        <v>663</v>
      </c>
      <c r="S65" s="1" t="s">
        <v>174</v>
      </c>
      <c r="T65" s="1" t="s">
        <v>710</v>
      </c>
      <c r="U65" s="1" t="s">
        <v>247</v>
      </c>
    </row>
    <row r="66" ht="14.25" customHeight="1">
      <c r="A66" s="1" t="s">
        <v>21</v>
      </c>
      <c r="B66" s="1" t="s">
        <v>711</v>
      </c>
      <c r="C66" s="1" t="s">
        <v>712</v>
      </c>
      <c r="D66" s="1"/>
      <c r="E66" s="1"/>
      <c r="F66" s="1" t="s">
        <v>41</v>
      </c>
      <c r="G66" s="1" t="s">
        <v>42</v>
      </c>
      <c r="H66" s="1" t="s">
        <v>517</v>
      </c>
      <c r="I66" s="1" t="s">
        <v>713</v>
      </c>
      <c r="J66" s="1" t="s">
        <v>714</v>
      </c>
      <c r="K66" s="1" t="s">
        <v>715</v>
      </c>
      <c r="L66" s="1" t="s">
        <v>716</v>
      </c>
      <c r="M66" s="1" t="s">
        <v>59</v>
      </c>
      <c r="N66" s="1" t="s">
        <v>717</v>
      </c>
      <c r="O66" s="1" t="s">
        <v>718</v>
      </c>
      <c r="P66" s="1" t="s">
        <v>191</v>
      </c>
      <c r="Q66" s="1"/>
      <c r="R66" s="1" t="s">
        <v>719</v>
      </c>
      <c r="S66" s="1" t="s">
        <v>637</v>
      </c>
      <c r="T66" s="1" t="s">
        <v>720</v>
      </c>
      <c r="U66" s="1" t="s">
        <v>721</v>
      </c>
    </row>
    <row r="67" ht="14.25" customHeight="1">
      <c r="A67" s="1" t="s">
        <v>21</v>
      </c>
      <c r="B67" s="1" t="s">
        <v>722</v>
      </c>
      <c r="C67" s="1" t="s">
        <v>723</v>
      </c>
      <c r="D67" s="3" t="s">
        <v>724</v>
      </c>
      <c r="E67" s="1" t="s">
        <v>637</v>
      </c>
      <c r="F67" s="1" t="s">
        <v>41</v>
      </c>
      <c r="G67" s="1" t="s">
        <v>42</v>
      </c>
      <c r="H67" s="1" t="s">
        <v>517</v>
      </c>
      <c r="I67" s="1" t="s">
        <v>725</v>
      </c>
      <c r="J67" s="1" t="s">
        <v>726</v>
      </c>
      <c r="K67" s="1" t="s">
        <v>727</v>
      </c>
      <c r="L67" s="1" t="s">
        <v>728</v>
      </c>
      <c r="M67" s="1" t="s">
        <v>59</v>
      </c>
      <c r="N67" s="1" t="s">
        <v>729</v>
      </c>
      <c r="O67" s="1" t="s">
        <v>730</v>
      </c>
      <c r="P67" s="1" t="s">
        <v>731</v>
      </c>
      <c r="Q67" s="1"/>
      <c r="R67" s="1" t="s">
        <v>732</v>
      </c>
      <c r="S67" s="1" t="s">
        <v>637</v>
      </c>
      <c r="T67" s="1" t="s">
        <v>733</v>
      </c>
      <c r="U67" s="1" t="s">
        <v>734</v>
      </c>
    </row>
    <row r="68" ht="14.25" customHeight="1">
      <c r="A68" s="1" t="s">
        <v>21</v>
      </c>
      <c r="B68" s="1" t="s">
        <v>735</v>
      </c>
      <c r="C68" s="1" t="s">
        <v>736</v>
      </c>
      <c r="D68" s="3" t="s">
        <v>737</v>
      </c>
      <c r="E68" s="1" t="s">
        <v>99</v>
      </c>
      <c r="F68" s="1" t="s">
        <v>41</v>
      </c>
      <c r="G68" s="1" t="s">
        <v>42</v>
      </c>
      <c r="H68" s="1" t="s">
        <v>517</v>
      </c>
      <c r="I68" s="1" t="s">
        <v>485</v>
      </c>
      <c r="J68" s="1"/>
      <c r="K68" s="1" t="s">
        <v>738</v>
      </c>
      <c r="L68" s="1" t="s">
        <v>739</v>
      </c>
      <c r="M68" s="1" t="s">
        <v>31</v>
      </c>
      <c r="N68" s="1"/>
      <c r="O68" s="1" t="s">
        <v>740</v>
      </c>
      <c r="P68" s="1" t="s">
        <v>65</v>
      </c>
      <c r="Q68" s="1"/>
      <c r="R68" s="1" t="s">
        <v>741</v>
      </c>
      <c r="S68" s="1"/>
      <c r="T68" s="1" t="s">
        <v>742</v>
      </c>
      <c r="U68" s="1" t="s">
        <v>743</v>
      </c>
    </row>
    <row r="69" ht="14.25" customHeight="1">
      <c r="A69" s="1" t="s">
        <v>21</v>
      </c>
      <c r="B69" s="1" t="s">
        <v>744</v>
      </c>
      <c r="C69" s="1" t="s">
        <v>745</v>
      </c>
      <c r="D69" s="3" t="s">
        <v>746</v>
      </c>
      <c r="E69" s="1" t="s">
        <v>174</v>
      </c>
      <c r="F69" s="1" t="s">
        <v>41</v>
      </c>
      <c r="G69" s="1" t="s">
        <v>42</v>
      </c>
      <c r="H69" s="1" t="s">
        <v>517</v>
      </c>
      <c r="I69" s="1" t="s">
        <v>747</v>
      </c>
      <c r="J69" s="1" t="s">
        <v>748</v>
      </c>
      <c r="K69" s="1" t="s">
        <v>749</v>
      </c>
      <c r="L69" s="1" t="s">
        <v>750</v>
      </c>
      <c r="M69" s="1" t="s">
        <v>59</v>
      </c>
      <c r="N69" s="1" t="s">
        <v>751</v>
      </c>
      <c r="O69" s="1" t="s">
        <v>752</v>
      </c>
      <c r="P69" s="1" t="s">
        <v>135</v>
      </c>
      <c r="Q69" s="1"/>
      <c r="R69" s="1" t="s">
        <v>753</v>
      </c>
      <c r="S69" s="1"/>
      <c r="T69" s="1" t="s">
        <v>754</v>
      </c>
      <c r="U69" s="1" t="s">
        <v>755</v>
      </c>
    </row>
    <row r="70" ht="14.25" customHeight="1">
      <c r="A70" s="1" t="s">
        <v>21</v>
      </c>
      <c r="B70" s="1" t="s">
        <v>756</v>
      </c>
      <c r="C70" s="1" t="s">
        <v>757</v>
      </c>
      <c r="D70" s="3" t="s">
        <v>758</v>
      </c>
      <c r="E70" s="1" t="s">
        <v>637</v>
      </c>
      <c r="F70" s="1" t="s">
        <v>41</v>
      </c>
      <c r="G70" s="1" t="s">
        <v>42</v>
      </c>
      <c r="H70" s="1" t="s">
        <v>517</v>
      </c>
      <c r="I70" s="1" t="s">
        <v>759</v>
      </c>
      <c r="J70" s="1" t="s">
        <v>760</v>
      </c>
      <c r="K70" s="1" t="s">
        <v>761</v>
      </c>
      <c r="L70" s="1" t="s">
        <v>762</v>
      </c>
      <c r="M70" s="1" t="s">
        <v>31</v>
      </c>
      <c r="N70" s="1"/>
      <c r="O70" s="1" t="s">
        <v>763</v>
      </c>
      <c r="P70" s="1" t="s">
        <v>209</v>
      </c>
      <c r="Q70" s="1"/>
      <c r="R70" s="1" t="s">
        <v>764</v>
      </c>
      <c r="S70" s="1"/>
      <c r="T70" s="1" t="s">
        <v>765</v>
      </c>
      <c r="U70" s="1" t="s">
        <v>766</v>
      </c>
    </row>
    <row r="71" ht="14.25" customHeight="1">
      <c r="A71" s="1" t="s">
        <v>21</v>
      </c>
      <c r="B71" s="1" t="s">
        <v>767</v>
      </c>
      <c r="C71" s="1" t="s">
        <v>768</v>
      </c>
      <c r="D71" s="3" t="s">
        <v>769</v>
      </c>
      <c r="E71" s="1" t="s">
        <v>384</v>
      </c>
      <c r="F71" s="1" t="s">
        <v>41</v>
      </c>
      <c r="G71" s="1" t="s">
        <v>42</v>
      </c>
      <c r="H71" s="1" t="s">
        <v>73</v>
      </c>
      <c r="I71" s="1" t="s">
        <v>770</v>
      </c>
      <c r="J71" s="1" t="s">
        <v>771</v>
      </c>
      <c r="K71" s="1" t="s">
        <v>772</v>
      </c>
      <c r="L71" s="1" t="s">
        <v>773</v>
      </c>
      <c r="M71" s="1" t="s">
        <v>59</v>
      </c>
      <c r="N71" s="1" t="s">
        <v>774</v>
      </c>
      <c r="O71" s="1" t="s">
        <v>775</v>
      </c>
      <c r="P71" s="1" t="s">
        <v>196</v>
      </c>
      <c r="Q71" s="1"/>
      <c r="R71" s="1" t="s">
        <v>615</v>
      </c>
      <c r="S71" s="1" t="s">
        <v>384</v>
      </c>
      <c r="T71" s="1" t="s">
        <v>776</v>
      </c>
      <c r="U71" s="1" t="s">
        <v>777</v>
      </c>
    </row>
    <row r="72" ht="14.25" customHeight="1">
      <c r="A72" s="1" t="s">
        <v>21</v>
      </c>
      <c r="B72" s="1" t="s">
        <v>778</v>
      </c>
      <c r="C72" s="1" t="s">
        <v>779</v>
      </c>
      <c r="D72" s="3" t="s">
        <v>780</v>
      </c>
      <c r="E72" s="1" t="s">
        <v>174</v>
      </c>
      <c r="F72" s="1" t="s">
        <v>41</v>
      </c>
      <c r="G72" s="1" t="s">
        <v>42</v>
      </c>
      <c r="H72" s="1" t="s">
        <v>73</v>
      </c>
      <c r="I72" s="1" t="s">
        <v>445</v>
      </c>
      <c r="J72" s="1" t="s">
        <v>781</v>
      </c>
      <c r="K72" s="1" t="s">
        <v>782</v>
      </c>
      <c r="L72" s="1" t="s">
        <v>783</v>
      </c>
      <c r="M72" s="1" t="s">
        <v>59</v>
      </c>
      <c r="N72" s="1" t="s">
        <v>784</v>
      </c>
      <c r="O72" s="1" t="s">
        <v>785</v>
      </c>
      <c r="P72" s="1" t="s">
        <v>215</v>
      </c>
      <c r="Q72" s="1"/>
      <c r="R72" s="1" t="s">
        <v>786</v>
      </c>
      <c r="S72" s="1" t="s">
        <v>174</v>
      </c>
      <c r="T72" s="1" t="s">
        <v>787</v>
      </c>
      <c r="U72" s="1" t="s">
        <v>247</v>
      </c>
    </row>
    <row r="73" ht="14.25" customHeight="1">
      <c r="A73" s="1" t="s">
        <v>21</v>
      </c>
      <c r="B73" s="1" t="s">
        <v>788</v>
      </c>
      <c r="C73" s="1" t="s">
        <v>789</v>
      </c>
      <c r="D73" s="3" t="s">
        <v>790</v>
      </c>
      <c r="E73" s="1" t="s">
        <v>91</v>
      </c>
      <c r="F73" s="1" t="s">
        <v>41</v>
      </c>
      <c r="G73" s="1" t="s">
        <v>42</v>
      </c>
      <c r="H73" s="1" t="s">
        <v>73</v>
      </c>
      <c r="I73" s="1" t="s">
        <v>791</v>
      </c>
      <c r="J73" s="1" t="s">
        <v>792</v>
      </c>
      <c r="K73" s="1" t="s">
        <v>793</v>
      </c>
      <c r="L73" s="1" t="s">
        <v>794</v>
      </c>
      <c r="M73" s="1" t="s">
        <v>59</v>
      </c>
      <c r="N73" s="1" t="s">
        <v>795</v>
      </c>
      <c r="O73" s="1" t="s">
        <v>796</v>
      </c>
      <c r="P73" s="1" t="s">
        <v>62</v>
      </c>
      <c r="Q73" s="1"/>
      <c r="R73" s="1" t="s">
        <v>689</v>
      </c>
      <c r="S73" s="1" t="s">
        <v>99</v>
      </c>
      <c r="T73" s="1" t="s">
        <v>797</v>
      </c>
      <c r="U73" s="1" t="s">
        <v>798</v>
      </c>
    </row>
    <row r="74" ht="14.25" customHeight="1">
      <c r="A74" s="1" t="s">
        <v>21</v>
      </c>
      <c r="B74" s="1" t="s">
        <v>799</v>
      </c>
      <c r="C74" s="1" t="s">
        <v>800</v>
      </c>
      <c r="D74" s="3" t="s">
        <v>801</v>
      </c>
      <c r="E74" s="1" t="s">
        <v>384</v>
      </c>
      <c r="F74" s="1" t="s">
        <v>41</v>
      </c>
      <c r="G74" s="1" t="s">
        <v>42</v>
      </c>
      <c r="H74" s="1" t="s">
        <v>73</v>
      </c>
      <c r="I74" s="1" t="s">
        <v>802</v>
      </c>
      <c r="J74" s="1" t="s">
        <v>803</v>
      </c>
      <c r="K74" s="1" t="s">
        <v>804</v>
      </c>
      <c r="L74" s="1" t="s">
        <v>805</v>
      </c>
      <c r="M74" s="1" t="s">
        <v>59</v>
      </c>
      <c r="N74" s="1" t="s">
        <v>806</v>
      </c>
      <c r="O74" s="1" t="s">
        <v>807</v>
      </c>
      <c r="P74" s="1" t="s">
        <v>125</v>
      </c>
      <c r="Q74" s="1"/>
      <c r="R74" s="1" t="s">
        <v>808</v>
      </c>
      <c r="S74" s="1" t="s">
        <v>174</v>
      </c>
      <c r="T74" s="1" t="s">
        <v>809</v>
      </c>
      <c r="U74" s="1" t="s">
        <v>810</v>
      </c>
    </row>
    <row r="75" ht="14.25" customHeight="1">
      <c r="A75" s="1" t="s">
        <v>21</v>
      </c>
      <c r="B75" s="1" t="s">
        <v>811</v>
      </c>
      <c r="C75" s="1" t="s">
        <v>812</v>
      </c>
      <c r="D75" s="3" t="s">
        <v>813</v>
      </c>
      <c r="E75" s="1" t="s">
        <v>117</v>
      </c>
      <c r="F75" s="1" t="s">
        <v>118</v>
      </c>
      <c r="G75" s="1" t="s">
        <v>42</v>
      </c>
      <c r="H75" s="1" t="s">
        <v>73</v>
      </c>
      <c r="I75" s="1" t="s">
        <v>623</v>
      </c>
      <c r="J75" s="1"/>
      <c r="K75" s="1" t="s">
        <v>814</v>
      </c>
      <c r="L75" s="1" t="s">
        <v>815</v>
      </c>
      <c r="M75" s="1" t="s">
        <v>31</v>
      </c>
      <c r="N75" s="1"/>
      <c r="O75" s="1" t="s">
        <v>816</v>
      </c>
      <c r="P75" s="1" t="s">
        <v>33</v>
      </c>
      <c r="Q75" s="1"/>
      <c r="R75" s="1" t="s">
        <v>817</v>
      </c>
      <c r="S75" s="1"/>
      <c r="T75" s="1" t="s">
        <v>818</v>
      </c>
      <c r="U75" s="1" t="s">
        <v>190</v>
      </c>
    </row>
    <row r="76" ht="14.25" customHeight="1">
      <c r="A76" s="1" t="s">
        <v>21</v>
      </c>
      <c r="B76" s="1" t="s">
        <v>819</v>
      </c>
      <c r="C76" s="1" t="s">
        <v>820</v>
      </c>
      <c r="D76" s="3" t="s">
        <v>821</v>
      </c>
      <c r="E76" s="1" t="s">
        <v>384</v>
      </c>
      <c r="F76" s="1" t="s">
        <v>41</v>
      </c>
      <c r="G76" s="1" t="s">
        <v>822</v>
      </c>
      <c r="H76" s="1" t="s">
        <v>73</v>
      </c>
      <c r="I76" s="1" t="s">
        <v>362</v>
      </c>
      <c r="J76" s="1" t="s">
        <v>823</v>
      </c>
      <c r="K76" s="1" t="s">
        <v>824</v>
      </c>
      <c r="L76" s="1" t="s">
        <v>825</v>
      </c>
      <c r="M76" s="1" t="s">
        <v>59</v>
      </c>
      <c r="N76" s="1" t="s">
        <v>826</v>
      </c>
      <c r="O76" s="1" t="s">
        <v>827</v>
      </c>
      <c r="P76" s="1" t="s">
        <v>209</v>
      </c>
      <c r="Q76" s="1"/>
      <c r="R76" s="1" t="s">
        <v>828</v>
      </c>
      <c r="S76" s="1" t="s">
        <v>384</v>
      </c>
      <c r="T76" s="1" t="s">
        <v>829</v>
      </c>
      <c r="U76" s="1" t="s">
        <v>830</v>
      </c>
    </row>
    <row r="77" ht="14.25" customHeight="1">
      <c r="A77" s="1" t="s">
        <v>21</v>
      </c>
      <c r="B77" s="1" t="s">
        <v>831</v>
      </c>
      <c r="C77" s="1" t="s">
        <v>832</v>
      </c>
      <c r="D77" s="3" t="s">
        <v>833</v>
      </c>
      <c r="E77" s="1" t="s">
        <v>637</v>
      </c>
      <c r="F77" s="1" t="s">
        <v>26</v>
      </c>
      <c r="G77" s="1"/>
      <c r="H77" s="1" t="s">
        <v>73</v>
      </c>
      <c r="I77" s="1" t="s">
        <v>600</v>
      </c>
      <c r="J77" s="1" t="s">
        <v>834</v>
      </c>
      <c r="K77" s="1" t="s">
        <v>835</v>
      </c>
      <c r="L77" s="1" t="s">
        <v>836</v>
      </c>
      <c r="M77" s="1" t="s">
        <v>59</v>
      </c>
      <c r="N77" s="1" t="s">
        <v>837</v>
      </c>
      <c r="O77" s="1"/>
      <c r="P77" s="1"/>
      <c r="Q77" s="1"/>
      <c r="R77" s="1" t="s">
        <v>203</v>
      </c>
      <c r="S77" s="1" t="s">
        <v>384</v>
      </c>
      <c r="T77" s="1" t="s">
        <v>838</v>
      </c>
      <c r="U77" s="1" t="s">
        <v>839</v>
      </c>
    </row>
    <row r="78" ht="14.25" customHeight="1">
      <c r="A78" s="1" t="s">
        <v>21</v>
      </c>
      <c r="B78" s="1" t="s">
        <v>840</v>
      </c>
      <c r="C78" s="1" t="s">
        <v>841</v>
      </c>
      <c r="D78" s="3" t="s">
        <v>842</v>
      </c>
      <c r="E78" s="1" t="s">
        <v>91</v>
      </c>
      <c r="F78" s="1" t="s">
        <v>41</v>
      </c>
      <c r="G78" s="1" t="s">
        <v>42</v>
      </c>
      <c r="H78" s="1" t="s">
        <v>73</v>
      </c>
      <c r="I78" s="1" t="s">
        <v>843</v>
      </c>
      <c r="J78" s="1" t="s">
        <v>844</v>
      </c>
      <c r="K78" s="1" t="s">
        <v>845</v>
      </c>
      <c r="L78" s="1" t="s">
        <v>846</v>
      </c>
      <c r="M78" s="1" t="s">
        <v>59</v>
      </c>
      <c r="N78" s="1" t="s">
        <v>847</v>
      </c>
      <c r="O78" s="1" t="s">
        <v>848</v>
      </c>
      <c r="P78" s="1" t="s">
        <v>817</v>
      </c>
      <c r="Q78" s="1"/>
      <c r="R78" s="1" t="s">
        <v>455</v>
      </c>
      <c r="S78" s="1"/>
      <c r="T78" s="1" t="s">
        <v>849</v>
      </c>
      <c r="U78" s="1" t="s">
        <v>517</v>
      </c>
    </row>
    <row r="79" ht="14.25" customHeight="1">
      <c r="A79" s="1" t="s">
        <v>21</v>
      </c>
      <c r="B79" s="1" t="s">
        <v>850</v>
      </c>
      <c r="C79" s="1" t="s">
        <v>851</v>
      </c>
      <c r="D79" s="3" t="s">
        <v>852</v>
      </c>
      <c r="E79" s="1" t="s">
        <v>99</v>
      </c>
      <c r="F79" s="1" t="s">
        <v>41</v>
      </c>
      <c r="G79" s="1" t="s">
        <v>42</v>
      </c>
      <c r="H79" s="1" t="s">
        <v>73</v>
      </c>
      <c r="I79" s="1" t="s">
        <v>853</v>
      </c>
      <c r="J79" s="1"/>
      <c r="K79" s="1" t="s">
        <v>854</v>
      </c>
      <c r="L79" s="1" t="s">
        <v>855</v>
      </c>
      <c r="M79" s="1" t="s">
        <v>59</v>
      </c>
      <c r="N79" s="1" t="s">
        <v>856</v>
      </c>
      <c r="O79" s="1" t="s">
        <v>857</v>
      </c>
      <c r="P79" s="1" t="s">
        <v>125</v>
      </c>
      <c r="Q79" s="1"/>
      <c r="R79" s="1" t="s">
        <v>545</v>
      </c>
      <c r="S79" s="1"/>
      <c r="T79" s="1" t="s">
        <v>858</v>
      </c>
      <c r="U79" s="1" t="s">
        <v>859</v>
      </c>
    </row>
    <row r="80" ht="14.25" customHeight="1">
      <c r="A80" s="1" t="s">
        <v>21</v>
      </c>
      <c r="B80" s="1" t="s">
        <v>860</v>
      </c>
      <c r="C80" s="1" t="s">
        <v>861</v>
      </c>
      <c r="D80" s="3" t="s">
        <v>862</v>
      </c>
      <c r="E80" s="1" t="s">
        <v>352</v>
      </c>
      <c r="F80" s="1" t="s">
        <v>118</v>
      </c>
      <c r="G80" s="1" t="s">
        <v>42</v>
      </c>
      <c r="H80" s="1" t="s">
        <v>228</v>
      </c>
      <c r="I80" s="1" t="s">
        <v>863</v>
      </c>
      <c r="J80" s="1"/>
      <c r="K80" s="1" t="s">
        <v>864</v>
      </c>
      <c r="L80" s="1" t="s">
        <v>865</v>
      </c>
      <c r="M80" s="1" t="s">
        <v>31</v>
      </c>
      <c r="N80" s="1"/>
      <c r="O80" s="1" t="s">
        <v>866</v>
      </c>
      <c r="P80" s="1" t="s">
        <v>190</v>
      </c>
      <c r="Q80" s="1"/>
      <c r="R80" s="1" t="s">
        <v>517</v>
      </c>
      <c r="S80" s="1"/>
      <c r="T80" s="1" t="s">
        <v>867</v>
      </c>
      <c r="U80" s="1" t="s">
        <v>294</v>
      </c>
    </row>
    <row r="81" ht="14.25" customHeight="1">
      <c r="A81" s="1" t="s">
        <v>21</v>
      </c>
      <c r="B81" s="1" t="s">
        <v>868</v>
      </c>
      <c r="C81" s="1" t="s">
        <v>869</v>
      </c>
      <c r="D81" s="1"/>
      <c r="E81" s="1"/>
      <c r="F81" s="1" t="s">
        <v>41</v>
      </c>
      <c r="G81" s="1" t="s">
        <v>42</v>
      </c>
      <c r="H81" s="1" t="s">
        <v>228</v>
      </c>
      <c r="I81" s="1" t="s">
        <v>870</v>
      </c>
      <c r="J81" s="1" t="s">
        <v>871</v>
      </c>
      <c r="K81" s="1" t="s">
        <v>872</v>
      </c>
      <c r="L81" s="1" t="s">
        <v>873</v>
      </c>
      <c r="M81" s="1" t="s">
        <v>59</v>
      </c>
      <c r="N81" s="1" t="s">
        <v>874</v>
      </c>
      <c r="O81" s="1" t="s">
        <v>875</v>
      </c>
      <c r="P81" s="1" t="s">
        <v>346</v>
      </c>
      <c r="Q81" s="1"/>
      <c r="R81" s="1" t="s">
        <v>876</v>
      </c>
      <c r="S81" s="1" t="s">
        <v>384</v>
      </c>
      <c r="T81" s="1" t="s">
        <v>690</v>
      </c>
      <c r="U81" s="1" t="s">
        <v>156</v>
      </c>
    </row>
    <row r="82" ht="14.25" customHeight="1">
      <c r="A82" s="1" t="s">
        <v>21</v>
      </c>
      <c r="B82" s="1" t="s">
        <v>877</v>
      </c>
      <c r="C82" s="1" t="s">
        <v>878</v>
      </c>
      <c r="D82" s="3" t="s">
        <v>879</v>
      </c>
      <c r="E82" s="1" t="s">
        <v>616</v>
      </c>
      <c r="F82" s="1" t="s">
        <v>26</v>
      </c>
      <c r="G82" s="1" t="s">
        <v>880</v>
      </c>
      <c r="H82" s="1" t="s">
        <v>228</v>
      </c>
      <c r="I82" s="1" t="s">
        <v>881</v>
      </c>
      <c r="J82" s="1" t="s">
        <v>882</v>
      </c>
      <c r="K82" s="1" t="s">
        <v>883</v>
      </c>
      <c r="L82" s="1" t="s">
        <v>884</v>
      </c>
      <c r="M82" s="1" t="s">
        <v>59</v>
      </c>
      <c r="N82" s="1" t="s">
        <v>885</v>
      </c>
      <c r="O82" s="1"/>
      <c r="P82" s="1"/>
      <c r="Q82" s="1"/>
      <c r="R82" s="1" t="s">
        <v>886</v>
      </c>
      <c r="S82" s="1" t="s">
        <v>616</v>
      </c>
      <c r="T82" s="1" t="s">
        <v>887</v>
      </c>
      <c r="U82" s="1" t="s">
        <v>888</v>
      </c>
    </row>
    <row r="83" ht="14.25" customHeight="1">
      <c r="A83" s="1" t="s">
        <v>21</v>
      </c>
      <c r="B83" s="1" t="s">
        <v>889</v>
      </c>
      <c r="C83" s="1" t="s">
        <v>890</v>
      </c>
      <c r="D83" s="3" t="s">
        <v>891</v>
      </c>
      <c r="E83" s="1" t="s">
        <v>174</v>
      </c>
      <c r="F83" s="1" t="s">
        <v>26</v>
      </c>
      <c r="G83" s="1" t="s">
        <v>42</v>
      </c>
      <c r="H83" s="1" t="s">
        <v>228</v>
      </c>
      <c r="I83" s="1" t="s">
        <v>480</v>
      </c>
      <c r="J83" s="1" t="s">
        <v>892</v>
      </c>
      <c r="K83" s="1" t="s">
        <v>893</v>
      </c>
      <c r="L83" s="1" t="s">
        <v>894</v>
      </c>
      <c r="M83" s="1" t="s">
        <v>59</v>
      </c>
      <c r="N83" s="1" t="s">
        <v>895</v>
      </c>
      <c r="O83" s="1"/>
      <c r="P83" s="1"/>
      <c r="Q83" s="1"/>
      <c r="R83" s="1" t="s">
        <v>896</v>
      </c>
      <c r="S83" s="1" t="s">
        <v>174</v>
      </c>
      <c r="T83" s="1" t="s">
        <v>897</v>
      </c>
      <c r="U83" s="1" t="s">
        <v>898</v>
      </c>
    </row>
    <row r="84" ht="14.25" customHeight="1">
      <c r="A84" s="1" t="s">
        <v>21</v>
      </c>
      <c r="B84" s="1" t="s">
        <v>899</v>
      </c>
      <c r="C84" s="1" t="s">
        <v>900</v>
      </c>
      <c r="D84" s="3" t="s">
        <v>901</v>
      </c>
      <c r="E84" s="1" t="s">
        <v>99</v>
      </c>
      <c r="F84" s="1" t="s">
        <v>41</v>
      </c>
      <c r="G84" s="1" t="s">
        <v>42</v>
      </c>
      <c r="H84" s="1" t="s">
        <v>228</v>
      </c>
      <c r="I84" s="1" t="s">
        <v>770</v>
      </c>
      <c r="J84" s="1"/>
      <c r="K84" s="1" t="s">
        <v>902</v>
      </c>
      <c r="L84" s="1" t="s">
        <v>903</v>
      </c>
      <c r="M84" s="1" t="s">
        <v>59</v>
      </c>
      <c r="N84" s="1" t="s">
        <v>904</v>
      </c>
      <c r="O84" s="1" t="s">
        <v>905</v>
      </c>
      <c r="P84" s="1" t="s">
        <v>34</v>
      </c>
      <c r="Q84" s="1"/>
      <c r="R84" s="1" t="s">
        <v>136</v>
      </c>
      <c r="S84" s="1"/>
      <c r="T84" s="1" t="s">
        <v>906</v>
      </c>
      <c r="U84" s="1" t="s">
        <v>138</v>
      </c>
    </row>
    <row r="85" ht="14.25" customHeight="1">
      <c r="A85" s="1" t="s">
        <v>21</v>
      </c>
      <c r="B85" s="1" t="s">
        <v>907</v>
      </c>
      <c r="C85" s="1" t="s">
        <v>908</v>
      </c>
      <c r="D85" s="3" t="s">
        <v>909</v>
      </c>
      <c r="E85" s="1" t="s">
        <v>429</v>
      </c>
      <c r="F85" s="1" t="s">
        <v>41</v>
      </c>
      <c r="G85" s="1" t="s">
        <v>42</v>
      </c>
      <c r="H85" s="1" t="s">
        <v>228</v>
      </c>
      <c r="I85" s="1" t="s">
        <v>455</v>
      </c>
      <c r="J85" s="1"/>
      <c r="K85" s="1" t="s">
        <v>910</v>
      </c>
      <c r="L85" s="1" t="s">
        <v>911</v>
      </c>
      <c r="M85" s="1" t="s">
        <v>31</v>
      </c>
      <c r="N85" s="1"/>
      <c r="O85" s="1" t="s">
        <v>912</v>
      </c>
      <c r="P85" s="1" t="s">
        <v>369</v>
      </c>
      <c r="Q85" s="1"/>
      <c r="R85" s="1" t="s">
        <v>913</v>
      </c>
      <c r="S85" s="1"/>
      <c r="T85" s="1" t="s">
        <v>914</v>
      </c>
      <c r="U85" s="1" t="s">
        <v>915</v>
      </c>
    </row>
    <row r="86" ht="14.25" customHeight="1">
      <c r="A86" s="1" t="s">
        <v>21</v>
      </c>
      <c r="B86" s="1" t="s">
        <v>916</v>
      </c>
      <c r="C86" s="1" t="s">
        <v>917</v>
      </c>
      <c r="D86" s="3" t="s">
        <v>918</v>
      </c>
      <c r="E86" s="1" t="s">
        <v>54</v>
      </c>
      <c r="F86" s="1" t="s">
        <v>26</v>
      </c>
      <c r="G86" s="1" t="s">
        <v>42</v>
      </c>
      <c r="H86" s="1" t="s">
        <v>228</v>
      </c>
      <c r="I86" s="1" t="s">
        <v>226</v>
      </c>
      <c r="J86" s="1" t="s">
        <v>919</v>
      </c>
      <c r="K86" s="1" t="s">
        <v>920</v>
      </c>
      <c r="L86" s="1" t="s">
        <v>921</v>
      </c>
      <c r="M86" s="1" t="s">
        <v>59</v>
      </c>
      <c r="N86" s="1" t="s">
        <v>922</v>
      </c>
      <c r="O86" s="1" t="s">
        <v>923</v>
      </c>
      <c r="P86" s="1" t="s">
        <v>73</v>
      </c>
      <c r="Q86" s="1"/>
      <c r="R86" s="1" t="s">
        <v>215</v>
      </c>
      <c r="S86" s="1" t="s">
        <v>40</v>
      </c>
      <c r="T86" s="1" t="s">
        <v>125</v>
      </c>
      <c r="U86" s="1" t="s">
        <v>125</v>
      </c>
    </row>
    <row r="87" ht="14.25" customHeight="1">
      <c r="A87" s="1" t="s">
        <v>21</v>
      </c>
      <c r="B87" s="1" t="s">
        <v>924</v>
      </c>
      <c r="C87" s="1" t="s">
        <v>925</v>
      </c>
      <c r="D87" s="3" t="s">
        <v>926</v>
      </c>
      <c r="E87" s="1" t="s">
        <v>99</v>
      </c>
      <c r="F87" s="1" t="s">
        <v>118</v>
      </c>
      <c r="G87" s="1" t="s">
        <v>42</v>
      </c>
      <c r="H87" s="1" t="s">
        <v>228</v>
      </c>
      <c r="I87" s="1" t="s">
        <v>216</v>
      </c>
      <c r="J87" s="1" t="s">
        <v>927</v>
      </c>
      <c r="K87" s="1" t="s">
        <v>928</v>
      </c>
      <c r="L87" s="1" t="s">
        <v>929</v>
      </c>
      <c r="M87" s="1" t="s">
        <v>59</v>
      </c>
      <c r="N87" s="1" t="s">
        <v>930</v>
      </c>
      <c r="O87" s="1" t="s">
        <v>931</v>
      </c>
      <c r="P87" s="1" t="s">
        <v>124</v>
      </c>
      <c r="Q87" s="1"/>
      <c r="R87" s="1" t="s">
        <v>932</v>
      </c>
      <c r="S87" s="1" t="s">
        <v>99</v>
      </c>
      <c r="T87" s="1" t="s">
        <v>933</v>
      </c>
      <c r="U87" s="1" t="s">
        <v>934</v>
      </c>
    </row>
    <row r="88" ht="14.25" customHeight="1">
      <c r="A88" s="1" t="s">
        <v>21</v>
      </c>
      <c r="B88" s="1" t="s">
        <v>935</v>
      </c>
      <c r="C88" s="1" t="s">
        <v>936</v>
      </c>
      <c r="D88" s="3" t="s">
        <v>937</v>
      </c>
      <c r="E88" s="1" t="s">
        <v>99</v>
      </c>
      <c r="F88" s="1" t="s">
        <v>41</v>
      </c>
      <c r="G88" s="1" t="s">
        <v>42</v>
      </c>
      <c r="H88" s="1" t="s">
        <v>228</v>
      </c>
      <c r="I88" s="1" t="s">
        <v>938</v>
      </c>
      <c r="J88" s="1"/>
      <c r="K88" s="1" t="s">
        <v>939</v>
      </c>
      <c r="L88" s="1" t="s">
        <v>940</v>
      </c>
      <c r="M88" s="1" t="s">
        <v>31</v>
      </c>
      <c r="N88" s="1"/>
      <c r="O88" s="1" t="s">
        <v>941</v>
      </c>
      <c r="P88" s="1" t="s">
        <v>73</v>
      </c>
      <c r="Q88" s="1"/>
      <c r="R88" s="1" t="s">
        <v>92</v>
      </c>
      <c r="S88" s="1"/>
      <c r="T88" s="1" t="s">
        <v>942</v>
      </c>
      <c r="U88" s="1" t="s">
        <v>338</v>
      </c>
    </row>
    <row r="89" ht="14.25" customHeight="1">
      <c r="A89" s="1" t="s">
        <v>21</v>
      </c>
      <c r="B89" s="1" t="s">
        <v>943</v>
      </c>
      <c r="C89" s="1" t="s">
        <v>944</v>
      </c>
      <c r="D89" s="3" t="s">
        <v>945</v>
      </c>
      <c r="E89" s="1" t="s">
        <v>54</v>
      </c>
      <c r="F89" s="1" t="s">
        <v>41</v>
      </c>
      <c r="G89" s="1" t="s">
        <v>42</v>
      </c>
      <c r="H89" s="1" t="s">
        <v>228</v>
      </c>
      <c r="I89" s="1" t="s">
        <v>460</v>
      </c>
      <c r="J89" s="1" t="s">
        <v>946</v>
      </c>
      <c r="K89" s="1" t="s">
        <v>947</v>
      </c>
      <c r="L89" s="1" t="s">
        <v>948</v>
      </c>
      <c r="M89" s="1" t="s">
        <v>59</v>
      </c>
      <c r="N89" s="1" t="s">
        <v>949</v>
      </c>
      <c r="O89" s="1"/>
      <c r="P89" s="1"/>
      <c r="Q89" s="1"/>
      <c r="R89" s="1" t="s">
        <v>808</v>
      </c>
      <c r="S89" s="1" t="s">
        <v>54</v>
      </c>
      <c r="T89" s="1" t="s">
        <v>950</v>
      </c>
      <c r="U89" s="1" t="s">
        <v>859</v>
      </c>
    </row>
    <row r="90" ht="14.25" customHeight="1">
      <c r="A90" s="1" t="s">
        <v>21</v>
      </c>
      <c r="B90" s="1" t="s">
        <v>951</v>
      </c>
      <c r="C90" s="1" t="s">
        <v>952</v>
      </c>
      <c r="D90" s="3" t="s">
        <v>953</v>
      </c>
      <c r="E90" s="1" t="s">
        <v>384</v>
      </c>
      <c r="F90" s="1" t="s">
        <v>41</v>
      </c>
      <c r="G90" s="1" t="s">
        <v>42</v>
      </c>
      <c r="H90" s="1" t="s">
        <v>228</v>
      </c>
      <c r="I90" s="1" t="s">
        <v>699</v>
      </c>
      <c r="J90" s="1" t="s">
        <v>954</v>
      </c>
      <c r="K90" s="1" t="s">
        <v>955</v>
      </c>
      <c r="L90" s="1" t="s">
        <v>956</v>
      </c>
      <c r="M90" s="1" t="s">
        <v>59</v>
      </c>
      <c r="N90" s="1" t="s">
        <v>957</v>
      </c>
      <c r="O90" s="1"/>
      <c r="P90" s="1"/>
      <c r="Q90" s="1"/>
      <c r="R90" s="1" t="s">
        <v>791</v>
      </c>
      <c r="S90" s="1" t="s">
        <v>384</v>
      </c>
      <c r="T90" s="1" t="s">
        <v>163</v>
      </c>
      <c r="U90" s="1" t="s">
        <v>163</v>
      </c>
    </row>
    <row r="91" ht="14.25" customHeight="1">
      <c r="A91" s="1" t="s">
        <v>21</v>
      </c>
      <c r="B91" s="1" t="s">
        <v>958</v>
      </c>
      <c r="C91" s="1" t="s">
        <v>959</v>
      </c>
      <c r="D91" s="1"/>
      <c r="E91" s="1"/>
      <c r="F91" s="1" t="s">
        <v>41</v>
      </c>
      <c r="G91" s="1" t="s">
        <v>42</v>
      </c>
      <c r="H91" s="1" t="s">
        <v>228</v>
      </c>
      <c r="I91" s="1" t="s">
        <v>960</v>
      </c>
      <c r="J91" s="1"/>
      <c r="K91" s="1" t="s">
        <v>961</v>
      </c>
      <c r="L91" s="1" t="s">
        <v>962</v>
      </c>
      <c r="M91" s="1" t="s">
        <v>31</v>
      </c>
      <c r="N91" s="1"/>
      <c r="O91" s="1" t="s">
        <v>963</v>
      </c>
      <c r="P91" s="1" t="s">
        <v>209</v>
      </c>
      <c r="Q91" s="1"/>
      <c r="R91" s="1" t="s">
        <v>964</v>
      </c>
      <c r="S91" s="1"/>
      <c r="T91" s="1" t="s">
        <v>965</v>
      </c>
      <c r="U91" s="1" t="s">
        <v>966</v>
      </c>
    </row>
    <row r="92" ht="14.25" customHeight="1">
      <c r="A92" s="1" t="s">
        <v>21</v>
      </c>
      <c r="B92" s="1" t="s">
        <v>967</v>
      </c>
      <c r="C92" s="1" t="s">
        <v>968</v>
      </c>
      <c r="D92" s="3" t="s">
        <v>969</v>
      </c>
      <c r="E92" s="1" t="s">
        <v>54</v>
      </c>
      <c r="F92" s="1" t="s">
        <v>26</v>
      </c>
      <c r="G92" s="1" t="s">
        <v>42</v>
      </c>
      <c r="H92" s="1" t="s">
        <v>33</v>
      </c>
      <c r="I92" s="1" t="s">
        <v>970</v>
      </c>
      <c r="J92" s="1"/>
      <c r="K92" s="1" t="s">
        <v>971</v>
      </c>
      <c r="L92" s="1" t="s">
        <v>972</v>
      </c>
      <c r="M92" s="1" t="s">
        <v>59</v>
      </c>
      <c r="N92" s="1" t="s">
        <v>973</v>
      </c>
      <c r="O92" s="1" t="s">
        <v>974</v>
      </c>
      <c r="P92" s="1" t="s">
        <v>73</v>
      </c>
      <c r="Q92" s="1"/>
      <c r="R92" s="1" t="s">
        <v>975</v>
      </c>
      <c r="S92" s="1"/>
      <c r="T92" s="1" t="s">
        <v>976</v>
      </c>
      <c r="U92" s="1" t="s">
        <v>977</v>
      </c>
    </row>
    <row r="93" ht="14.25" customHeight="1">
      <c r="A93" s="1" t="s">
        <v>21</v>
      </c>
      <c r="B93" s="1" t="s">
        <v>978</v>
      </c>
      <c r="C93" s="1" t="s">
        <v>979</v>
      </c>
      <c r="D93" s="1"/>
      <c r="E93" s="1"/>
      <c r="F93" s="1" t="s">
        <v>41</v>
      </c>
      <c r="G93" s="1" t="s">
        <v>42</v>
      </c>
      <c r="H93" s="1" t="s">
        <v>33</v>
      </c>
      <c r="I93" s="1" t="s">
        <v>817</v>
      </c>
      <c r="J93" s="1"/>
      <c r="K93" s="1" t="s">
        <v>980</v>
      </c>
      <c r="L93" s="1"/>
      <c r="M93" s="1" t="s">
        <v>31</v>
      </c>
      <c r="N93" s="1"/>
      <c r="O93" s="1"/>
      <c r="P93" s="1"/>
      <c r="Q93" s="1"/>
      <c r="R93" s="1" t="s">
        <v>192</v>
      </c>
      <c r="S93" s="1"/>
      <c r="T93" s="1" t="s">
        <v>981</v>
      </c>
      <c r="U93" s="1" t="s">
        <v>982</v>
      </c>
    </row>
    <row r="94" ht="14.25" customHeight="1">
      <c r="A94" s="1" t="s">
        <v>21</v>
      </c>
      <c r="B94" s="1" t="s">
        <v>983</v>
      </c>
      <c r="C94" s="1" t="s">
        <v>984</v>
      </c>
      <c r="D94" s="3" t="s">
        <v>985</v>
      </c>
      <c r="E94" s="1" t="s">
        <v>174</v>
      </c>
      <c r="F94" s="1" t="s">
        <v>41</v>
      </c>
      <c r="G94" s="1" t="s">
        <v>42</v>
      </c>
      <c r="H94" s="1" t="s">
        <v>33</v>
      </c>
      <c r="I94" s="1" t="s">
        <v>676</v>
      </c>
      <c r="J94" s="1" t="s">
        <v>986</v>
      </c>
      <c r="K94" s="1" t="s">
        <v>987</v>
      </c>
      <c r="L94" s="1" t="s">
        <v>988</v>
      </c>
      <c r="M94" s="1" t="s">
        <v>59</v>
      </c>
      <c r="N94" s="1" t="s">
        <v>989</v>
      </c>
      <c r="O94" s="1" t="s">
        <v>990</v>
      </c>
      <c r="P94" s="1" t="s">
        <v>101</v>
      </c>
      <c r="Q94" s="1"/>
      <c r="R94" s="1" t="s">
        <v>584</v>
      </c>
      <c r="S94" s="1" t="s">
        <v>174</v>
      </c>
      <c r="T94" s="1" t="s">
        <v>991</v>
      </c>
      <c r="U94" s="1" t="s">
        <v>992</v>
      </c>
    </row>
    <row r="95" ht="14.25" customHeight="1">
      <c r="A95" s="1" t="s">
        <v>21</v>
      </c>
      <c r="B95" s="1" t="s">
        <v>993</v>
      </c>
      <c r="C95" s="1" t="s">
        <v>994</v>
      </c>
      <c r="D95" s="3" t="s">
        <v>116</v>
      </c>
      <c r="E95" s="1" t="s">
        <v>117</v>
      </c>
      <c r="F95" s="1" t="s">
        <v>41</v>
      </c>
      <c r="G95" s="1" t="s">
        <v>42</v>
      </c>
      <c r="H95" s="1" t="s">
        <v>33</v>
      </c>
      <c r="I95" s="1" t="s">
        <v>995</v>
      </c>
      <c r="J95" s="1"/>
      <c r="K95" s="1" t="s">
        <v>996</v>
      </c>
      <c r="L95" s="1" t="s">
        <v>997</v>
      </c>
      <c r="M95" s="1" t="s">
        <v>31</v>
      </c>
      <c r="N95" s="1"/>
      <c r="O95" s="1" t="s">
        <v>998</v>
      </c>
      <c r="P95" s="1" t="s">
        <v>999</v>
      </c>
      <c r="Q95" s="1"/>
      <c r="R95" s="1" t="s">
        <v>1000</v>
      </c>
      <c r="S95" s="1"/>
      <c r="T95" s="1" t="s">
        <v>1001</v>
      </c>
      <c r="U95" s="1" t="s">
        <v>465</v>
      </c>
    </row>
    <row r="96" ht="14.25" customHeight="1">
      <c r="A96" s="1" t="s">
        <v>21</v>
      </c>
      <c r="B96" s="1" t="s">
        <v>1002</v>
      </c>
      <c r="C96" s="1" t="s">
        <v>1003</v>
      </c>
      <c r="D96" s="1"/>
      <c r="E96" s="1"/>
      <c r="F96" s="1" t="s">
        <v>26</v>
      </c>
      <c r="G96" s="1" t="s">
        <v>27</v>
      </c>
      <c r="H96" s="1" t="s">
        <v>33</v>
      </c>
      <c r="I96" s="1" t="s">
        <v>1004</v>
      </c>
      <c r="J96" s="1"/>
      <c r="K96" s="1" t="s">
        <v>1005</v>
      </c>
      <c r="L96" s="1"/>
      <c r="M96" s="1" t="s">
        <v>31</v>
      </c>
      <c r="N96" s="1"/>
      <c r="O96" s="1"/>
      <c r="P96" s="1"/>
      <c r="Q96" s="1"/>
      <c r="R96" s="1" t="s">
        <v>1004</v>
      </c>
      <c r="S96" s="1"/>
      <c r="T96" s="1" t="s">
        <v>1006</v>
      </c>
      <c r="U96" s="1" t="s">
        <v>517</v>
      </c>
    </row>
    <row r="97" ht="14.25" customHeight="1">
      <c r="A97" s="1" t="s">
        <v>21</v>
      </c>
      <c r="B97" s="1" t="s">
        <v>1007</v>
      </c>
      <c r="C97" s="1" t="s">
        <v>1008</v>
      </c>
      <c r="D97" s="3" t="s">
        <v>1009</v>
      </c>
      <c r="E97" s="1" t="s">
        <v>429</v>
      </c>
      <c r="F97" s="1" t="s">
        <v>26</v>
      </c>
      <c r="G97" s="1" t="s">
        <v>42</v>
      </c>
      <c r="H97" s="1" t="s">
        <v>33</v>
      </c>
      <c r="I97" s="1" t="s">
        <v>63</v>
      </c>
      <c r="J97" s="1"/>
      <c r="K97" s="1" t="s">
        <v>1010</v>
      </c>
      <c r="L97" s="1" t="s">
        <v>1011</v>
      </c>
      <c r="M97" s="1" t="s">
        <v>59</v>
      </c>
      <c r="N97" s="1" t="s">
        <v>1012</v>
      </c>
      <c r="O97" s="1"/>
      <c r="P97" s="1"/>
      <c r="Q97" s="1"/>
      <c r="R97" s="1" t="s">
        <v>505</v>
      </c>
      <c r="S97" s="1"/>
      <c r="T97" s="1" t="s">
        <v>614</v>
      </c>
      <c r="U97" s="1" t="s">
        <v>614</v>
      </c>
    </row>
    <row r="98" ht="14.25" customHeight="1">
      <c r="A98" s="1" t="s">
        <v>21</v>
      </c>
      <c r="B98" s="1" t="s">
        <v>1013</v>
      </c>
      <c r="C98" s="1" t="s">
        <v>1014</v>
      </c>
      <c r="D98" s="3" t="s">
        <v>1015</v>
      </c>
      <c r="E98" s="1" t="s">
        <v>637</v>
      </c>
      <c r="F98" s="1" t="s">
        <v>26</v>
      </c>
      <c r="G98" s="1"/>
      <c r="H98" s="1" t="s">
        <v>33</v>
      </c>
      <c r="I98" s="1" t="s">
        <v>843</v>
      </c>
      <c r="J98" s="1" t="s">
        <v>1016</v>
      </c>
      <c r="K98" s="1" t="s">
        <v>1017</v>
      </c>
      <c r="L98" s="1" t="s">
        <v>1018</v>
      </c>
      <c r="M98" s="1" t="s">
        <v>59</v>
      </c>
      <c r="N98" s="1" t="s">
        <v>1019</v>
      </c>
      <c r="O98" s="1"/>
      <c r="P98" s="1"/>
      <c r="Q98" s="1"/>
      <c r="R98" s="1" t="s">
        <v>764</v>
      </c>
      <c r="S98" s="1"/>
      <c r="T98" s="1" t="s">
        <v>1020</v>
      </c>
      <c r="U98" s="1" t="s">
        <v>628</v>
      </c>
    </row>
    <row r="99" ht="14.25" customHeight="1">
      <c r="A99" s="1" t="s">
        <v>21</v>
      </c>
      <c r="B99" s="1" t="s">
        <v>1021</v>
      </c>
      <c r="C99" s="1" t="s">
        <v>1022</v>
      </c>
      <c r="D99" s="3" t="s">
        <v>570</v>
      </c>
      <c r="E99" s="1" t="s">
        <v>99</v>
      </c>
      <c r="F99" s="1" t="s">
        <v>41</v>
      </c>
      <c r="G99" s="1" t="s">
        <v>42</v>
      </c>
      <c r="H99" s="1" t="s">
        <v>33</v>
      </c>
      <c r="I99" s="1" t="s">
        <v>1023</v>
      </c>
      <c r="J99" s="1" t="s">
        <v>1024</v>
      </c>
      <c r="K99" s="1" t="s">
        <v>1025</v>
      </c>
      <c r="L99" s="1" t="s">
        <v>1026</v>
      </c>
      <c r="M99" s="1" t="s">
        <v>31</v>
      </c>
      <c r="N99" s="1"/>
      <c r="O99" s="1" t="s">
        <v>1027</v>
      </c>
      <c r="P99" s="1" t="s">
        <v>110</v>
      </c>
      <c r="Q99" s="1"/>
      <c r="R99" s="1" t="s">
        <v>1028</v>
      </c>
      <c r="S99" s="1"/>
      <c r="T99" s="1" t="s">
        <v>124</v>
      </c>
      <c r="U99" s="1" t="s">
        <v>124</v>
      </c>
    </row>
    <row r="100" ht="14.25" customHeight="1">
      <c r="A100" s="1" t="s">
        <v>21</v>
      </c>
      <c r="B100" s="1" t="s">
        <v>1029</v>
      </c>
      <c r="C100" s="1" t="s">
        <v>1030</v>
      </c>
      <c r="D100" s="3" t="s">
        <v>1031</v>
      </c>
      <c r="E100" s="1" t="s">
        <v>174</v>
      </c>
      <c r="F100" s="1" t="s">
        <v>41</v>
      </c>
      <c r="G100" s="1" t="s">
        <v>42</v>
      </c>
      <c r="H100" s="1" t="s">
        <v>33</v>
      </c>
      <c r="I100" s="1" t="s">
        <v>1032</v>
      </c>
      <c r="J100" s="1" t="s">
        <v>1033</v>
      </c>
      <c r="K100" s="1" t="s">
        <v>1034</v>
      </c>
      <c r="L100" s="1" t="s">
        <v>1035</v>
      </c>
      <c r="M100" s="1" t="s">
        <v>59</v>
      </c>
      <c r="N100" s="1" t="s">
        <v>1036</v>
      </c>
      <c r="O100" s="1" t="s">
        <v>1037</v>
      </c>
      <c r="P100" s="1" t="s">
        <v>135</v>
      </c>
      <c r="Q100" s="1"/>
      <c r="R100" s="1" t="s">
        <v>975</v>
      </c>
      <c r="S100" s="1" t="s">
        <v>174</v>
      </c>
      <c r="T100" s="1" t="s">
        <v>1038</v>
      </c>
      <c r="U100" s="1" t="s">
        <v>1039</v>
      </c>
    </row>
    <row r="101" ht="14.25" customHeight="1">
      <c r="A101" s="1" t="s">
        <v>21</v>
      </c>
      <c r="B101" s="1" t="s">
        <v>1040</v>
      </c>
      <c r="C101" s="1" t="s">
        <v>1041</v>
      </c>
      <c r="D101" s="3" t="s">
        <v>1042</v>
      </c>
      <c r="E101" s="1" t="s">
        <v>117</v>
      </c>
      <c r="F101" s="1" t="s">
        <v>41</v>
      </c>
      <c r="G101" s="1" t="s">
        <v>42</v>
      </c>
      <c r="H101" s="1" t="s">
        <v>33</v>
      </c>
      <c r="I101" s="1" t="s">
        <v>1043</v>
      </c>
      <c r="J101" s="1"/>
      <c r="K101" s="1" t="s">
        <v>1044</v>
      </c>
      <c r="L101" s="1" t="s">
        <v>1045</v>
      </c>
      <c r="M101" s="1" t="s">
        <v>31</v>
      </c>
      <c r="N101" s="1"/>
      <c r="O101" s="4" t="s">
        <v>1046</v>
      </c>
      <c r="P101" s="1" t="s">
        <v>156</v>
      </c>
      <c r="Q101" s="1"/>
      <c r="R101" s="1" t="s">
        <v>1047</v>
      </c>
      <c r="S101" s="1"/>
      <c r="T101" s="1" t="s">
        <v>1048</v>
      </c>
      <c r="U101" s="1" t="s">
        <v>1049</v>
      </c>
    </row>
    <row r="102" ht="14.25" customHeight="1">
      <c r="A102" s="1" t="s">
        <v>21</v>
      </c>
      <c r="B102" s="1" t="s">
        <v>1050</v>
      </c>
      <c r="C102" s="1" t="s">
        <v>1051</v>
      </c>
      <c r="D102" s="3" t="s">
        <v>1052</v>
      </c>
      <c r="E102" s="1" t="s">
        <v>40</v>
      </c>
      <c r="F102" s="1" t="s">
        <v>26</v>
      </c>
      <c r="G102" s="1" t="s">
        <v>42</v>
      </c>
      <c r="H102" s="1" t="s">
        <v>33</v>
      </c>
      <c r="I102" s="1" t="s">
        <v>1004</v>
      </c>
      <c r="J102" s="1" t="s">
        <v>1053</v>
      </c>
      <c r="K102" s="1" t="s">
        <v>1054</v>
      </c>
      <c r="L102" s="1" t="s">
        <v>1055</v>
      </c>
      <c r="M102" s="1" t="s">
        <v>59</v>
      </c>
      <c r="N102" s="1" t="s">
        <v>1056</v>
      </c>
      <c r="O102" s="1"/>
      <c r="P102" s="1"/>
      <c r="Q102" s="1"/>
      <c r="R102" s="1" t="s">
        <v>1057</v>
      </c>
      <c r="S102" s="1"/>
      <c r="T102" s="1" t="s">
        <v>1058</v>
      </c>
      <c r="U102" s="1" t="s">
        <v>1059</v>
      </c>
    </row>
    <row r="103" ht="14.25" customHeight="1">
      <c r="A103" s="1" t="s">
        <v>21</v>
      </c>
      <c r="B103" s="1" t="s">
        <v>1060</v>
      </c>
      <c r="C103" s="1" t="s">
        <v>1061</v>
      </c>
      <c r="D103" s="3" t="s">
        <v>1062</v>
      </c>
      <c r="E103" s="1" t="s">
        <v>25</v>
      </c>
      <c r="F103" s="1" t="s">
        <v>41</v>
      </c>
      <c r="G103" s="1" t="s">
        <v>42</v>
      </c>
      <c r="H103" s="1" t="s">
        <v>33</v>
      </c>
      <c r="I103" s="1" t="s">
        <v>557</v>
      </c>
      <c r="J103" s="1" t="s">
        <v>1063</v>
      </c>
      <c r="K103" s="1" t="s">
        <v>1064</v>
      </c>
      <c r="L103" s="1" t="s">
        <v>1065</v>
      </c>
      <c r="M103" s="1" t="s">
        <v>59</v>
      </c>
      <c r="N103" s="1" t="s">
        <v>1066</v>
      </c>
      <c r="O103" s="1" t="s">
        <v>999</v>
      </c>
      <c r="P103" s="1"/>
      <c r="Q103" s="1"/>
      <c r="R103" s="1" t="s">
        <v>1067</v>
      </c>
      <c r="S103" s="1" t="s">
        <v>25</v>
      </c>
      <c r="T103" s="1" t="s">
        <v>1068</v>
      </c>
      <c r="U103" s="1" t="s">
        <v>1069</v>
      </c>
    </row>
    <row r="104" ht="14.25" customHeight="1">
      <c r="A104" s="1" t="s">
        <v>21</v>
      </c>
      <c r="B104" s="1" t="s">
        <v>1070</v>
      </c>
      <c r="C104" s="1" t="s">
        <v>1071</v>
      </c>
      <c r="D104" s="3" t="s">
        <v>1072</v>
      </c>
      <c r="E104" s="1" t="s">
        <v>174</v>
      </c>
      <c r="F104" s="1" t="s">
        <v>41</v>
      </c>
      <c r="G104" s="1" t="s">
        <v>42</v>
      </c>
      <c r="H104" s="1" t="s">
        <v>33</v>
      </c>
      <c r="I104" s="1" t="s">
        <v>1073</v>
      </c>
      <c r="J104" s="1" t="s">
        <v>1074</v>
      </c>
      <c r="K104" s="1" t="s">
        <v>1075</v>
      </c>
      <c r="L104" s="1" t="s">
        <v>1076</v>
      </c>
      <c r="M104" s="1" t="s">
        <v>59</v>
      </c>
      <c r="N104" s="1" t="s">
        <v>1077</v>
      </c>
      <c r="O104" s="1" t="s">
        <v>614</v>
      </c>
      <c r="P104" s="1"/>
      <c r="Q104" s="1"/>
      <c r="R104" s="1" t="s">
        <v>1078</v>
      </c>
      <c r="S104" s="1" t="s">
        <v>174</v>
      </c>
      <c r="T104" s="1" t="s">
        <v>1079</v>
      </c>
      <c r="U104" s="1" t="s">
        <v>1080</v>
      </c>
    </row>
    <row r="105" ht="14.25" customHeight="1">
      <c r="A105" s="1" t="s">
        <v>21</v>
      </c>
      <c r="B105" s="1" t="s">
        <v>1081</v>
      </c>
      <c r="C105" s="1" t="s">
        <v>1082</v>
      </c>
      <c r="D105" s="3" t="s">
        <v>1083</v>
      </c>
      <c r="E105" s="1" t="s">
        <v>117</v>
      </c>
      <c r="F105" s="1" t="s">
        <v>41</v>
      </c>
      <c r="G105" s="1" t="s">
        <v>42</v>
      </c>
      <c r="H105" s="1" t="s">
        <v>124</v>
      </c>
      <c r="I105" s="1" t="s">
        <v>357</v>
      </c>
      <c r="J105" s="1"/>
      <c r="K105" s="1" t="s">
        <v>1084</v>
      </c>
      <c r="L105" s="1" t="s">
        <v>1085</v>
      </c>
      <c r="M105" s="1" t="s">
        <v>31</v>
      </c>
      <c r="N105" s="1"/>
      <c r="O105" s="4" t="s">
        <v>1086</v>
      </c>
      <c r="P105" s="1" t="s">
        <v>1087</v>
      </c>
      <c r="Q105" s="1"/>
      <c r="R105" s="1" t="s">
        <v>298</v>
      </c>
      <c r="S105" s="1"/>
      <c r="T105" s="1" t="s">
        <v>1088</v>
      </c>
      <c r="U105" s="1" t="s">
        <v>932</v>
      </c>
    </row>
    <row r="106" ht="14.25" customHeight="1">
      <c r="A106" s="1" t="s">
        <v>21</v>
      </c>
      <c r="B106" s="1" t="s">
        <v>1089</v>
      </c>
      <c r="C106" s="1" t="s">
        <v>1090</v>
      </c>
      <c r="D106" s="1"/>
      <c r="E106" s="1"/>
      <c r="F106" s="1" t="s">
        <v>41</v>
      </c>
      <c r="G106" s="1" t="s">
        <v>42</v>
      </c>
      <c r="H106" s="1" t="s">
        <v>124</v>
      </c>
      <c r="I106" s="1" t="s">
        <v>424</v>
      </c>
      <c r="J106" s="1" t="s">
        <v>1091</v>
      </c>
      <c r="K106" s="1" t="s">
        <v>1092</v>
      </c>
      <c r="L106" s="1" t="s">
        <v>1093</v>
      </c>
      <c r="M106" s="1" t="s">
        <v>59</v>
      </c>
      <c r="N106" s="1" t="s">
        <v>1094</v>
      </c>
      <c r="O106" s="1" t="s">
        <v>1095</v>
      </c>
      <c r="P106" s="1" t="s">
        <v>932</v>
      </c>
      <c r="Q106" s="1"/>
      <c r="R106" s="1" t="s">
        <v>243</v>
      </c>
      <c r="S106" s="1" t="s">
        <v>174</v>
      </c>
      <c r="T106" s="1" t="s">
        <v>1096</v>
      </c>
      <c r="U106" s="1" t="s">
        <v>1097</v>
      </c>
    </row>
    <row r="107" ht="14.25" customHeight="1">
      <c r="A107" s="1" t="s">
        <v>21</v>
      </c>
      <c r="B107" s="1" t="s">
        <v>1098</v>
      </c>
      <c r="C107" s="1" t="s">
        <v>1099</v>
      </c>
      <c r="D107" s="3" t="s">
        <v>1100</v>
      </c>
      <c r="E107" s="1" t="s">
        <v>99</v>
      </c>
      <c r="F107" s="1" t="s">
        <v>41</v>
      </c>
      <c r="G107" s="1" t="s">
        <v>42</v>
      </c>
      <c r="H107" s="1" t="s">
        <v>124</v>
      </c>
      <c r="I107" s="1" t="s">
        <v>1101</v>
      </c>
      <c r="J107" s="1" t="s">
        <v>1102</v>
      </c>
      <c r="K107" s="1" t="s">
        <v>1103</v>
      </c>
      <c r="L107" s="1" t="s">
        <v>1104</v>
      </c>
      <c r="M107" s="1" t="s">
        <v>31</v>
      </c>
      <c r="N107" s="1"/>
      <c r="O107" s="1" t="s">
        <v>1105</v>
      </c>
      <c r="P107" s="1" t="s">
        <v>731</v>
      </c>
      <c r="Q107" s="1"/>
      <c r="R107" s="1" t="s">
        <v>886</v>
      </c>
      <c r="S107" s="1"/>
      <c r="T107" s="1" t="s">
        <v>1106</v>
      </c>
      <c r="U107" s="1" t="s">
        <v>1107</v>
      </c>
    </row>
    <row r="108" ht="14.25" customHeight="1">
      <c r="A108" s="1" t="s">
        <v>21</v>
      </c>
      <c r="B108" s="1" t="s">
        <v>1108</v>
      </c>
      <c r="C108" s="1" t="s">
        <v>1109</v>
      </c>
      <c r="D108" s="3" t="s">
        <v>1110</v>
      </c>
      <c r="E108" s="1" t="s">
        <v>79</v>
      </c>
      <c r="F108" s="1" t="s">
        <v>41</v>
      </c>
      <c r="G108" s="1" t="s">
        <v>42</v>
      </c>
      <c r="H108" s="1" t="s">
        <v>124</v>
      </c>
      <c r="I108" s="1" t="s">
        <v>1111</v>
      </c>
      <c r="J108" s="1"/>
      <c r="K108" s="1" t="s">
        <v>1112</v>
      </c>
      <c r="L108" s="1" t="s">
        <v>1113</v>
      </c>
      <c r="M108" s="1" t="s">
        <v>31</v>
      </c>
      <c r="N108" s="1"/>
      <c r="O108" s="4" t="s">
        <v>1114</v>
      </c>
      <c r="P108" s="1" t="s">
        <v>135</v>
      </c>
      <c r="Q108" s="1"/>
      <c r="R108" s="1" t="s">
        <v>995</v>
      </c>
      <c r="S108" s="1"/>
      <c r="T108" s="1" t="s">
        <v>1115</v>
      </c>
      <c r="U108" s="1" t="s">
        <v>487</v>
      </c>
    </row>
    <row r="109" ht="14.25" customHeight="1">
      <c r="A109" s="1" t="s">
        <v>21</v>
      </c>
      <c r="B109" s="1" t="s">
        <v>1116</v>
      </c>
      <c r="C109" s="1" t="s">
        <v>1117</v>
      </c>
      <c r="D109" s="3" t="s">
        <v>1118</v>
      </c>
      <c r="E109" s="1" t="s">
        <v>384</v>
      </c>
      <c r="F109" s="1" t="s">
        <v>41</v>
      </c>
      <c r="G109" s="1" t="s">
        <v>1119</v>
      </c>
      <c r="H109" s="1" t="s">
        <v>124</v>
      </c>
      <c r="I109" s="1" t="s">
        <v>163</v>
      </c>
      <c r="J109" s="1" t="s">
        <v>1120</v>
      </c>
      <c r="K109" s="1" t="s">
        <v>1121</v>
      </c>
      <c r="L109" s="1" t="s">
        <v>1122</v>
      </c>
      <c r="M109" s="1" t="s">
        <v>59</v>
      </c>
      <c r="N109" s="1" t="s">
        <v>1123</v>
      </c>
      <c r="O109" s="1"/>
      <c r="P109" s="1"/>
      <c r="Q109" s="1"/>
      <c r="R109" s="1" t="s">
        <v>1124</v>
      </c>
      <c r="S109" s="1" t="s">
        <v>384</v>
      </c>
      <c r="T109" s="1" t="s">
        <v>1125</v>
      </c>
      <c r="U109" s="1" t="s">
        <v>1126</v>
      </c>
    </row>
    <row r="110" ht="14.25" customHeight="1">
      <c r="A110" s="1" t="s">
        <v>21</v>
      </c>
      <c r="B110" s="1" t="s">
        <v>1127</v>
      </c>
      <c r="C110" s="1" t="s">
        <v>1128</v>
      </c>
      <c r="D110" s="1"/>
      <c r="E110" s="1"/>
      <c r="F110" s="1" t="s">
        <v>26</v>
      </c>
      <c r="G110" s="1"/>
      <c r="H110" s="1" t="s">
        <v>124</v>
      </c>
      <c r="I110" s="1" t="s">
        <v>43</v>
      </c>
      <c r="J110" s="1"/>
      <c r="K110" s="1" t="s">
        <v>1129</v>
      </c>
      <c r="L110" s="1"/>
      <c r="M110" s="1" t="s">
        <v>31</v>
      </c>
      <c r="N110" s="1"/>
      <c r="O110" s="1"/>
      <c r="P110" s="1"/>
      <c r="Q110" s="1"/>
      <c r="R110" s="1" t="s">
        <v>209</v>
      </c>
      <c r="S110" s="1"/>
      <c r="T110" s="1" t="s">
        <v>1130</v>
      </c>
      <c r="U110" s="1" t="s">
        <v>932</v>
      </c>
    </row>
    <row r="111" ht="14.25" customHeight="1">
      <c r="A111" s="1" t="s">
        <v>21</v>
      </c>
      <c r="B111" s="1" t="s">
        <v>1131</v>
      </c>
      <c r="C111" s="1" t="s">
        <v>1132</v>
      </c>
      <c r="D111" s="3" t="s">
        <v>1133</v>
      </c>
      <c r="E111" s="1" t="s">
        <v>99</v>
      </c>
      <c r="F111" s="1" t="s">
        <v>118</v>
      </c>
      <c r="G111" s="1" t="s">
        <v>42</v>
      </c>
      <c r="H111" s="1" t="s">
        <v>124</v>
      </c>
      <c r="I111" s="1" t="s">
        <v>817</v>
      </c>
      <c r="J111" s="1" t="s">
        <v>1134</v>
      </c>
      <c r="K111" s="1" t="s">
        <v>1135</v>
      </c>
      <c r="L111" s="1" t="s">
        <v>1136</v>
      </c>
      <c r="M111" s="1" t="s">
        <v>31</v>
      </c>
      <c r="N111" s="1"/>
      <c r="O111" s="1" t="s">
        <v>1137</v>
      </c>
      <c r="P111" s="1" t="s">
        <v>124</v>
      </c>
      <c r="Q111" s="1"/>
      <c r="R111" s="1" t="s">
        <v>932</v>
      </c>
      <c r="S111" s="1"/>
      <c r="T111" s="1" t="s">
        <v>1138</v>
      </c>
      <c r="U111" s="1" t="s">
        <v>1139</v>
      </c>
    </row>
    <row r="112" ht="14.25" customHeight="1">
      <c r="A112" s="1" t="s">
        <v>21</v>
      </c>
      <c r="B112" s="1" t="s">
        <v>1140</v>
      </c>
      <c r="C112" s="1" t="s">
        <v>1141</v>
      </c>
      <c r="D112" s="1"/>
      <c r="E112" s="1"/>
      <c r="F112" s="1" t="s">
        <v>41</v>
      </c>
      <c r="G112" s="1" t="s">
        <v>42</v>
      </c>
      <c r="H112" s="1" t="s">
        <v>124</v>
      </c>
      <c r="I112" s="1" t="s">
        <v>259</v>
      </c>
      <c r="J112" s="1" t="s">
        <v>1142</v>
      </c>
      <c r="K112" s="1" t="s">
        <v>1143</v>
      </c>
      <c r="L112" s="1" t="s">
        <v>1144</v>
      </c>
      <c r="M112" s="1" t="s">
        <v>59</v>
      </c>
      <c r="N112" s="1" t="s">
        <v>1145</v>
      </c>
      <c r="O112" s="1" t="s">
        <v>1146</v>
      </c>
      <c r="P112" s="1" t="s">
        <v>202</v>
      </c>
      <c r="Q112" s="1"/>
      <c r="R112" s="1" t="s">
        <v>1147</v>
      </c>
      <c r="S112" s="1" t="s">
        <v>384</v>
      </c>
      <c r="T112" s="1" t="s">
        <v>1148</v>
      </c>
      <c r="U112" s="1" t="s">
        <v>1149</v>
      </c>
    </row>
    <row r="113" ht="14.25" customHeight="1">
      <c r="A113" s="1" t="s">
        <v>21</v>
      </c>
      <c r="B113" s="1" t="s">
        <v>1150</v>
      </c>
      <c r="C113" s="1" t="s">
        <v>1151</v>
      </c>
      <c r="D113" s="3" t="s">
        <v>570</v>
      </c>
      <c r="E113" s="1" t="s">
        <v>99</v>
      </c>
      <c r="F113" s="1" t="s">
        <v>26</v>
      </c>
      <c r="G113" s="1" t="s">
        <v>42</v>
      </c>
      <c r="H113" s="1" t="s">
        <v>124</v>
      </c>
      <c r="I113" s="1" t="s">
        <v>913</v>
      </c>
      <c r="J113" s="1" t="s">
        <v>1152</v>
      </c>
      <c r="K113" s="1" t="s">
        <v>1153</v>
      </c>
      <c r="L113" s="1" t="s">
        <v>1154</v>
      </c>
      <c r="M113" s="1" t="s">
        <v>31</v>
      </c>
      <c r="N113" s="1"/>
      <c r="O113" s="1" t="s">
        <v>1155</v>
      </c>
      <c r="P113" s="1" t="s">
        <v>1126</v>
      </c>
      <c r="Q113" s="1"/>
      <c r="R113" s="1" t="s">
        <v>110</v>
      </c>
      <c r="S113" s="1"/>
      <c r="T113" s="1" t="s">
        <v>1156</v>
      </c>
      <c r="U113" s="1" t="s">
        <v>1157</v>
      </c>
    </row>
    <row r="114" ht="14.25" customHeight="1">
      <c r="A114" s="1" t="s">
        <v>21</v>
      </c>
      <c r="B114" s="1" t="s">
        <v>1158</v>
      </c>
      <c r="C114" s="1" t="s">
        <v>1159</v>
      </c>
      <c r="D114" s="3" t="s">
        <v>1160</v>
      </c>
      <c r="E114" s="1" t="s">
        <v>174</v>
      </c>
      <c r="F114" s="1" t="s">
        <v>41</v>
      </c>
      <c r="G114" s="1" t="s">
        <v>42</v>
      </c>
      <c r="H114" s="1" t="s">
        <v>124</v>
      </c>
      <c r="I114" s="1" t="s">
        <v>1161</v>
      </c>
      <c r="J114" s="1" t="s">
        <v>1162</v>
      </c>
      <c r="K114" s="1" t="s">
        <v>1163</v>
      </c>
      <c r="L114" s="1" t="s">
        <v>1164</v>
      </c>
      <c r="M114" s="1" t="s">
        <v>59</v>
      </c>
      <c r="N114" s="1" t="s">
        <v>1165</v>
      </c>
      <c r="O114" s="1" t="s">
        <v>1166</v>
      </c>
      <c r="P114" s="1" t="s">
        <v>247</v>
      </c>
      <c r="Q114" s="1"/>
      <c r="R114" s="1" t="s">
        <v>1167</v>
      </c>
      <c r="S114" s="1"/>
      <c r="T114" s="1" t="s">
        <v>1168</v>
      </c>
      <c r="U114" s="1" t="s">
        <v>125</v>
      </c>
    </row>
    <row r="115" ht="14.25" customHeight="1">
      <c r="A115" s="1" t="s">
        <v>21</v>
      </c>
      <c r="B115" s="1" t="s">
        <v>1169</v>
      </c>
      <c r="C115" s="1" t="s">
        <v>1170</v>
      </c>
      <c r="D115" s="3" t="s">
        <v>1171</v>
      </c>
      <c r="E115" s="1" t="s">
        <v>384</v>
      </c>
      <c r="F115" s="1" t="s">
        <v>41</v>
      </c>
      <c r="G115" s="1" t="s">
        <v>1119</v>
      </c>
      <c r="H115" s="1" t="s">
        <v>124</v>
      </c>
      <c r="I115" s="1" t="s">
        <v>770</v>
      </c>
      <c r="J115" s="1" t="s">
        <v>1172</v>
      </c>
      <c r="K115" s="1" t="s">
        <v>1173</v>
      </c>
      <c r="L115" s="1" t="s">
        <v>1174</v>
      </c>
      <c r="M115" s="1" t="s">
        <v>59</v>
      </c>
      <c r="N115" s="1" t="s">
        <v>1175</v>
      </c>
      <c r="O115" s="1"/>
      <c r="P115" s="1"/>
      <c r="Q115" s="1"/>
      <c r="R115" s="1" t="s">
        <v>63</v>
      </c>
      <c r="S115" s="1" t="s">
        <v>384</v>
      </c>
      <c r="T115" s="1" t="s">
        <v>1176</v>
      </c>
      <c r="U115" s="1" t="s">
        <v>1177</v>
      </c>
    </row>
    <row r="116" ht="14.25" customHeight="1">
      <c r="A116" s="1" t="s">
        <v>21</v>
      </c>
      <c r="B116" s="1" t="s">
        <v>1178</v>
      </c>
      <c r="C116" s="1" t="s">
        <v>1179</v>
      </c>
      <c r="D116" s="3" t="s">
        <v>1180</v>
      </c>
      <c r="E116" s="1" t="s">
        <v>25</v>
      </c>
      <c r="F116" s="1" t="s">
        <v>41</v>
      </c>
      <c r="G116" s="1" t="s">
        <v>42</v>
      </c>
      <c r="H116" s="1" t="s">
        <v>124</v>
      </c>
      <c r="I116" s="1" t="s">
        <v>455</v>
      </c>
      <c r="J116" s="1"/>
      <c r="K116" s="1" t="s">
        <v>1181</v>
      </c>
      <c r="L116" s="1" t="s">
        <v>1182</v>
      </c>
      <c r="M116" s="1" t="s">
        <v>31</v>
      </c>
      <c r="N116" s="1"/>
      <c r="O116" s="1" t="s">
        <v>1183</v>
      </c>
      <c r="P116" s="1" t="s">
        <v>369</v>
      </c>
      <c r="Q116" s="1"/>
      <c r="R116" s="1" t="s">
        <v>136</v>
      </c>
      <c r="S116" s="1"/>
      <c r="T116" s="1" t="s">
        <v>1184</v>
      </c>
      <c r="U116" s="1" t="s">
        <v>830</v>
      </c>
    </row>
    <row r="117" ht="14.25" customHeight="1">
      <c r="A117" s="1" t="s">
        <v>21</v>
      </c>
      <c r="B117" s="1" t="s">
        <v>1185</v>
      </c>
      <c r="C117" s="1" t="s">
        <v>1186</v>
      </c>
      <c r="D117" s="3" t="s">
        <v>1187</v>
      </c>
      <c r="E117" s="1" t="s">
        <v>91</v>
      </c>
      <c r="F117" s="1" t="s">
        <v>41</v>
      </c>
      <c r="G117" s="1" t="s">
        <v>42</v>
      </c>
      <c r="H117" s="1" t="s">
        <v>124</v>
      </c>
      <c r="I117" s="1" t="s">
        <v>1188</v>
      </c>
      <c r="J117" s="1" t="s">
        <v>1189</v>
      </c>
      <c r="K117" s="1" t="s">
        <v>1190</v>
      </c>
      <c r="L117" s="1" t="s">
        <v>1191</v>
      </c>
      <c r="M117" s="1" t="s">
        <v>59</v>
      </c>
      <c r="N117" s="1" t="s">
        <v>1192</v>
      </c>
      <c r="O117" s="1"/>
      <c r="P117" s="1"/>
      <c r="Q117" s="1"/>
      <c r="R117" s="1" t="s">
        <v>1193</v>
      </c>
      <c r="S117" s="1" t="s">
        <v>91</v>
      </c>
      <c r="T117" s="1" t="s">
        <v>1194</v>
      </c>
      <c r="U117" s="1" t="s">
        <v>1126</v>
      </c>
    </row>
    <row r="118" ht="14.25" customHeight="1">
      <c r="A118" s="1" t="s">
        <v>21</v>
      </c>
      <c r="B118" s="1" t="s">
        <v>1195</v>
      </c>
      <c r="C118" s="1" t="s">
        <v>1196</v>
      </c>
      <c r="D118" s="3" t="s">
        <v>1197</v>
      </c>
      <c r="E118" s="1" t="s">
        <v>79</v>
      </c>
      <c r="F118" s="1" t="s">
        <v>41</v>
      </c>
      <c r="G118" s="1" t="s">
        <v>42</v>
      </c>
      <c r="H118" s="1" t="s">
        <v>124</v>
      </c>
      <c r="I118" s="1" t="s">
        <v>1198</v>
      </c>
      <c r="J118" s="1"/>
      <c r="K118" s="1" t="s">
        <v>1199</v>
      </c>
      <c r="L118" s="1" t="s">
        <v>1200</v>
      </c>
      <c r="M118" s="1" t="s">
        <v>59</v>
      </c>
      <c r="N118" s="1" t="s">
        <v>1201</v>
      </c>
      <c r="O118" s="4" t="s">
        <v>1202</v>
      </c>
      <c r="P118" s="1" t="s">
        <v>298</v>
      </c>
      <c r="Q118" s="1"/>
      <c r="R118" s="1" t="s">
        <v>259</v>
      </c>
      <c r="S118" s="1"/>
      <c r="T118" s="1" t="s">
        <v>217</v>
      </c>
      <c r="U118" s="1" t="s">
        <v>215</v>
      </c>
    </row>
    <row r="119" ht="14.25" customHeight="1">
      <c r="A119" s="1" t="s">
        <v>21</v>
      </c>
      <c r="B119" s="1" t="s">
        <v>1203</v>
      </c>
      <c r="C119" s="1" t="s">
        <v>1204</v>
      </c>
      <c r="D119" s="1"/>
      <c r="E119" s="1"/>
      <c r="F119" s="1" t="s">
        <v>41</v>
      </c>
      <c r="G119" s="1" t="s">
        <v>42</v>
      </c>
      <c r="H119" s="1" t="s">
        <v>124</v>
      </c>
      <c r="I119" s="1" t="s">
        <v>271</v>
      </c>
      <c r="J119" s="1"/>
      <c r="K119" s="1" t="s">
        <v>1205</v>
      </c>
      <c r="L119" s="1" t="s">
        <v>1206</v>
      </c>
      <c r="M119" s="1" t="s">
        <v>31</v>
      </c>
      <c r="N119" s="1"/>
      <c r="O119" s="1" t="s">
        <v>1207</v>
      </c>
      <c r="P119" s="1" t="s">
        <v>1126</v>
      </c>
      <c r="Q119" s="1"/>
      <c r="R119" s="1" t="s">
        <v>1087</v>
      </c>
      <c r="S119" s="1"/>
      <c r="T119" s="1" t="s">
        <v>1208</v>
      </c>
      <c r="U119" s="1" t="s">
        <v>101</v>
      </c>
    </row>
    <row r="120" ht="14.25" customHeight="1">
      <c r="A120" s="1" t="s">
        <v>21</v>
      </c>
      <c r="B120" s="1" t="s">
        <v>1209</v>
      </c>
      <c r="C120" s="1" t="s">
        <v>1210</v>
      </c>
      <c r="D120" s="3" t="s">
        <v>1211</v>
      </c>
      <c r="E120" s="1" t="s">
        <v>637</v>
      </c>
      <c r="F120" s="1" t="s">
        <v>41</v>
      </c>
      <c r="G120" s="1" t="s">
        <v>42</v>
      </c>
      <c r="H120" s="1" t="s">
        <v>124</v>
      </c>
      <c r="I120" s="1" t="s">
        <v>759</v>
      </c>
      <c r="J120" s="1" t="s">
        <v>1212</v>
      </c>
      <c r="K120" s="1" t="s">
        <v>1213</v>
      </c>
      <c r="L120" s="1" t="s">
        <v>1214</v>
      </c>
      <c r="M120" s="1" t="s">
        <v>59</v>
      </c>
      <c r="N120" s="1" t="s">
        <v>1215</v>
      </c>
      <c r="O120" s="1" t="s">
        <v>1216</v>
      </c>
      <c r="P120" s="1" t="s">
        <v>62</v>
      </c>
      <c r="Q120" s="1"/>
      <c r="R120" s="1" t="s">
        <v>1217</v>
      </c>
      <c r="S120" s="1" t="s">
        <v>637</v>
      </c>
      <c r="T120" s="1" t="s">
        <v>1218</v>
      </c>
      <c r="U120" s="1" t="s">
        <v>1219</v>
      </c>
    </row>
    <row r="121" ht="14.25" customHeight="1">
      <c r="A121" s="1" t="s">
        <v>21</v>
      </c>
      <c r="B121" s="1" t="s">
        <v>1220</v>
      </c>
      <c r="C121" s="1" t="s">
        <v>1221</v>
      </c>
      <c r="D121" s="3" t="s">
        <v>1222</v>
      </c>
      <c r="E121" s="1" t="s">
        <v>429</v>
      </c>
      <c r="F121" s="1" t="s">
        <v>41</v>
      </c>
      <c r="G121" s="1" t="s">
        <v>42</v>
      </c>
      <c r="H121" s="1" t="s">
        <v>124</v>
      </c>
      <c r="I121" s="1" t="s">
        <v>1223</v>
      </c>
      <c r="J121" s="1"/>
      <c r="K121" s="1" t="s">
        <v>1224</v>
      </c>
      <c r="L121" s="1" t="s">
        <v>1225</v>
      </c>
      <c r="M121" s="1" t="s">
        <v>31</v>
      </c>
      <c r="N121" s="1"/>
      <c r="O121" s="1" t="s">
        <v>1226</v>
      </c>
      <c r="P121" s="1" t="s">
        <v>135</v>
      </c>
      <c r="Q121" s="1"/>
      <c r="R121" s="1" t="s">
        <v>1227</v>
      </c>
      <c r="S121" s="1"/>
      <c r="T121" s="1" t="s">
        <v>1228</v>
      </c>
      <c r="U121" s="1" t="s">
        <v>517</v>
      </c>
    </row>
    <row r="122" ht="14.25" customHeight="1">
      <c r="A122" s="1" t="s">
        <v>21</v>
      </c>
      <c r="B122" s="1" t="s">
        <v>1229</v>
      </c>
      <c r="C122" s="1" t="s">
        <v>1230</v>
      </c>
      <c r="D122" s="3" t="s">
        <v>1231</v>
      </c>
      <c r="E122" s="1" t="s">
        <v>40</v>
      </c>
      <c r="F122" s="1" t="s">
        <v>118</v>
      </c>
      <c r="G122" s="1" t="s">
        <v>232</v>
      </c>
      <c r="H122" s="1" t="s">
        <v>124</v>
      </c>
      <c r="I122" s="1" t="s">
        <v>28</v>
      </c>
      <c r="J122" s="1"/>
      <c r="K122" s="1" t="s">
        <v>1232</v>
      </c>
      <c r="L122" s="1" t="s">
        <v>1233</v>
      </c>
      <c r="M122" s="1" t="s">
        <v>59</v>
      </c>
      <c r="N122" s="1" t="s">
        <v>1234</v>
      </c>
      <c r="O122" s="1" t="s">
        <v>1235</v>
      </c>
      <c r="P122" s="1" t="s">
        <v>124</v>
      </c>
      <c r="Q122" s="1"/>
      <c r="R122" s="1" t="s">
        <v>34</v>
      </c>
      <c r="S122" s="1"/>
      <c r="T122" s="1" t="s">
        <v>1236</v>
      </c>
      <c r="U122" s="1" t="s">
        <v>1237</v>
      </c>
    </row>
    <row r="123" ht="14.25" customHeight="1">
      <c r="A123" s="1" t="s">
        <v>21</v>
      </c>
      <c r="B123" s="1" t="s">
        <v>1238</v>
      </c>
      <c r="C123" s="1" t="s">
        <v>1239</v>
      </c>
      <c r="D123" s="3" t="s">
        <v>1240</v>
      </c>
      <c r="E123" s="1" t="s">
        <v>91</v>
      </c>
      <c r="F123" s="1" t="s">
        <v>41</v>
      </c>
      <c r="G123" s="1" t="s">
        <v>42</v>
      </c>
      <c r="H123" s="1" t="s">
        <v>124</v>
      </c>
      <c r="I123" s="1" t="s">
        <v>1227</v>
      </c>
      <c r="J123" s="1" t="s">
        <v>1241</v>
      </c>
      <c r="K123" s="1" t="s">
        <v>1242</v>
      </c>
      <c r="L123" s="1" t="s">
        <v>1243</v>
      </c>
      <c r="M123" s="1" t="s">
        <v>31</v>
      </c>
      <c r="N123" s="1"/>
      <c r="O123" s="1"/>
      <c r="P123" s="1"/>
      <c r="Q123" s="1"/>
      <c r="R123" s="1" t="s">
        <v>1244</v>
      </c>
      <c r="S123" s="1" t="s">
        <v>91</v>
      </c>
      <c r="T123" s="1" t="s">
        <v>1245</v>
      </c>
      <c r="U123" s="1" t="s">
        <v>228</v>
      </c>
    </row>
    <row r="124" ht="14.25" customHeight="1">
      <c r="A124" s="1" t="s">
        <v>21</v>
      </c>
      <c r="B124" s="1" t="s">
        <v>1246</v>
      </c>
      <c r="C124" s="1" t="s">
        <v>1247</v>
      </c>
      <c r="D124" s="3" t="s">
        <v>1248</v>
      </c>
      <c r="E124" s="1" t="s">
        <v>54</v>
      </c>
      <c r="F124" s="1" t="s">
        <v>622</v>
      </c>
      <c r="G124" s="1" t="s">
        <v>42</v>
      </c>
      <c r="H124" s="1" t="s">
        <v>124</v>
      </c>
      <c r="I124" s="1" t="s">
        <v>55</v>
      </c>
      <c r="J124" s="1"/>
      <c r="K124" s="1" t="s">
        <v>1249</v>
      </c>
      <c r="L124" s="1" t="s">
        <v>1250</v>
      </c>
      <c r="M124" s="1" t="s">
        <v>31</v>
      </c>
      <c r="N124" s="1"/>
      <c r="O124" s="1" t="s">
        <v>1251</v>
      </c>
      <c r="P124" s="1" t="s">
        <v>124</v>
      </c>
      <c r="Q124" s="1"/>
      <c r="R124" s="1" t="s">
        <v>209</v>
      </c>
      <c r="S124" s="1"/>
      <c r="T124" s="1" t="s">
        <v>1252</v>
      </c>
      <c r="U124" s="1" t="s">
        <v>1253</v>
      </c>
    </row>
    <row r="125" ht="14.25" customHeight="1">
      <c r="A125" s="1" t="s">
        <v>21</v>
      </c>
      <c r="B125" s="1" t="s">
        <v>1254</v>
      </c>
      <c r="C125" s="1" t="s">
        <v>1255</v>
      </c>
      <c r="D125" s="3" t="s">
        <v>1256</v>
      </c>
      <c r="E125" s="1" t="s">
        <v>637</v>
      </c>
      <c r="F125" s="1" t="s">
        <v>41</v>
      </c>
      <c r="G125" s="1" t="s">
        <v>42</v>
      </c>
      <c r="H125" s="1" t="s">
        <v>124</v>
      </c>
      <c r="I125" s="1" t="s">
        <v>367</v>
      </c>
      <c r="J125" s="1"/>
      <c r="K125" s="1" t="s">
        <v>1257</v>
      </c>
      <c r="L125" s="1" t="s">
        <v>1258</v>
      </c>
      <c r="M125" s="1" t="s">
        <v>59</v>
      </c>
      <c r="N125" s="1" t="s">
        <v>1259</v>
      </c>
      <c r="O125" s="1" t="s">
        <v>1260</v>
      </c>
      <c r="P125" s="1"/>
      <c r="Q125" s="1"/>
      <c r="R125" s="1" t="s">
        <v>1261</v>
      </c>
      <c r="S125" s="1" t="s">
        <v>637</v>
      </c>
      <c r="T125" s="1" t="s">
        <v>1262</v>
      </c>
      <c r="U125" s="1" t="s">
        <v>1263</v>
      </c>
    </row>
    <row r="126" ht="14.25" customHeight="1">
      <c r="A126" s="1" t="s">
        <v>21</v>
      </c>
      <c r="B126" s="1" t="s">
        <v>1264</v>
      </c>
      <c r="C126" s="1" t="s">
        <v>1265</v>
      </c>
      <c r="D126" s="1"/>
      <c r="E126" s="1"/>
      <c r="F126" s="1" t="s">
        <v>41</v>
      </c>
      <c r="G126" s="1" t="s">
        <v>42</v>
      </c>
      <c r="H126" s="1" t="s">
        <v>1266</v>
      </c>
      <c r="I126" s="1" t="s">
        <v>203</v>
      </c>
      <c r="J126" s="1" t="s">
        <v>1267</v>
      </c>
      <c r="K126" s="1" t="s">
        <v>1268</v>
      </c>
      <c r="L126" s="1" t="s">
        <v>1269</v>
      </c>
      <c r="M126" s="1" t="s">
        <v>59</v>
      </c>
      <c r="N126" s="1" t="s">
        <v>1270</v>
      </c>
      <c r="O126" s="1" t="s">
        <v>1271</v>
      </c>
      <c r="P126" s="1" t="s">
        <v>34</v>
      </c>
      <c r="Q126" s="1"/>
      <c r="R126" s="1" t="s">
        <v>1272</v>
      </c>
      <c r="S126" s="1" t="s">
        <v>616</v>
      </c>
      <c r="T126" s="1" t="s">
        <v>1273</v>
      </c>
      <c r="U126" s="1" t="s">
        <v>1274</v>
      </c>
    </row>
    <row r="127" ht="14.25" customHeight="1">
      <c r="A127" s="1" t="s">
        <v>21</v>
      </c>
      <c r="B127" s="1" t="s">
        <v>1275</v>
      </c>
      <c r="C127" s="1" t="s">
        <v>1276</v>
      </c>
      <c r="D127" s="3" t="s">
        <v>1277</v>
      </c>
      <c r="E127" s="1" t="s">
        <v>99</v>
      </c>
      <c r="F127" s="1" t="s">
        <v>41</v>
      </c>
      <c r="G127" s="1" t="s">
        <v>42</v>
      </c>
      <c r="H127" s="1" t="s">
        <v>1266</v>
      </c>
      <c r="I127" s="1" t="s">
        <v>192</v>
      </c>
      <c r="J127" s="1"/>
      <c r="K127" s="1" t="s">
        <v>1278</v>
      </c>
      <c r="L127" s="1" t="s">
        <v>1279</v>
      </c>
      <c r="M127" s="1" t="s">
        <v>31</v>
      </c>
      <c r="N127" s="1"/>
      <c r="O127" s="1" t="s">
        <v>1280</v>
      </c>
      <c r="P127" s="1" t="s">
        <v>135</v>
      </c>
      <c r="Q127" s="1"/>
      <c r="R127" s="1" t="s">
        <v>346</v>
      </c>
      <c r="S127" s="1"/>
      <c r="T127" s="1" t="s">
        <v>1281</v>
      </c>
      <c r="U127" s="1" t="s">
        <v>1282</v>
      </c>
    </row>
    <row r="128" ht="14.25" customHeight="1">
      <c r="A128" s="1" t="s">
        <v>21</v>
      </c>
      <c r="B128" s="1" t="s">
        <v>1283</v>
      </c>
      <c r="C128" s="1" t="s">
        <v>1284</v>
      </c>
      <c r="D128" s="3" t="s">
        <v>1285</v>
      </c>
      <c r="E128" s="1" t="s">
        <v>99</v>
      </c>
      <c r="F128" s="1" t="s">
        <v>41</v>
      </c>
      <c r="G128" s="1" t="s">
        <v>42</v>
      </c>
      <c r="H128" s="1" t="s">
        <v>1266</v>
      </c>
      <c r="I128" s="1" t="s">
        <v>1286</v>
      </c>
      <c r="J128" s="1" t="s">
        <v>1287</v>
      </c>
      <c r="K128" s="1" t="s">
        <v>1288</v>
      </c>
      <c r="L128" s="1"/>
      <c r="M128" s="1" t="s">
        <v>31</v>
      </c>
      <c r="N128" s="1"/>
      <c r="O128" s="1"/>
      <c r="P128" s="1"/>
      <c r="Q128" s="1"/>
      <c r="R128" s="1" t="s">
        <v>1289</v>
      </c>
      <c r="S128" s="1" t="s">
        <v>99</v>
      </c>
      <c r="T128" s="1" t="s">
        <v>991</v>
      </c>
      <c r="U128" s="1" t="s">
        <v>992</v>
      </c>
    </row>
    <row r="129" ht="14.25" customHeight="1">
      <c r="A129" s="1" t="s">
        <v>21</v>
      </c>
      <c r="B129" s="1" t="s">
        <v>1290</v>
      </c>
      <c r="C129" s="1" t="s">
        <v>1291</v>
      </c>
      <c r="D129" s="3" t="s">
        <v>1292</v>
      </c>
      <c r="E129" s="1" t="s">
        <v>79</v>
      </c>
      <c r="F129" s="1" t="s">
        <v>622</v>
      </c>
      <c r="G129" s="1" t="s">
        <v>42</v>
      </c>
      <c r="H129" s="1" t="s">
        <v>1266</v>
      </c>
      <c r="I129" s="1" t="s">
        <v>1293</v>
      </c>
      <c r="J129" s="1"/>
      <c r="K129" s="1" t="s">
        <v>1294</v>
      </c>
      <c r="L129" s="1" t="s">
        <v>1295</v>
      </c>
      <c r="M129" s="1" t="s">
        <v>31</v>
      </c>
      <c r="N129" s="1"/>
      <c r="O129" s="4" t="s">
        <v>1296</v>
      </c>
      <c r="P129" s="1" t="s">
        <v>124</v>
      </c>
      <c r="Q129" s="1"/>
      <c r="R129" s="1" t="s">
        <v>135</v>
      </c>
      <c r="S129" s="1"/>
      <c r="T129" s="1" t="s">
        <v>1297</v>
      </c>
      <c r="U129" s="1" t="s">
        <v>182</v>
      </c>
    </row>
    <row r="130" ht="14.25" customHeight="1">
      <c r="A130" s="1" t="s">
        <v>21</v>
      </c>
      <c r="B130" s="1" t="s">
        <v>1298</v>
      </c>
      <c r="C130" s="1" t="s">
        <v>1299</v>
      </c>
      <c r="D130" s="3" t="s">
        <v>1300</v>
      </c>
      <c r="E130" s="1" t="s">
        <v>384</v>
      </c>
      <c r="F130" s="1" t="s">
        <v>41</v>
      </c>
      <c r="G130" s="1" t="s">
        <v>42</v>
      </c>
      <c r="H130" s="1" t="s">
        <v>1266</v>
      </c>
      <c r="I130" s="1" t="s">
        <v>623</v>
      </c>
      <c r="J130" s="1" t="s">
        <v>1301</v>
      </c>
      <c r="K130" s="1" t="s">
        <v>1302</v>
      </c>
      <c r="L130" s="1" t="s">
        <v>1303</v>
      </c>
      <c r="M130" s="1" t="s">
        <v>59</v>
      </c>
      <c r="N130" s="1" t="s">
        <v>1304</v>
      </c>
      <c r="O130" s="1" t="s">
        <v>1305</v>
      </c>
      <c r="P130" s="1"/>
      <c r="Q130" s="1"/>
      <c r="R130" s="1" t="s">
        <v>1306</v>
      </c>
      <c r="S130" s="1" t="s">
        <v>384</v>
      </c>
      <c r="T130" s="1" t="s">
        <v>1307</v>
      </c>
      <c r="U130" s="1" t="s">
        <v>1308</v>
      </c>
    </row>
    <row r="131" ht="14.25" customHeight="1">
      <c r="A131" s="1" t="s">
        <v>21</v>
      </c>
      <c r="B131" s="1" t="s">
        <v>1309</v>
      </c>
      <c r="C131" s="1" t="s">
        <v>1310</v>
      </c>
      <c r="D131" s="3" t="s">
        <v>1311</v>
      </c>
      <c r="E131" s="1" t="s">
        <v>637</v>
      </c>
      <c r="F131" s="1" t="s">
        <v>26</v>
      </c>
      <c r="G131" s="1"/>
      <c r="H131" s="1" t="s">
        <v>1266</v>
      </c>
      <c r="I131" s="1" t="s">
        <v>975</v>
      </c>
      <c r="J131" s="1" t="s">
        <v>1312</v>
      </c>
      <c r="K131" s="1" t="s">
        <v>1313</v>
      </c>
      <c r="L131" s="1" t="s">
        <v>1314</v>
      </c>
      <c r="M131" s="1" t="s">
        <v>59</v>
      </c>
      <c r="N131" s="1" t="s">
        <v>1315</v>
      </c>
      <c r="O131" s="1"/>
      <c r="P131" s="1"/>
      <c r="Q131" s="1"/>
      <c r="R131" s="1" t="s">
        <v>741</v>
      </c>
      <c r="S131" s="1" t="s">
        <v>637</v>
      </c>
      <c r="T131" s="1" t="s">
        <v>1316</v>
      </c>
      <c r="U131" s="1" t="s">
        <v>1317</v>
      </c>
    </row>
    <row r="132" ht="14.25" customHeight="1">
      <c r="A132" s="1" t="s">
        <v>21</v>
      </c>
      <c r="B132" s="1" t="s">
        <v>1318</v>
      </c>
      <c r="C132" s="1" t="s">
        <v>1319</v>
      </c>
      <c r="D132" s="3" t="s">
        <v>1231</v>
      </c>
      <c r="E132" s="1" t="s">
        <v>40</v>
      </c>
      <c r="F132" s="1" t="s">
        <v>622</v>
      </c>
      <c r="G132" s="1" t="s">
        <v>27</v>
      </c>
      <c r="H132" s="1" t="s">
        <v>1266</v>
      </c>
      <c r="I132" s="1" t="s">
        <v>55</v>
      </c>
      <c r="J132" s="1"/>
      <c r="K132" s="1" t="s">
        <v>1320</v>
      </c>
      <c r="L132" s="1" t="s">
        <v>1321</v>
      </c>
      <c r="M132" s="1" t="s">
        <v>31</v>
      </c>
      <c r="N132" s="1"/>
      <c r="O132" s="4" t="s">
        <v>1322</v>
      </c>
      <c r="P132" s="1" t="s">
        <v>1266</v>
      </c>
      <c r="Q132" s="1"/>
      <c r="R132" s="1" t="s">
        <v>646</v>
      </c>
      <c r="S132" s="1"/>
      <c r="T132" s="1" t="s">
        <v>1323</v>
      </c>
      <c r="U132" s="1" t="s">
        <v>1039</v>
      </c>
    </row>
    <row r="133" ht="14.25" customHeight="1">
      <c r="A133" s="1" t="s">
        <v>21</v>
      </c>
      <c r="B133" s="1" t="s">
        <v>1324</v>
      </c>
      <c r="C133" s="1" t="s">
        <v>1325</v>
      </c>
      <c r="D133" s="3" t="s">
        <v>746</v>
      </c>
      <c r="E133" s="1" t="s">
        <v>174</v>
      </c>
      <c r="F133" s="1" t="s">
        <v>41</v>
      </c>
      <c r="G133" s="1" t="s">
        <v>42</v>
      </c>
      <c r="H133" s="1" t="s">
        <v>1266</v>
      </c>
      <c r="I133" s="1" t="s">
        <v>1326</v>
      </c>
      <c r="J133" s="1"/>
      <c r="K133" s="1" t="s">
        <v>1327</v>
      </c>
      <c r="L133" s="1" t="s">
        <v>1328</v>
      </c>
      <c r="M133" s="1" t="s">
        <v>31</v>
      </c>
      <c r="N133" s="1"/>
      <c r="O133" s="1" t="s">
        <v>1329</v>
      </c>
      <c r="P133" s="1"/>
      <c r="Q133" s="1"/>
      <c r="R133" s="1" t="s">
        <v>535</v>
      </c>
      <c r="S133" s="1"/>
      <c r="T133" s="1" t="s">
        <v>1330</v>
      </c>
      <c r="U133" s="1" t="s">
        <v>646</v>
      </c>
    </row>
    <row r="134" ht="14.25" customHeight="1">
      <c r="A134" s="1" t="s">
        <v>21</v>
      </c>
      <c r="B134" s="1" t="s">
        <v>1331</v>
      </c>
      <c r="C134" s="1" t="s">
        <v>1332</v>
      </c>
      <c r="D134" s="1"/>
      <c r="E134" s="1"/>
      <c r="F134" s="1" t="s">
        <v>41</v>
      </c>
      <c r="G134" s="1" t="s">
        <v>42</v>
      </c>
      <c r="H134" s="1" t="s">
        <v>1266</v>
      </c>
      <c r="I134" s="1" t="s">
        <v>725</v>
      </c>
      <c r="J134" s="1"/>
      <c r="K134" s="1" t="s">
        <v>1333</v>
      </c>
      <c r="L134" s="1" t="s">
        <v>1334</v>
      </c>
      <c r="M134" s="1" t="s">
        <v>31</v>
      </c>
      <c r="N134" s="1"/>
      <c r="O134" s="1" t="s">
        <v>1335</v>
      </c>
      <c r="P134" s="1"/>
      <c r="Q134" s="1"/>
      <c r="R134" s="1" t="s">
        <v>1336</v>
      </c>
      <c r="S134" s="1"/>
      <c r="T134" s="1" t="s">
        <v>1337</v>
      </c>
      <c r="U134" s="1" t="s">
        <v>1338</v>
      </c>
    </row>
    <row r="135" ht="14.25" customHeight="1">
      <c r="A135" s="1" t="s">
        <v>21</v>
      </c>
      <c r="B135" s="1" t="s">
        <v>1339</v>
      </c>
      <c r="C135" s="1" t="s">
        <v>1340</v>
      </c>
      <c r="D135" s="3" t="s">
        <v>1341</v>
      </c>
      <c r="E135" s="1" t="s">
        <v>616</v>
      </c>
      <c r="F135" s="1" t="s">
        <v>118</v>
      </c>
      <c r="G135" s="1"/>
      <c r="H135" s="1" t="s">
        <v>1266</v>
      </c>
      <c r="I135" s="1" t="s">
        <v>326</v>
      </c>
      <c r="J135" s="1" t="s">
        <v>1342</v>
      </c>
      <c r="K135" s="1" t="s">
        <v>1343</v>
      </c>
      <c r="L135" s="1" t="s">
        <v>1344</v>
      </c>
      <c r="M135" s="1" t="s">
        <v>31</v>
      </c>
      <c r="N135" s="1"/>
      <c r="O135" s="1" t="s">
        <v>1345</v>
      </c>
      <c r="P135" s="1" t="s">
        <v>73</v>
      </c>
      <c r="Q135" s="1"/>
      <c r="R135" s="1" t="s">
        <v>1346</v>
      </c>
      <c r="S135" s="1"/>
      <c r="T135" s="1" t="s">
        <v>1347</v>
      </c>
      <c r="U135" s="1" t="s">
        <v>614</v>
      </c>
    </row>
    <row r="136" ht="14.25" customHeight="1">
      <c r="A136" s="1" t="s">
        <v>21</v>
      </c>
      <c r="B136" s="1" t="s">
        <v>1348</v>
      </c>
      <c r="C136" s="1" t="s">
        <v>1349</v>
      </c>
      <c r="D136" s="3" t="s">
        <v>1350</v>
      </c>
      <c r="E136" s="1" t="s">
        <v>616</v>
      </c>
      <c r="F136" s="1" t="s">
        <v>41</v>
      </c>
      <c r="G136" s="1"/>
      <c r="H136" s="1" t="s">
        <v>1266</v>
      </c>
      <c r="I136" s="1" t="s">
        <v>1004</v>
      </c>
      <c r="J136" s="1" t="s">
        <v>1351</v>
      </c>
      <c r="K136" s="1" t="s">
        <v>1352</v>
      </c>
      <c r="L136" s="1" t="s">
        <v>1353</v>
      </c>
      <c r="M136" s="1" t="s">
        <v>31</v>
      </c>
      <c r="N136" s="1"/>
      <c r="O136" s="1"/>
      <c r="P136" s="1"/>
      <c r="Q136" s="1"/>
      <c r="R136" s="1" t="s">
        <v>1354</v>
      </c>
      <c r="S136" s="1"/>
      <c r="T136" s="1" t="s">
        <v>487</v>
      </c>
      <c r="U136" s="1" t="s">
        <v>487</v>
      </c>
    </row>
    <row r="137" ht="14.25" customHeight="1">
      <c r="A137" s="1" t="s">
        <v>21</v>
      </c>
      <c r="B137" s="1" t="s">
        <v>1355</v>
      </c>
      <c r="C137" s="1" t="s">
        <v>1356</v>
      </c>
      <c r="D137" s="1"/>
      <c r="E137" s="1"/>
      <c r="F137" s="1" t="s">
        <v>41</v>
      </c>
      <c r="G137" s="1" t="s">
        <v>42</v>
      </c>
      <c r="H137" s="1" t="s">
        <v>1266</v>
      </c>
      <c r="I137" s="1" t="s">
        <v>932</v>
      </c>
      <c r="J137" s="1" t="s">
        <v>1357</v>
      </c>
      <c r="K137" s="1" t="s">
        <v>1358</v>
      </c>
      <c r="L137" s="1" t="s">
        <v>1359</v>
      </c>
      <c r="M137" s="1" t="s">
        <v>59</v>
      </c>
      <c r="N137" s="1" t="s">
        <v>1360</v>
      </c>
      <c r="O137" s="1" t="s">
        <v>1361</v>
      </c>
      <c r="P137" s="1" t="s">
        <v>34</v>
      </c>
      <c r="Q137" s="1"/>
      <c r="R137" s="1" t="s">
        <v>1362</v>
      </c>
      <c r="S137" s="1" t="s">
        <v>637</v>
      </c>
      <c r="T137" s="1" t="s">
        <v>1363</v>
      </c>
      <c r="U137" s="1" t="s">
        <v>1364</v>
      </c>
    </row>
    <row r="138" ht="14.25" customHeight="1">
      <c r="A138" s="1" t="s">
        <v>21</v>
      </c>
      <c r="B138" s="1" t="s">
        <v>1365</v>
      </c>
      <c r="C138" s="1" t="s">
        <v>1366</v>
      </c>
      <c r="D138" s="3" t="s">
        <v>1367</v>
      </c>
      <c r="E138" s="1" t="s">
        <v>174</v>
      </c>
      <c r="F138" s="1" t="s">
        <v>41</v>
      </c>
      <c r="G138" s="1" t="s">
        <v>1119</v>
      </c>
      <c r="H138" s="1" t="s">
        <v>1266</v>
      </c>
      <c r="I138" s="1" t="s">
        <v>1368</v>
      </c>
      <c r="J138" s="1" t="s">
        <v>1369</v>
      </c>
      <c r="K138" s="1" t="s">
        <v>1370</v>
      </c>
      <c r="L138" s="1" t="s">
        <v>1371</v>
      </c>
      <c r="M138" s="1" t="s">
        <v>59</v>
      </c>
      <c r="N138" s="1" t="s">
        <v>1372</v>
      </c>
      <c r="O138" s="1"/>
      <c r="P138" s="1"/>
      <c r="Q138" s="1"/>
      <c r="R138" s="1" t="s">
        <v>623</v>
      </c>
      <c r="S138" s="1" t="s">
        <v>174</v>
      </c>
      <c r="T138" s="1" t="s">
        <v>1373</v>
      </c>
      <c r="U138" s="1" t="s">
        <v>1374</v>
      </c>
    </row>
    <row r="139" ht="14.25" customHeight="1">
      <c r="A139" s="1" t="s">
        <v>21</v>
      </c>
      <c r="B139" s="1" t="s">
        <v>1375</v>
      </c>
      <c r="C139" s="1" t="s">
        <v>1376</v>
      </c>
      <c r="D139" s="3" t="s">
        <v>1377</v>
      </c>
      <c r="E139" s="1" t="s">
        <v>637</v>
      </c>
      <c r="F139" s="1" t="s">
        <v>41</v>
      </c>
      <c r="G139" s="1" t="s">
        <v>42</v>
      </c>
      <c r="H139" s="1" t="s">
        <v>1266</v>
      </c>
      <c r="I139" s="1" t="s">
        <v>1378</v>
      </c>
      <c r="J139" s="1" t="s">
        <v>1379</v>
      </c>
      <c r="K139" s="1" t="s">
        <v>1380</v>
      </c>
      <c r="L139" s="1" t="s">
        <v>1381</v>
      </c>
      <c r="M139" s="1" t="s">
        <v>59</v>
      </c>
      <c r="N139" s="1" t="s">
        <v>1382</v>
      </c>
      <c r="O139" s="1"/>
      <c r="P139" s="1"/>
      <c r="Q139" s="1"/>
      <c r="R139" s="1" t="s">
        <v>1161</v>
      </c>
      <c r="S139" s="1" t="s">
        <v>637</v>
      </c>
      <c r="T139" s="1" t="s">
        <v>1383</v>
      </c>
      <c r="U139" s="1" t="s">
        <v>1384</v>
      </c>
    </row>
    <row r="140" ht="14.25" customHeight="1">
      <c r="A140" s="1" t="s">
        <v>21</v>
      </c>
      <c r="B140" s="1" t="s">
        <v>1385</v>
      </c>
      <c r="C140" s="1" t="s">
        <v>1386</v>
      </c>
      <c r="D140" s="3" t="s">
        <v>1387</v>
      </c>
      <c r="E140" s="1" t="s">
        <v>637</v>
      </c>
      <c r="F140" s="1" t="s">
        <v>41</v>
      </c>
      <c r="G140" s="1" t="s">
        <v>42</v>
      </c>
      <c r="H140" s="1" t="s">
        <v>1266</v>
      </c>
      <c r="I140" s="1" t="s">
        <v>1388</v>
      </c>
      <c r="J140" s="1" t="s">
        <v>1389</v>
      </c>
      <c r="K140" s="1" t="s">
        <v>1390</v>
      </c>
      <c r="L140" s="1" t="s">
        <v>1391</v>
      </c>
      <c r="M140" s="1" t="s">
        <v>59</v>
      </c>
      <c r="N140" s="1" t="s">
        <v>1392</v>
      </c>
      <c r="O140" s="1" t="s">
        <v>1105</v>
      </c>
      <c r="P140" s="1" t="s">
        <v>731</v>
      </c>
      <c r="Q140" s="1"/>
      <c r="R140" s="1" t="s">
        <v>1393</v>
      </c>
      <c r="S140" s="1"/>
      <c r="T140" s="1" t="s">
        <v>1394</v>
      </c>
      <c r="U140" s="1" t="s">
        <v>932</v>
      </c>
    </row>
    <row r="141" ht="14.25" customHeight="1">
      <c r="A141" s="1" t="s">
        <v>21</v>
      </c>
      <c r="B141" s="1" t="s">
        <v>1395</v>
      </c>
      <c r="C141" s="1" t="s">
        <v>1396</v>
      </c>
      <c r="D141" s="1"/>
      <c r="E141" s="1"/>
      <c r="F141" s="1" t="s">
        <v>41</v>
      </c>
      <c r="G141" s="1" t="s">
        <v>42</v>
      </c>
      <c r="H141" s="1" t="s">
        <v>1266</v>
      </c>
      <c r="I141" s="1" t="s">
        <v>1397</v>
      </c>
      <c r="J141" s="1" t="s">
        <v>1398</v>
      </c>
      <c r="K141" s="1" t="s">
        <v>1399</v>
      </c>
      <c r="L141" s="1" t="s">
        <v>1400</v>
      </c>
      <c r="M141" s="1" t="s">
        <v>59</v>
      </c>
      <c r="N141" s="1" t="s">
        <v>1401</v>
      </c>
      <c r="O141" s="1" t="s">
        <v>1402</v>
      </c>
      <c r="P141" s="1" t="s">
        <v>932</v>
      </c>
      <c r="Q141" s="1"/>
      <c r="R141" s="1" t="s">
        <v>1244</v>
      </c>
      <c r="S141" s="1" t="s">
        <v>1403</v>
      </c>
      <c r="T141" s="1" t="s">
        <v>1404</v>
      </c>
      <c r="U141" s="1" t="s">
        <v>1405</v>
      </c>
    </row>
    <row r="142" ht="14.25" customHeight="1">
      <c r="A142" s="1" t="s">
        <v>21</v>
      </c>
      <c r="B142" s="1" t="s">
        <v>1406</v>
      </c>
      <c r="C142" s="1" t="s">
        <v>1407</v>
      </c>
      <c r="D142" s="3" t="s">
        <v>1408</v>
      </c>
      <c r="E142" s="1" t="s">
        <v>1403</v>
      </c>
      <c r="F142" s="1" t="s">
        <v>41</v>
      </c>
      <c r="G142" s="1"/>
      <c r="H142" s="1" t="s">
        <v>1266</v>
      </c>
      <c r="I142" s="1" t="s">
        <v>34</v>
      </c>
      <c r="J142" s="1" t="s">
        <v>1409</v>
      </c>
      <c r="K142" s="1" t="s">
        <v>1410</v>
      </c>
      <c r="L142" s="1" t="s">
        <v>1411</v>
      </c>
      <c r="M142" s="1" t="s">
        <v>59</v>
      </c>
      <c r="N142" s="1" t="s">
        <v>1412</v>
      </c>
      <c r="O142" s="1"/>
      <c r="P142" s="1"/>
      <c r="Q142" s="1"/>
      <c r="R142" s="1" t="s">
        <v>764</v>
      </c>
      <c r="S142" s="1"/>
      <c r="T142" s="1" t="s">
        <v>1413</v>
      </c>
      <c r="U142" s="1" t="s">
        <v>1414</v>
      </c>
    </row>
    <row r="143" ht="14.25" customHeight="1">
      <c r="A143" s="1" t="s">
        <v>21</v>
      </c>
      <c r="B143" s="1" t="s">
        <v>1415</v>
      </c>
      <c r="C143" s="1" t="s">
        <v>1416</v>
      </c>
      <c r="D143" s="3" t="s">
        <v>1417</v>
      </c>
      <c r="E143" s="1" t="s">
        <v>637</v>
      </c>
      <c r="F143" s="1" t="s">
        <v>41</v>
      </c>
      <c r="G143" s="1" t="s">
        <v>42</v>
      </c>
      <c r="H143" s="1" t="s">
        <v>1266</v>
      </c>
      <c r="I143" s="1" t="s">
        <v>105</v>
      </c>
      <c r="J143" s="1"/>
      <c r="K143" s="1" t="s">
        <v>1418</v>
      </c>
      <c r="L143" s="1" t="s">
        <v>1419</v>
      </c>
      <c r="M143" s="1" t="s">
        <v>59</v>
      </c>
      <c r="N143" s="1" t="s">
        <v>1420</v>
      </c>
      <c r="O143" s="1" t="s">
        <v>1421</v>
      </c>
      <c r="P143" s="1"/>
      <c r="Q143" s="1"/>
      <c r="R143" s="1" t="s">
        <v>1293</v>
      </c>
      <c r="S143" s="1" t="s">
        <v>174</v>
      </c>
      <c r="T143" s="1" t="s">
        <v>1422</v>
      </c>
      <c r="U143" s="1" t="s">
        <v>1423</v>
      </c>
    </row>
    <row r="144" ht="14.25" customHeight="1">
      <c r="A144" s="1" t="s">
        <v>21</v>
      </c>
      <c r="B144" s="1" t="s">
        <v>1424</v>
      </c>
      <c r="C144" s="1" t="s">
        <v>1425</v>
      </c>
      <c r="D144" s="3" t="s">
        <v>1426</v>
      </c>
      <c r="E144" s="1" t="s">
        <v>99</v>
      </c>
      <c r="F144" s="1" t="s">
        <v>41</v>
      </c>
      <c r="G144" s="1" t="s">
        <v>42</v>
      </c>
      <c r="H144" s="1" t="s">
        <v>1266</v>
      </c>
      <c r="I144" s="1" t="s">
        <v>1078</v>
      </c>
      <c r="J144" s="1" t="s">
        <v>1427</v>
      </c>
      <c r="K144" s="1" t="s">
        <v>1428</v>
      </c>
      <c r="L144" s="1" t="s">
        <v>1429</v>
      </c>
      <c r="M144" s="1" t="s">
        <v>59</v>
      </c>
      <c r="N144" s="1" t="s">
        <v>1430</v>
      </c>
      <c r="O144" s="1"/>
      <c r="P144" s="1"/>
      <c r="Q144" s="1"/>
      <c r="R144" s="1" t="s">
        <v>1431</v>
      </c>
      <c r="S144" s="1" t="s">
        <v>99</v>
      </c>
      <c r="T144" s="1" t="s">
        <v>1432</v>
      </c>
      <c r="U144" s="1" t="s">
        <v>1433</v>
      </c>
    </row>
    <row r="145" ht="14.25" customHeight="1">
      <c r="A145" s="1" t="s">
        <v>21</v>
      </c>
      <c r="B145" s="1" t="s">
        <v>1434</v>
      </c>
      <c r="C145" s="1" t="s">
        <v>1435</v>
      </c>
      <c r="D145" s="3" t="s">
        <v>1436</v>
      </c>
      <c r="E145" s="1" t="s">
        <v>91</v>
      </c>
      <c r="F145" s="1" t="s">
        <v>41</v>
      </c>
      <c r="G145" s="1" t="s">
        <v>42</v>
      </c>
      <c r="H145" s="1" t="s">
        <v>1266</v>
      </c>
      <c r="I145" s="1" t="s">
        <v>111</v>
      </c>
      <c r="J145" s="1"/>
      <c r="K145" s="1" t="s">
        <v>1437</v>
      </c>
      <c r="L145" s="1" t="s">
        <v>1438</v>
      </c>
      <c r="M145" s="1" t="s">
        <v>59</v>
      </c>
      <c r="N145" s="1" t="s">
        <v>1439</v>
      </c>
      <c r="O145" s="1" t="s">
        <v>1440</v>
      </c>
      <c r="P145" s="1" t="s">
        <v>283</v>
      </c>
      <c r="Q145" s="1"/>
      <c r="R145" s="1" t="s">
        <v>238</v>
      </c>
      <c r="S145" s="1"/>
      <c r="T145" s="1" t="s">
        <v>1441</v>
      </c>
      <c r="U145" s="1" t="s">
        <v>1442</v>
      </c>
    </row>
    <row r="146" ht="14.25" customHeight="1">
      <c r="A146" s="1" t="s">
        <v>21</v>
      </c>
      <c r="B146" s="1" t="s">
        <v>1443</v>
      </c>
      <c r="C146" s="1" t="s">
        <v>1444</v>
      </c>
      <c r="D146" s="3" t="s">
        <v>1445</v>
      </c>
      <c r="E146" s="1" t="s">
        <v>384</v>
      </c>
      <c r="F146" s="1" t="s">
        <v>26</v>
      </c>
      <c r="G146" s="1" t="s">
        <v>42</v>
      </c>
      <c r="H146" s="1" t="s">
        <v>1266</v>
      </c>
      <c r="I146" s="1" t="s">
        <v>136</v>
      </c>
      <c r="J146" s="1" t="s">
        <v>1446</v>
      </c>
      <c r="K146" s="1" t="s">
        <v>1447</v>
      </c>
      <c r="L146" s="1" t="s">
        <v>1448</v>
      </c>
      <c r="M146" s="1" t="s">
        <v>59</v>
      </c>
      <c r="N146" s="1" t="s">
        <v>1449</v>
      </c>
      <c r="O146" s="1"/>
      <c r="P146" s="1"/>
      <c r="Q146" s="1"/>
      <c r="R146" s="1" t="s">
        <v>357</v>
      </c>
      <c r="S146" s="1" t="s">
        <v>384</v>
      </c>
      <c r="T146" s="1" t="s">
        <v>1450</v>
      </c>
      <c r="U146" s="1" t="s">
        <v>1451</v>
      </c>
    </row>
    <row r="147" ht="14.25" customHeight="1">
      <c r="A147" s="1" t="s">
        <v>21</v>
      </c>
      <c r="B147" s="1" t="s">
        <v>1452</v>
      </c>
      <c r="C147" s="1" t="s">
        <v>1453</v>
      </c>
      <c r="D147" s="3" t="s">
        <v>1454</v>
      </c>
      <c r="E147" s="1" t="s">
        <v>117</v>
      </c>
      <c r="F147" s="1" t="s">
        <v>26</v>
      </c>
      <c r="G147" s="1" t="s">
        <v>42</v>
      </c>
      <c r="H147" s="1" t="s">
        <v>1266</v>
      </c>
      <c r="I147" s="1" t="s">
        <v>1455</v>
      </c>
      <c r="J147" s="1"/>
      <c r="K147" s="1" t="s">
        <v>1456</v>
      </c>
      <c r="L147" s="1"/>
      <c r="M147" s="1" t="s">
        <v>31</v>
      </c>
      <c r="N147" s="1"/>
      <c r="O147" s="1"/>
      <c r="P147" s="1"/>
      <c r="Q147" s="1"/>
      <c r="R147" s="1" t="s">
        <v>346</v>
      </c>
      <c r="S147" s="1"/>
      <c r="T147" s="1" t="s">
        <v>1457</v>
      </c>
      <c r="U147" s="1" t="s">
        <v>830</v>
      </c>
    </row>
    <row r="148" ht="14.25" customHeight="1">
      <c r="A148" s="1" t="s">
        <v>21</v>
      </c>
      <c r="B148" s="1" t="s">
        <v>1458</v>
      </c>
      <c r="C148" s="1" t="s">
        <v>1459</v>
      </c>
      <c r="D148" s="3" t="s">
        <v>1460</v>
      </c>
      <c r="E148" s="1" t="s">
        <v>1403</v>
      </c>
      <c r="F148" s="1" t="s">
        <v>41</v>
      </c>
      <c r="G148" s="1"/>
      <c r="H148" s="1" t="s">
        <v>1266</v>
      </c>
      <c r="I148" s="1" t="s">
        <v>247</v>
      </c>
      <c r="J148" s="1" t="s">
        <v>1461</v>
      </c>
      <c r="K148" s="1" t="s">
        <v>1462</v>
      </c>
      <c r="L148" s="1" t="s">
        <v>1463</v>
      </c>
      <c r="M148" s="1" t="s">
        <v>59</v>
      </c>
      <c r="N148" s="1" t="s">
        <v>1464</v>
      </c>
      <c r="O148" s="1"/>
      <c r="P148" s="1"/>
      <c r="Q148" s="1"/>
      <c r="R148" s="1" t="s">
        <v>111</v>
      </c>
      <c r="S148" s="1" t="s">
        <v>1403</v>
      </c>
      <c r="T148" s="1" t="s">
        <v>1465</v>
      </c>
      <c r="U148" s="1" t="s">
        <v>1466</v>
      </c>
    </row>
    <row r="149" ht="14.25" customHeight="1">
      <c r="A149" s="1" t="s">
        <v>21</v>
      </c>
      <c r="B149" s="1" t="s">
        <v>1467</v>
      </c>
      <c r="C149" s="1" t="s">
        <v>1468</v>
      </c>
      <c r="D149" s="3" t="s">
        <v>1469</v>
      </c>
      <c r="E149" s="1" t="s">
        <v>384</v>
      </c>
      <c r="F149" s="1" t="s">
        <v>41</v>
      </c>
      <c r="G149" s="1" t="s">
        <v>42</v>
      </c>
      <c r="H149" s="1" t="s">
        <v>1266</v>
      </c>
      <c r="I149" s="1" t="s">
        <v>1470</v>
      </c>
      <c r="J149" s="1"/>
      <c r="K149" s="1" t="s">
        <v>1471</v>
      </c>
      <c r="L149" s="1" t="s">
        <v>1472</v>
      </c>
      <c r="M149" s="1" t="s">
        <v>31</v>
      </c>
      <c r="N149" s="1"/>
      <c r="O149" s="1" t="s">
        <v>1473</v>
      </c>
      <c r="P149" s="1" t="s">
        <v>1474</v>
      </c>
      <c r="Q149" s="1"/>
      <c r="R149" s="1" t="s">
        <v>641</v>
      </c>
      <c r="S149" s="1"/>
      <c r="T149" s="1" t="s">
        <v>1475</v>
      </c>
      <c r="U149" s="1" t="s">
        <v>361</v>
      </c>
    </row>
    <row r="150" ht="14.25" customHeight="1">
      <c r="A150" s="1" t="s">
        <v>21</v>
      </c>
      <c r="B150" s="1" t="s">
        <v>1476</v>
      </c>
      <c r="C150" s="1" t="s">
        <v>1477</v>
      </c>
      <c r="D150" s="3" t="s">
        <v>1478</v>
      </c>
      <c r="E150" s="1" t="s">
        <v>54</v>
      </c>
      <c r="F150" s="1" t="s">
        <v>41</v>
      </c>
      <c r="G150" s="1" t="s">
        <v>42</v>
      </c>
      <c r="H150" s="1" t="s">
        <v>1266</v>
      </c>
      <c r="I150" s="1" t="s">
        <v>1479</v>
      </c>
      <c r="J150" s="1"/>
      <c r="K150" s="1" t="s">
        <v>1480</v>
      </c>
      <c r="L150" s="1" t="s">
        <v>1481</v>
      </c>
      <c r="M150" s="1" t="s">
        <v>31</v>
      </c>
      <c r="N150" s="1"/>
      <c r="O150" s="1" t="s">
        <v>1482</v>
      </c>
      <c r="P150" s="1" t="s">
        <v>346</v>
      </c>
      <c r="Q150" s="1"/>
      <c r="R150" s="1" t="s">
        <v>557</v>
      </c>
      <c r="S150" s="1"/>
      <c r="T150" s="1" t="s">
        <v>1483</v>
      </c>
      <c r="U150" s="1" t="s">
        <v>1484</v>
      </c>
    </row>
    <row r="151" ht="14.25" customHeight="1">
      <c r="A151" s="1" t="s">
        <v>21</v>
      </c>
      <c r="B151" s="1" t="s">
        <v>1485</v>
      </c>
      <c r="C151" s="1" t="s">
        <v>1486</v>
      </c>
      <c r="D151" s="3" t="s">
        <v>1487</v>
      </c>
      <c r="E151" s="1" t="s">
        <v>40</v>
      </c>
      <c r="F151" s="1" t="s">
        <v>41</v>
      </c>
      <c r="G151" s="1" t="s">
        <v>42</v>
      </c>
      <c r="H151" s="1" t="s">
        <v>1266</v>
      </c>
      <c r="I151" s="1" t="s">
        <v>191</v>
      </c>
      <c r="J151" s="1"/>
      <c r="K151" s="1" t="s">
        <v>1488</v>
      </c>
      <c r="L151" s="1" t="s">
        <v>1489</v>
      </c>
      <c r="M151" s="1" t="s">
        <v>31</v>
      </c>
      <c r="N151" s="1"/>
      <c r="O151" s="1" t="s">
        <v>1490</v>
      </c>
      <c r="P151" s="1" t="s">
        <v>228</v>
      </c>
      <c r="Q151" s="1"/>
      <c r="R151" s="1" t="s">
        <v>346</v>
      </c>
      <c r="S151" s="1"/>
      <c r="T151" s="1" t="s">
        <v>1491</v>
      </c>
      <c r="U151" s="1" t="s">
        <v>743</v>
      </c>
    </row>
    <row r="152" ht="14.25" customHeight="1">
      <c r="A152" s="1" t="s">
        <v>21</v>
      </c>
      <c r="B152" s="1" t="s">
        <v>1492</v>
      </c>
      <c r="C152" s="1" t="s">
        <v>1493</v>
      </c>
      <c r="D152" s="3" t="s">
        <v>1494</v>
      </c>
      <c r="E152" s="1" t="s">
        <v>352</v>
      </c>
      <c r="F152" s="1" t="s">
        <v>26</v>
      </c>
      <c r="G152" s="1" t="s">
        <v>42</v>
      </c>
      <c r="H152" s="1" t="s">
        <v>1266</v>
      </c>
      <c r="I152" s="1" t="s">
        <v>1495</v>
      </c>
      <c r="J152" s="1"/>
      <c r="K152" s="1" t="s">
        <v>1496</v>
      </c>
      <c r="L152" s="1" t="s">
        <v>1497</v>
      </c>
      <c r="M152" s="1" t="s">
        <v>31</v>
      </c>
      <c r="N152" s="1"/>
      <c r="O152" s="1" t="s">
        <v>1498</v>
      </c>
      <c r="P152" s="1" t="s">
        <v>1286</v>
      </c>
      <c r="Q152" s="1"/>
      <c r="R152" s="1" t="s">
        <v>1499</v>
      </c>
      <c r="S152" s="1"/>
      <c r="T152" s="1" t="s">
        <v>1500</v>
      </c>
      <c r="U152" s="1" t="s">
        <v>1501</v>
      </c>
    </row>
    <row r="153" ht="14.25" customHeight="1">
      <c r="A153" s="1" t="s">
        <v>21</v>
      </c>
      <c r="B153" s="1" t="s">
        <v>1502</v>
      </c>
      <c r="C153" s="1" t="s">
        <v>1503</v>
      </c>
      <c r="D153" s="1"/>
      <c r="E153" s="1"/>
      <c r="F153" s="1" t="s">
        <v>41</v>
      </c>
      <c r="G153" s="1" t="s">
        <v>42</v>
      </c>
      <c r="H153" s="1" t="s">
        <v>1266</v>
      </c>
      <c r="I153" s="1" t="s">
        <v>105</v>
      </c>
      <c r="J153" s="1" t="s">
        <v>1504</v>
      </c>
      <c r="K153" s="1" t="s">
        <v>1505</v>
      </c>
      <c r="L153" s="1" t="s">
        <v>1506</v>
      </c>
      <c r="M153" s="1" t="s">
        <v>59</v>
      </c>
      <c r="N153" s="1" t="s">
        <v>1507</v>
      </c>
      <c r="O153" s="1" t="s">
        <v>1508</v>
      </c>
      <c r="P153" s="1" t="s">
        <v>182</v>
      </c>
      <c r="Q153" s="1"/>
      <c r="R153" s="1" t="s">
        <v>196</v>
      </c>
      <c r="S153" s="1" t="s">
        <v>117</v>
      </c>
      <c r="T153" s="1" t="s">
        <v>1509</v>
      </c>
      <c r="U153" s="1" t="s">
        <v>73</v>
      </c>
    </row>
    <row r="154" ht="14.25" customHeight="1">
      <c r="A154" s="1" t="s">
        <v>21</v>
      </c>
      <c r="B154" s="1" t="s">
        <v>1510</v>
      </c>
      <c r="C154" s="1" t="s">
        <v>1511</v>
      </c>
      <c r="D154" s="3" t="s">
        <v>1512</v>
      </c>
      <c r="E154" s="1" t="s">
        <v>25</v>
      </c>
      <c r="F154" s="1" t="s">
        <v>622</v>
      </c>
      <c r="G154" s="1" t="s">
        <v>27</v>
      </c>
      <c r="H154" s="1" t="s">
        <v>1266</v>
      </c>
      <c r="I154" s="1" t="s">
        <v>163</v>
      </c>
      <c r="J154" s="1"/>
      <c r="K154" s="1" t="s">
        <v>1513</v>
      </c>
      <c r="L154" s="1" t="s">
        <v>1514</v>
      </c>
      <c r="M154" s="1" t="s">
        <v>31</v>
      </c>
      <c r="N154" s="1"/>
      <c r="O154" s="4" t="s">
        <v>1515</v>
      </c>
      <c r="P154" s="1" t="s">
        <v>124</v>
      </c>
      <c r="Q154" s="1"/>
      <c r="R154" s="1" t="s">
        <v>228</v>
      </c>
      <c r="S154" s="1"/>
      <c r="T154" s="1" t="s">
        <v>1516</v>
      </c>
      <c r="U154" s="1" t="s">
        <v>1266</v>
      </c>
    </row>
    <row r="155" ht="14.25" customHeight="1">
      <c r="A155" s="1" t="s">
        <v>21</v>
      </c>
      <c r="B155" s="1" t="s">
        <v>1517</v>
      </c>
      <c r="C155" s="1" t="s">
        <v>1518</v>
      </c>
      <c r="D155" s="1"/>
      <c r="E155" s="1"/>
      <c r="F155" s="1" t="s">
        <v>41</v>
      </c>
      <c r="G155" s="1" t="s">
        <v>42</v>
      </c>
      <c r="H155" s="1" t="s">
        <v>1266</v>
      </c>
      <c r="I155" s="1" t="s">
        <v>412</v>
      </c>
      <c r="J155" s="1" t="s">
        <v>1519</v>
      </c>
      <c r="K155" s="1" t="s">
        <v>1520</v>
      </c>
      <c r="L155" s="1" t="s">
        <v>1521</v>
      </c>
      <c r="M155" s="1" t="s">
        <v>59</v>
      </c>
      <c r="N155" s="1" t="s">
        <v>1522</v>
      </c>
      <c r="O155" s="1" t="s">
        <v>1523</v>
      </c>
      <c r="P155" s="1" t="s">
        <v>101</v>
      </c>
      <c r="Q155" s="1"/>
      <c r="R155" s="1" t="s">
        <v>1524</v>
      </c>
      <c r="S155" s="1" t="s">
        <v>637</v>
      </c>
      <c r="T155" s="1" t="s">
        <v>1525</v>
      </c>
      <c r="U155" s="1" t="s">
        <v>1526</v>
      </c>
    </row>
    <row r="156" ht="14.25" customHeight="1">
      <c r="A156" s="1" t="s">
        <v>21</v>
      </c>
      <c r="B156" s="1" t="s">
        <v>1527</v>
      </c>
      <c r="C156" s="1" t="s">
        <v>1528</v>
      </c>
      <c r="D156" s="1"/>
      <c r="E156" s="1"/>
      <c r="F156" s="1" t="s">
        <v>41</v>
      </c>
      <c r="G156" s="1" t="s">
        <v>42</v>
      </c>
      <c r="H156" s="1" t="s">
        <v>1126</v>
      </c>
      <c r="I156" s="1" t="s">
        <v>1529</v>
      </c>
      <c r="J156" s="1" t="s">
        <v>1530</v>
      </c>
      <c r="K156" s="1" t="s">
        <v>1531</v>
      </c>
      <c r="L156" s="1" t="s">
        <v>1532</v>
      </c>
      <c r="M156" s="1" t="s">
        <v>59</v>
      </c>
      <c r="N156" s="1" t="s">
        <v>1533</v>
      </c>
      <c r="O156" s="1" t="s">
        <v>1534</v>
      </c>
      <c r="P156" s="1" t="s">
        <v>125</v>
      </c>
      <c r="Q156" s="1"/>
      <c r="R156" s="1" t="s">
        <v>1043</v>
      </c>
      <c r="S156" s="1" t="s">
        <v>637</v>
      </c>
      <c r="T156" s="1" t="s">
        <v>1535</v>
      </c>
      <c r="U156" s="1" t="s">
        <v>170</v>
      </c>
    </row>
    <row r="157" ht="14.25" customHeight="1">
      <c r="A157" s="1" t="s">
        <v>21</v>
      </c>
      <c r="B157" s="1" t="s">
        <v>1536</v>
      </c>
      <c r="C157" s="1" t="s">
        <v>1537</v>
      </c>
      <c r="D157" s="3" t="s">
        <v>1538</v>
      </c>
      <c r="E157" s="1" t="s">
        <v>174</v>
      </c>
      <c r="F157" s="1" t="s">
        <v>41</v>
      </c>
      <c r="G157" s="1" t="s">
        <v>1119</v>
      </c>
      <c r="H157" s="1" t="s">
        <v>1126</v>
      </c>
      <c r="I157" s="1" t="s">
        <v>770</v>
      </c>
      <c r="J157" s="1" t="s">
        <v>1539</v>
      </c>
      <c r="K157" s="1" t="s">
        <v>1540</v>
      </c>
      <c r="L157" s="1" t="s">
        <v>1541</v>
      </c>
      <c r="M157" s="1" t="s">
        <v>59</v>
      </c>
      <c r="N157" s="1" t="s">
        <v>1542</v>
      </c>
      <c r="O157" s="1"/>
      <c r="P157" s="1"/>
      <c r="Q157" s="1"/>
      <c r="R157" s="1" t="s">
        <v>1543</v>
      </c>
      <c r="S157" s="1" t="s">
        <v>174</v>
      </c>
      <c r="T157" s="1" t="s">
        <v>1544</v>
      </c>
      <c r="U157" s="1" t="s">
        <v>743</v>
      </c>
    </row>
    <row r="158" ht="14.25" customHeight="1">
      <c r="A158" s="1" t="s">
        <v>21</v>
      </c>
      <c r="B158" s="1" t="s">
        <v>1545</v>
      </c>
      <c r="C158" s="1" t="s">
        <v>1546</v>
      </c>
      <c r="D158" s="1"/>
      <c r="E158" s="1"/>
      <c r="F158" s="1" t="s">
        <v>26</v>
      </c>
      <c r="G158" s="1" t="s">
        <v>27</v>
      </c>
      <c r="H158" s="1" t="s">
        <v>1126</v>
      </c>
      <c r="I158" s="1" t="s">
        <v>505</v>
      </c>
      <c r="J158" s="1"/>
      <c r="K158" s="1" t="s">
        <v>1547</v>
      </c>
      <c r="L158" s="1"/>
      <c r="M158" s="1" t="s">
        <v>31</v>
      </c>
      <c r="N158" s="1"/>
      <c r="O158" s="1"/>
      <c r="P158" s="1"/>
      <c r="Q158" s="1"/>
      <c r="R158" s="1" t="s">
        <v>487</v>
      </c>
      <c r="S158" s="1"/>
      <c r="T158" s="1" t="s">
        <v>1548</v>
      </c>
      <c r="U158" s="1" t="s">
        <v>1087</v>
      </c>
    </row>
    <row r="159" ht="14.25" customHeight="1">
      <c r="A159" s="1" t="s">
        <v>21</v>
      </c>
      <c r="B159" s="1" t="s">
        <v>1549</v>
      </c>
      <c r="C159" s="1" t="s">
        <v>1550</v>
      </c>
      <c r="D159" s="3" t="s">
        <v>1551</v>
      </c>
      <c r="E159" s="1" t="s">
        <v>637</v>
      </c>
      <c r="F159" s="1" t="s">
        <v>26</v>
      </c>
      <c r="G159" s="1"/>
      <c r="H159" s="1" t="s">
        <v>1126</v>
      </c>
      <c r="I159" s="1" t="s">
        <v>1261</v>
      </c>
      <c r="J159" s="1" t="s">
        <v>1552</v>
      </c>
      <c r="K159" s="1" t="s">
        <v>1553</v>
      </c>
      <c r="L159" s="1" t="s">
        <v>1554</v>
      </c>
      <c r="M159" s="1" t="s">
        <v>59</v>
      </c>
      <c r="N159" s="1" t="s">
        <v>1555</v>
      </c>
      <c r="O159" s="1"/>
      <c r="P159" s="1"/>
      <c r="Q159" s="1"/>
      <c r="R159" s="1" t="s">
        <v>594</v>
      </c>
      <c r="S159" s="1" t="s">
        <v>637</v>
      </c>
      <c r="T159" s="1" t="s">
        <v>1556</v>
      </c>
      <c r="U159" s="1" t="s">
        <v>249</v>
      </c>
    </row>
    <row r="160" ht="14.25" customHeight="1">
      <c r="A160" s="1" t="s">
        <v>21</v>
      </c>
      <c r="B160" s="1" t="s">
        <v>1557</v>
      </c>
      <c r="C160" s="1" t="s">
        <v>1558</v>
      </c>
      <c r="D160" s="1"/>
      <c r="E160" s="1"/>
      <c r="F160" s="1" t="s">
        <v>26</v>
      </c>
      <c r="G160" s="1"/>
      <c r="H160" s="1" t="s">
        <v>1126</v>
      </c>
      <c r="I160" s="1" t="s">
        <v>1149</v>
      </c>
      <c r="J160" s="1"/>
      <c r="K160" s="1" t="s">
        <v>1559</v>
      </c>
      <c r="L160" s="1"/>
      <c r="M160" s="1" t="s">
        <v>31</v>
      </c>
      <c r="N160" s="1"/>
      <c r="O160" s="1"/>
      <c r="P160" s="1"/>
      <c r="Q160" s="1"/>
      <c r="R160" s="1" t="s">
        <v>228</v>
      </c>
      <c r="S160" s="1"/>
      <c r="T160" s="1" t="s">
        <v>1560</v>
      </c>
      <c r="U160" s="1" t="s">
        <v>1561</v>
      </c>
    </row>
    <row r="161" ht="14.25" customHeight="1">
      <c r="A161" s="1" t="s">
        <v>21</v>
      </c>
      <c r="B161" s="1" t="s">
        <v>1562</v>
      </c>
      <c r="C161" s="1" t="s">
        <v>1563</v>
      </c>
      <c r="D161" s="1"/>
      <c r="E161" s="1"/>
      <c r="F161" s="1" t="s">
        <v>41</v>
      </c>
      <c r="G161" s="1" t="s">
        <v>42</v>
      </c>
      <c r="H161" s="1" t="s">
        <v>1126</v>
      </c>
      <c r="I161" s="1" t="s">
        <v>92</v>
      </c>
      <c r="J161" s="1" t="s">
        <v>1564</v>
      </c>
      <c r="K161" s="1" t="s">
        <v>1565</v>
      </c>
      <c r="L161" s="1" t="s">
        <v>1566</v>
      </c>
      <c r="M161" s="1" t="s">
        <v>59</v>
      </c>
      <c r="N161" s="1" t="s">
        <v>1567</v>
      </c>
      <c r="O161" s="1" t="s">
        <v>1568</v>
      </c>
      <c r="P161" s="1" t="s">
        <v>361</v>
      </c>
      <c r="Q161" s="1"/>
      <c r="R161" s="1" t="s">
        <v>808</v>
      </c>
      <c r="S161" s="1" t="s">
        <v>637</v>
      </c>
      <c r="T161" s="1" t="s">
        <v>1569</v>
      </c>
      <c r="U161" s="1" t="s">
        <v>182</v>
      </c>
    </row>
    <row r="162" ht="14.25" customHeight="1">
      <c r="A162" s="1" t="s">
        <v>21</v>
      </c>
      <c r="B162" s="1" t="s">
        <v>1570</v>
      </c>
      <c r="C162" s="1" t="s">
        <v>1571</v>
      </c>
      <c r="D162" s="3" t="s">
        <v>1572</v>
      </c>
      <c r="E162" s="1" t="s">
        <v>174</v>
      </c>
      <c r="F162" s="1" t="s">
        <v>622</v>
      </c>
      <c r="G162" s="1"/>
      <c r="H162" s="1" t="s">
        <v>1126</v>
      </c>
      <c r="I162" s="1" t="s">
        <v>135</v>
      </c>
      <c r="J162" s="1" t="s">
        <v>1573</v>
      </c>
      <c r="K162" s="1" t="s">
        <v>1574</v>
      </c>
      <c r="L162" s="1" t="s">
        <v>1575</v>
      </c>
      <c r="M162" s="1" t="s">
        <v>31</v>
      </c>
      <c r="N162" s="1"/>
      <c r="O162" s="1" t="s">
        <v>1576</v>
      </c>
      <c r="P162" s="1" t="s">
        <v>228</v>
      </c>
      <c r="Q162" s="1"/>
      <c r="R162" s="1" t="s">
        <v>346</v>
      </c>
      <c r="S162" s="1"/>
      <c r="T162" s="1" t="s">
        <v>1577</v>
      </c>
      <c r="U162" s="1" t="s">
        <v>163</v>
      </c>
    </row>
    <row r="163" ht="14.25" customHeight="1">
      <c r="A163" s="1" t="s">
        <v>21</v>
      </c>
      <c r="B163" s="1" t="s">
        <v>1578</v>
      </c>
      <c r="C163" s="1" t="s">
        <v>1579</v>
      </c>
      <c r="D163" s="1"/>
      <c r="E163" s="1"/>
      <c r="F163" s="1" t="s">
        <v>41</v>
      </c>
      <c r="G163" s="1" t="s">
        <v>42</v>
      </c>
      <c r="H163" s="1" t="s">
        <v>1126</v>
      </c>
      <c r="I163" s="1" t="s">
        <v>304</v>
      </c>
      <c r="J163" s="1" t="s">
        <v>1580</v>
      </c>
      <c r="K163" s="1" t="s">
        <v>1581</v>
      </c>
      <c r="L163" s="1" t="s">
        <v>1582</v>
      </c>
      <c r="M163" s="1" t="s">
        <v>59</v>
      </c>
      <c r="N163" s="1" t="s">
        <v>1583</v>
      </c>
      <c r="O163" s="1" t="s">
        <v>1584</v>
      </c>
      <c r="P163" s="1" t="s">
        <v>141</v>
      </c>
      <c r="Q163" s="1"/>
      <c r="R163" s="1" t="s">
        <v>764</v>
      </c>
      <c r="S163" s="1"/>
      <c r="T163" s="1" t="s">
        <v>1585</v>
      </c>
      <c r="U163" s="1" t="s">
        <v>1586</v>
      </c>
    </row>
    <row r="164" ht="14.25" customHeight="1">
      <c r="A164" s="1" t="s">
        <v>21</v>
      </c>
      <c r="B164" s="1" t="s">
        <v>1587</v>
      </c>
      <c r="C164" s="1" t="s">
        <v>1588</v>
      </c>
      <c r="D164" s="3" t="s">
        <v>1589</v>
      </c>
      <c r="E164" s="1" t="s">
        <v>40</v>
      </c>
      <c r="F164" s="1" t="s">
        <v>41</v>
      </c>
      <c r="G164" s="1" t="s">
        <v>42</v>
      </c>
      <c r="H164" s="1" t="s">
        <v>1126</v>
      </c>
      <c r="I164" s="1" t="s">
        <v>192</v>
      </c>
      <c r="J164" s="1" t="s">
        <v>1590</v>
      </c>
      <c r="K164" s="1" t="s">
        <v>1591</v>
      </c>
      <c r="L164" s="1" t="s">
        <v>1592</v>
      </c>
      <c r="M164" s="1" t="s">
        <v>59</v>
      </c>
      <c r="N164" s="1" t="s">
        <v>1593</v>
      </c>
      <c r="O164" s="1"/>
      <c r="P164" s="1"/>
      <c r="Q164" s="1"/>
      <c r="R164" s="1" t="s">
        <v>215</v>
      </c>
      <c r="S164" s="1" t="s">
        <v>429</v>
      </c>
      <c r="T164" s="1" t="s">
        <v>1594</v>
      </c>
      <c r="U164" s="1" t="s">
        <v>135</v>
      </c>
    </row>
    <row r="165" ht="14.25" customHeight="1">
      <c r="A165" s="1" t="s">
        <v>21</v>
      </c>
      <c r="B165" s="1" t="s">
        <v>1595</v>
      </c>
      <c r="C165" s="1" t="s">
        <v>1596</v>
      </c>
      <c r="D165" s="3" t="s">
        <v>1597</v>
      </c>
      <c r="E165" s="1" t="s">
        <v>616</v>
      </c>
      <c r="F165" s="1" t="s">
        <v>41</v>
      </c>
      <c r="G165" s="1" t="s">
        <v>42</v>
      </c>
      <c r="H165" s="1" t="s">
        <v>1126</v>
      </c>
      <c r="I165" s="1" t="s">
        <v>663</v>
      </c>
      <c r="J165" s="1"/>
      <c r="K165" s="1" t="s">
        <v>1598</v>
      </c>
      <c r="L165" s="1" t="s">
        <v>1599</v>
      </c>
      <c r="M165" s="1" t="s">
        <v>31</v>
      </c>
      <c r="N165" s="1"/>
      <c r="O165" s="1" t="s">
        <v>1600</v>
      </c>
      <c r="P165" s="1" t="s">
        <v>1601</v>
      </c>
      <c r="Q165" s="1"/>
      <c r="R165" s="1" t="s">
        <v>157</v>
      </c>
      <c r="S165" s="1"/>
      <c r="T165" s="1" t="s">
        <v>1602</v>
      </c>
      <c r="U165" s="1" t="s">
        <v>156</v>
      </c>
    </row>
    <row r="166" ht="14.25" customHeight="1">
      <c r="A166" s="1" t="s">
        <v>21</v>
      </c>
      <c r="B166" s="1" t="s">
        <v>1603</v>
      </c>
      <c r="C166" s="1" t="s">
        <v>1604</v>
      </c>
      <c r="D166" s="3" t="s">
        <v>1605</v>
      </c>
      <c r="E166" s="1" t="s">
        <v>429</v>
      </c>
      <c r="F166" s="1" t="s">
        <v>41</v>
      </c>
      <c r="G166" s="1" t="s">
        <v>42</v>
      </c>
      <c r="H166" s="1" t="s">
        <v>1126</v>
      </c>
      <c r="I166" s="1" t="s">
        <v>1378</v>
      </c>
      <c r="J166" s="1" t="s">
        <v>1606</v>
      </c>
      <c r="K166" s="1" t="s">
        <v>1607</v>
      </c>
      <c r="L166" s="1" t="s">
        <v>1608</v>
      </c>
      <c r="M166" s="1" t="s">
        <v>31</v>
      </c>
      <c r="N166" s="1"/>
      <c r="O166" s="1"/>
      <c r="P166" s="1"/>
      <c r="Q166" s="1"/>
      <c r="R166" s="1" t="s">
        <v>92</v>
      </c>
      <c r="S166" s="1" t="s">
        <v>429</v>
      </c>
      <c r="T166" s="1" t="s">
        <v>86</v>
      </c>
      <c r="U166" s="1" t="s">
        <v>87</v>
      </c>
    </row>
    <row r="167" ht="14.25" customHeight="1">
      <c r="A167" s="1" t="s">
        <v>21</v>
      </c>
      <c r="B167" s="1" t="s">
        <v>1609</v>
      </c>
      <c r="C167" s="1" t="s">
        <v>1610</v>
      </c>
      <c r="D167" s="3" t="s">
        <v>1611</v>
      </c>
      <c r="E167" s="1" t="s">
        <v>384</v>
      </c>
      <c r="F167" s="1" t="s">
        <v>41</v>
      </c>
      <c r="G167" s="1" t="s">
        <v>42</v>
      </c>
      <c r="H167" s="1" t="s">
        <v>1126</v>
      </c>
      <c r="I167" s="1" t="s">
        <v>791</v>
      </c>
      <c r="J167" s="1" t="s">
        <v>1612</v>
      </c>
      <c r="K167" s="1" t="s">
        <v>1613</v>
      </c>
      <c r="L167" s="1" t="s">
        <v>1614</v>
      </c>
      <c r="M167" s="1" t="s">
        <v>59</v>
      </c>
      <c r="N167" s="1" t="s">
        <v>1615</v>
      </c>
      <c r="O167" s="1" t="s">
        <v>848</v>
      </c>
      <c r="P167" s="1" t="s">
        <v>817</v>
      </c>
      <c r="Q167" s="1"/>
      <c r="R167" s="1" t="s">
        <v>424</v>
      </c>
      <c r="S167" s="1" t="s">
        <v>384</v>
      </c>
      <c r="T167" s="1" t="s">
        <v>1616</v>
      </c>
      <c r="U167" s="1" t="s">
        <v>1617</v>
      </c>
    </row>
    <row r="168" ht="14.25" customHeight="1">
      <c r="A168" s="1" t="s">
        <v>21</v>
      </c>
      <c r="B168" s="1" t="s">
        <v>1618</v>
      </c>
      <c r="C168" s="1" t="s">
        <v>1619</v>
      </c>
      <c r="D168" s="3" t="s">
        <v>1620</v>
      </c>
      <c r="E168" s="1" t="s">
        <v>117</v>
      </c>
      <c r="F168" s="1" t="s">
        <v>26</v>
      </c>
      <c r="G168" s="1" t="s">
        <v>42</v>
      </c>
      <c r="H168" s="1" t="s">
        <v>1126</v>
      </c>
      <c r="I168" s="1" t="s">
        <v>215</v>
      </c>
      <c r="J168" s="1"/>
      <c r="K168" s="1" t="s">
        <v>1621</v>
      </c>
      <c r="L168" s="1" t="s">
        <v>1622</v>
      </c>
      <c r="M168" s="1" t="s">
        <v>59</v>
      </c>
      <c r="N168" s="1" t="s">
        <v>1623</v>
      </c>
      <c r="O168" s="1" t="s">
        <v>1624</v>
      </c>
      <c r="P168" s="1" t="s">
        <v>1126</v>
      </c>
      <c r="Q168" s="1"/>
      <c r="R168" s="1" t="s">
        <v>202</v>
      </c>
      <c r="S168" s="1"/>
      <c r="T168" s="1" t="s">
        <v>1625</v>
      </c>
      <c r="U168" s="1" t="s">
        <v>1626</v>
      </c>
    </row>
    <row r="169" ht="14.25" customHeight="1">
      <c r="A169" s="1" t="s">
        <v>21</v>
      </c>
      <c r="B169" s="1" t="s">
        <v>1627</v>
      </c>
      <c r="C169" s="1" t="s">
        <v>1628</v>
      </c>
      <c r="D169" s="3" t="s">
        <v>1629</v>
      </c>
      <c r="E169" s="1" t="s">
        <v>174</v>
      </c>
      <c r="F169" s="1" t="s">
        <v>41</v>
      </c>
      <c r="G169" s="1" t="s">
        <v>42</v>
      </c>
      <c r="H169" s="1" t="s">
        <v>1126</v>
      </c>
      <c r="I169" s="1" t="s">
        <v>1223</v>
      </c>
      <c r="J169" s="1" t="s">
        <v>1630</v>
      </c>
      <c r="K169" s="1" t="s">
        <v>1631</v>
      </c>
      <c r="L169" s="1" t="s">
        <v>1632</v>
      </c>
      <c r="M169" s="1" t="s">
        <v>31</v>
      </c>
      <c r="N169" s="1"/>
      <c r="O169" s="1" t="s">
        <v>1633</v>
      </c>
      <c r="P169" s="1" t="s">
        <v>1378</v>
      </c>
      <c r="Q169" s="1"/>
      <c r="R169" s="1" t="s">
        <v>1634</v>
      </c>
      <c r="S169" s="1"/>
      <c r="T169" s="1" t="s">
        <v>1635</v>
      </c>
      <c r="U169" s="1" t="s">
        <v>529</v>
      </c>
    </row>
    <row r="170" ht="14.25" customHeight="1">
      <c r="A170" s="1" t="s">
        <v>21</v>
      </c>
      <c r="B170" s="1" t="s">
        <v>1636</v>
      </c>
      <c r="C170" s="1" t="s">
        <v>1637</v>
      </c>
      <c r="D170" s="3" t="s">
        <v>1638</v>
      </c>
      <c r="E170" s="1" t="s">
        <v>54</v>
      </c>
      <c r="F170" s="1" t="s">
        <v>26</v>
      </c>
      <c r="G170" s="1" t="s">
        <v>42</v>
      </c>
      <c r="H170" s="1" t="s">
        <v>1126</v>
      </c>
      <c r="I170" s="1" t="s">
        <v>105</v>
      </c>
      <c r="J170" s="1"/>
      <c r="K170" s="1" t="s">
        <v>1639</v>
      </c>
      <c r="L170" s="1" t="s">
        <v>1640</v>
      </c>
      <c r="M170" s="1" t="s">
        <v>59</v>
      </c>
      <c r="N170" s="1" t="s">
        <v>1641</v>
      </c>
      <c r="O170" s="1" t="s">
        <v>1642</v>
      </c>
      <c r="P170" s="1" t="s">
        <v>156</v>
      </c>
      <c r="Q170" s="1"/>
      <c r="R170" s="1" t="s">
        <v>168</v>
      </c>
      <c r="S170" s="1"/>
      <c r="T170" s="1" t="s">
        <v>1643</v>
      </c>
      <c r="U170" s="1" t="s">
        <v>1644</v>
      </c>
    </row>
    <row r="171" ht="14.25" customHeight="1">
      <c r="A171" s="1" t="s">
        <v>21</v>
      </c>
      <c r="B171" s="1" t="s">
        <v>1645</v>
      </c>
      <c r="C171" s="1" t="s">
        <v>1646</v>
      </c>
      <c r="D171" s="3" t="s">
        <v>1647</v>
      </c>
      <c r="E171" s="1" t="s">
        <v>352</v>
      </c>
      <c r="F171" s="1" t="s">
        <v>41</v>
      </c>
      <c r="G171" s="1" t="s">
        <v>42</v>
      </c>
      <c r="H171" s="1" t="s">
        <v>1126</v>
      </c>
      <c r="I171" s="1" t="s">
        <v>357</v>
      </c>
      <c r="J171" s="1"/>
      <c r="K171" s="1" t="s">
        <v>1648</v>
      </c>
      <c r="L171" s="1" t="s">
        <v>1649</v>
      </c>
      <c r="M171" s="1" t="s">
        <v>31</v>
      </c>
      <c r="N171" s="1"/>
      <c r="O171" s="1" t="s">
        <v>1650</v>
      </c>
      <c r="P171" s="1" t="s">
        <v>101</v>
      </c>
      <c r="Q171" s="1"/>
      <c r="R171" s="1" t="s">
        <v>92</v>
      </c>
      <c r="S171" s="1"/>
      <c r="T171" s="1" t="s">
        <v>1651</v>
      </c>
      <c r="U171" s="1" t="s">
        <v>125</v>
      </c>
    </row>
    <row r="172" ht="14.25" customHeight="1">
      <c r="A172" s="1" t="s">
        <v>21</v>
      </c>
      <c r="B172" s="1" t="s">
        <v>1652</v>
      </c>
      <c r="C172" s="1" t="s">
        <v>1653</v>
      </c>
      <c r="D172" s="3" t="s">
        <v>1654</v>
      </c>
      <c r="E172" s="1" t="s">
        <v>174</v>
      </c>
      <c r="F172" s="1" t="s">
        <v>41</v>
      </c>
      <c r="G172" s="1" t="s">
        <v>42</v>
      </c>
      <c r="H172" s="1" t="s">
        <v>1126</v>
      </c>
      <c r="I172" s="1" t="s">
        <v>1388</v>
      </c>
      <c r="J172" s="1" t="s">
        <v>1655</v>
      </c>
      <c r="K172" s="1" t="s">
        <v>1656</v>
      </c>
      <c r="L172" s="1" t="s">
        <v>1657</v>
      </c>
      <c r="M172" s="1" t="s">
        <v>59</v>
      </c>
      <c r="N172" s="1" t="s">
        <v>1658</v>
      </c>
      <c r="O172" s="1" t="s">
        <v>1659</v>
      </c>
      <c r="P172" s="1" t="s">
        <v>298</v>
      </c>
      <c r="Q172" s="1"/>
      <c r="R172" s="1" t="s">
        <v>663</v>
      </c>
      <c r="S172" s="1" t="s">
        <v>174</v>
      </c>
      <c r="T172" s="1" t="s">
        <v>1660</v>
      </c>
      <c r="U172" s="1" t="s">
        <v>1661</v>
      </c>
    </row>
    <row r="173" ht="14.25" customHeight="1">
      <c r="A173" s="1" t="s">
        <v>21</v>
      </c>
      <c r="B173" s="1" t="s">
        <v>1662</v>
      </c>
      <c r="C173" s="1" t="s">
        <v>1663</v>
      </c>
      <c r="D173" s="3" t="s">
        <v>1664</v>
      </c>
      <c r="E173" s="1" t="s">
        <v>429</v>
      </c>
      <c r="F173" s="1" t="s">
        <v>41</v>
      </c>
      <c r="G173" s="1" t="s">
        <v>42</v>
      </c>
      <c r="H173" s="1" t="s">
        <v>1126</v>
      </c>
      <c r="I173" s="1" t="s">
        <v>999</v>
      </c>
      <c r="J173" s="1" t="s">
        <v>1665</v>
      </c>
      <c r="K173" s="1" t="s">
        <v>1666</v>
      </c>
      <c r="L173" s="1" t="s">
        <v>1667</v>
      </c>
      <c r="M173" s="1" t="s">
        <v>59</v>
      </c>
      <c r="N173" s="1" t="s">
        <v>1668</v>
      </c>
      <c r="O173" s="1" t="s">
        <v>1669</v>
      </c>
      <c r="P173" s="1" t="s">
        <v>182</v>
      </c>
      <c r="Q173" s="1"/>
      <c r="R173" s="1" t="s">
        <v>202</v>
      </c>
      <c r="S173" s="1" t="s">
        <v>1670</v>
      </c>
      <c r="T173" s="1" t="s">
        <v>1671</v>
      </c>
      <c r="U173" s="1" t="s">
        <v>1266</v>
      </c>
    </row>
    <row r="174" ht="14.25" customHeight="1">
      <c r="A174" s="1" t="s">
        <v>21</v>
      </c>
      <c r="B174" s="1" t="s">
        <v>1672</v>
      </c>
      <c r="C174" s="1" t="s">
        <v>1673</v>
      </c>
      <c r="D174" s="3" t="s">
        <v>1674</v>
      </c>
      <c r="E174" s="1" t="s">
        <v>429</v>
      </c>
      <c r="F174" s="1" t="s">
        <v>26</v>
      </c>
      <c r="G174" s="1" t="s">
        <v>42</v>
      </c>
      <c r="H174" s="1" t="s">
        <v>1126</v>
      </c>
      <c r="I174" s="1" t="s">
        <v>258</v>
      </c>
      <c r="J174" s="1"/>
      <c r="K174" s="1" t="s">
        <v>1675</v>
      </c>
      <c r="L174" s="1"/>
      <c r="M174" s="1" t="s">
        <v>31</v>
      </c>
      <c r="N174" s="1"/>
      <c r="O174" s="1"/>
      <c r="P174" s="1"/>
      <c r="Q174" s="1"/>
      <c r="R174" s="1" t="s">
        <v>209</v>
      </c>
      <c r="S174" s="1"/>
      <c r="T174" s="1" t="s">
        <v>1676</v>
      </c>
      <c r="U174" s="1" t="s">
        <v>1677</v>
      </c>
    </row>
    <row r="175" ht="14.25" customHeight="1">
      <c r="A175" s="1" t="s">
        <v>21</v>
      </c>
      <c r="B175" s="1" t="s">
        <v>1678</v>
      </c>
      <c r="C175" s="1" t="s">
        <v>1679</v>
      </c>
      <c r="D175" s="3" t="s">
        <v>1680</v>
      </c>
      <c r="E175" s="1" t="s">
        <v>91</v>
      </c>
      <c r="F175" s="1" t="s">
        <v>41</v>
      </c>
      <c r="G175" s="1" t="s">
        <v>42</v>
      </c>
      <c r="H175" s="1" t="s">
        <v>1126</v>
      </c>
      <c r="I175" s="1" t="s">
        <v>1681</v>
      </c>
      <c r="J175" s="1" t="s">
        <v>1682</v>
      </c>
      <c r="K175" s="1" t="s">
        <v>1683</v>
      </c>
      <c r="L175" s="1" t="s">
        <v>1684</v>
      </c>
      <c r="M175" s="1" t="s">
        <v>31</v>
      </c>
      <c r="N175" s="1"/>
      <c r="O175" s="1"/>
      <c r="P175" s="1"/>
      <c r="Q175" s="1"/>
      <c r="R175" s="1" t="s">
        <v>1293</v>
      </c>
      <c r="S175" s="1"/>
      <c r="T175" s="1" t="s">
        <v>1685</v>
      </c>
      <c r="U175" s="1" t="s">
        <v>135</v>
      </c>
    </row>
    <row r="176" ht="14.25" customHeight="1">
      <c r="A176" s="1" t="s">
        <v>21</v>
      </c>
      <c r="B176" s="1" t="s">
        <v>1686</v>
      </c>
      <c r="C176" s="1" t="s">
        <v>1687</v>
      </c>
      <c r="D176" s="3" t="s">
        <v>1688</v>
      </c>
      <c r="E176" s="1" t="s">
        <v>384</v>
      </c>
      <c r="F176" s="1" t="s">
        <v>41</v>
      </c>
      <c r="G176" s="1" t="s">
        <v>42</v>
      </c>
      <c r="H176" s="1" t="s">
        <v>1126</v>
      </c>
      <c r="I176" s="1" t="s">
        <v>1286</v>
      </c>
      <c r="J176" s="1" t="s">
        <v>1689</v>
      </c>
      <c r="K176" s="1" t="s">
        <v>1690</v>
      </c>
      <c r="L176" s="1" t="s">
        <v>1691</v>
      </c>
      <c r="M176" s="1" t="s">
        <v>59</v>
      </c>
      <c r="N176" s="1" t="s">
        <v>1692</v>
      </c>
      <c r="O176" s="1" t="s">
        <v>1105</v>
      </c>
      <c r="P176" s="1" t="s">
        <v>731</v>
      </c>
      <c r="Q176" s="1"/>
      <c r="R176" s="1" t="s">
        <v>1693</v>
      </c>
      <c r="S176" s="1"/>
      <c r="T176" s="1" t="s">
        <v>1694</v>
      </c>
      <c r="U176" s="1" t="s">
        <v>1561</v>
      </c>
    </row>
    <row r="177" ht="14.25" customHeight="1">
      <c r="A177" s="1" t="s">
        <v>21</v>
      </c>
      <c r="B177" s="1" t="s">
        <v>1695</v>
      </c>
      <c r="C177" s="1" t="s">
        <v>1696</v>
      </c>
      <c r="D177" s="1"/>
      <c r="E177" s="1"/>
      <c r="F177" s="1" t="s">
        <v>26</v>
      </c>
      <c r="G177" s="1"/>
      <c r="H177" s="1" t="s">
        <v>1126</v>
      </c>
      <c r="I177" s="1" t="s">
        <v>1697</v>
      </c>
      <c r="J177" s="1"/>
      <c r="K177" s="1" t="s">
        <v>1698</v>
      </c>
      <c r="L177" s="1"/>
      <c r="M177" s="1" t="s">
        <v>31</v>
      </c>
      <c r="N177" s="1"/>
      <c r="O177" s="1"/>
      <c r="P177" s="1"/>
      <c r="Q177" s="1"/>
      <c r="R177" s="1" t="s">
        <v>517</v>
      </c>
      <c r="S177" s="1"/>
      <c r="T177" s="1" t="s">
        <v>1699</v>
      </c>
      <c r="U177" s="1" t="s">
        <v>1700</v>
      </c>
    </row>
    <row r="178" ht="14.25" customHeight="1">
      <c r="A178" s="1" t="s">
        <v>21</v>
      </c>
      <c r="B178" s="1" t="s">
        <v>1701</v>
      </c>
      <c r="C178" s="1" t="s">
        <v>1702</v>
      </c>
      <c r="D178" s="3" t="s">
        <v>926</v>
      </c>
      <c r="E178" s="1" t="s">
        <v>99</v>
      </c>
      <c r="F178" s="1" t="s">
        <v>622</v>
      </c>
      <c r="G178" s="1" t="s">
        <v>42</v>
      </c>
      <c r="H178" s="1" t="s">
        <v>1126</v>
      </c>
      <c r="I178" s="1" t="s">
        <v>367</v>
      </c>
      <c r="J178" s="1" t="s">
        <v>1703</v>
      </c>
      <c r="K178" s="1" t="s">
        <v>1704</v>
      </c>
      <c r="L178" s="1" t="s">
        <v>1705</v>
      </c>
      <c r="M178" s="1" t="s">
        <v>31</v>
      </c>
      <c r="N178" s="1"/>
      <c r="O178" s="4" t="s">
        <v>1706</v>
      </c>
      <c r="P178" s="1" t="s">
        <v>33</v>
      </c>
      <c r="Q178" s="1"/>
      <c r="R178" s="1" t="s">
        <v>1697</v>
      </c>
      <c r="S178" s="1"/>
      <c r="T178" s="1" t="s">
        <v>1707</v>
      </c>
      <c r="U178" s="1" t="s">
        <v>33</v>
      </c>
    </row>
    <row r="179" ht="14.25" customHeight="1">
      <c r="A179" s="1" t="s">
        <v>21</v>
      </c>
      <c r="B179" s="1" t="s">
        <v>1708</v>
      </c>
      <c r="C179" s="1" t="s">
        <v>1709</v>
      </c>
      <c r="D179" s="3" t="s">
        <v>1710</v>
      </c>
      <c r="E179" s="1" t="s">
        <v>91</v>
      </c>
      <c r="F179" s="1" t="s">
        <v>41</v>
      </c>
      <c r="G179" s="1" t="s">
        <v>42</v>
      </c>
      <c r="H179" s="1" t="s">
        <v>1126</v>
      </c>
      <c r="I179" s="1" t="s">
        <v>1161</v>
      </c>
      <c r="J179" s="1" t="s">
        <v>1711</v>
      </c>
      <c r="K179" s="1" t="s">
        <v>1712</v>
      </c>
      <c r="L179" s="1" t="s">
        <v>1713</v>
      </c>
      <c r="M179" s="1" t="s">
        <v>59</v>
      </c>
      <c r="N179" s="1" t="s">
        <v>1714</v>
      </c>
      <c r="O179" s="1" t="s">
        <v>1715</v>
      </c>
      <c r="P179" s="1" t="s">
        <v>228</v>
      </c>
      <c r="Q179" s="1"/>
      <c r="R179" s="1" t="s">
        <v>932</v>
      </c>
      <c r="S179" s="1"/>
      <c r="T179" s="1" t="s">
        <v>1716</v>
      </c>
      <c r="U179" s="1" t="s">
        <v>247</v>
      </c>
    </row>
    <row r="180" ht="14.25" customHeight="1">
      <c r="A180" s="1" t="s">
        <v>21</v>
      </c>
      <c r="B180" s="1" t="s">
        <v>1717</v>
      </c>
      <c r="C180" s="1" t="s">
        <v>1718</v>
      </c>
      <c r="D180" s="1"/>
      <c r="E180" s="1"/>
      <c r="F180" s="1" t="s">
        <v>26</v>
      </c>
      <c r="G180" s="1" t="s">
        <v>27</v>
      </c>
      <c r="H180" s="1" t="s">
        <v>1126</v>
      </c>
      <c r="I180" s="1" t="s">
        <v>1529</v>
      </c>
      <c r="J180" s="1"/>
      <c r="K180" s="1" t="s">
        <v>1719</v>
      </c>
      <c r="L180" s="1"/>
      <c r="M180" s="1" t="s">
        <v>31</v>
      </c>
      <c r="N180" s="1"/>
      <c r="O180" s="1"/>
      <c r="P180" s="1"/>
      <c r="Q180" s="1"/>
      <c r="R180" s="1" t="s">
        <v>487</v>
      </c>
      <c r="S180" s="1"/>
      <c r="T180" s="1" t="s">
        <v>1720</v>
      </c>
      <c r="U180" s="1" t="s">
        <v>1721</v>
      </c>
    </row>
    <row r="181" ht="14.25" customHeight="1">
      <c r="A181" s="1" t="s">
        <v>21</v>
      </c>
      <c r="B181" s="1" t="s">
        <v>1722</v>
      </c>
      <c r="C181" s="1" t="s">
        <v>1723</v>
      </c>
      <c r="D181" s="3" t="s">
        <v>1724</v>
      </c>
      <c r="E181" s="1" t="s">
        <v>117</v>
      </c>
      <c r="F181" s="1" t="s">
        <v>41</v>
      </c>
      <c r="G181" s="1" t="s">
        <v>42</v>
      </c>
      <c r="H181" s="1" t="s">
        <v>1126</v>
      </c>
      <c r="I181" s="1" t="s">
        <v>1725</v>
      </c>
      <c r="J181" s="1"/>
      <c r="K181" s="1" t="s">
        <v>1726</v>
      </c>
      <c r="L181" s="1" t="s">
        <v>1727</v>
      </c>
      <c r="M181" s="1" t="s">
        <v>59</v>
      </c>
      <c r="N181" s="1" t="s">
        <v>1728</v>
      </c>
      <c r="O181" s="1" t="s">
        <v>1729</v>
      </c>
      <c r="P181" s="1" t="s">
        <v>517</v>
      </c>
      <c r="Q181" s="1"/>
      <c r="R181" s="1" t="s">
        <v>226</v>
      </c>
      <c r="S181" s="1"/>
      <c r="T181" s="1" t="s">
        <v>1730</v>
      </c>
      <c r="U181" s="1" t="s">
        <v>1731</v>
      </c>
    </row>
    <row r="182" ht="14.25" customHeight="1">
      <c r="A182" s="1" t="s">
        <v>21</v>
      </c>
      <c r="B182" s="1" t="s">
        <v>1732</v>
      </c>
      <c r="C182" s="1" t="s">
        <v>1733</v>
      </c>
      <c r="D182" s="1"/>
      <c r="E182" s="1"/>
      <c r="F182" s="1" t="s">
        <v>26</v>
      </c>
      <c r="G182" s="1"/>
      <c r="H182" s="1" t="s">
        <v>1126</v>
      </c>
      <c r="I182" s="1" t="s">
        <v>1529</v>
      </c>
      <c r="J182" s="1"/>
      <c r="K182" s="1" t="s">
        <v>1734</v>
      </c>
      <c r="L182" s="1"/>
      <c r="M182" s="1" t="s">
        <v>31</v>
      </c>
      <c r="N182" s="1"/>
      <c r="O182" s="1"/>
      <c r="P182" s="1"/>
      <c r="Q182" s="1"/>
      <c r="R182" s="1" t="s">
        <v>369</v>
      </c>
      <c r="S182" s="1"/>
      <c r="T182" s="1" t="s">
        <v>1735</v>
      </c>
      <c r="U182" s="1" t="s">
        <v>1736</v>
      </c>
    </row>
    <row r="183" ht="14.25" customHeight="1">
      <c r="A183" s="1" t="s">
        <v>21</v>
      </c>
      <c r="B183" s="1" t="s">
        <v>1737</v>
      </c>
      <c r="C183" s="1" t="s">
        <v>1738</v>
      </c>
      <c r="D183" s="3" t="s">
        <v>1739</v>
      </c>
      <c r="E183" s="1" t="s">
        <v>40</v>
      </c>
      <c r="F183" s="1" t="s">
        <v>26</v>
      </c>
      <c r="G183" s="1" t="s">
        <v>42</v>
      </c>
      <c r="H183" s="1" t="s">
        <v>1126</v>
      </c>
      <c r="I183" s="1" t="s">
        <v>136</v>
      </c>
      <c r="J183" s="1"/>
      <c r="K183" s="1" t="s">
        <v>1740</v>
      </c>
      <c r="L183" s="1" t="s">
        <v>1741</v>
      </c>
      <c r="M183" s="1" t="s">
        <v>59</v>
      </c>
      <c r="N183" s="1" t="s">
        <v>1742</v>
      </c>
      <c r="O183" s="1" t="s">
        <v>1743</v>
      </c>
      <c r="P183" s="1" t="s">
        <v>124</v>
      </c>
      <c r="Q183" s="1"/>
      <c r="R183" s="1" t="s">
        <v>361</v>
      </c>
      <c r="S183" s="1"/>
      <c r="T183" s="1" t="s">
        <v>1744</v>
      </c>
      <c r="U183" s="1" t="s">
        <v>33</v>
      </c>
    </row>
    <row r="184" ht="14.25" customHeight="1">
      <c r="A184" s="1" t="s">
        <v>21</v>
      </c>
      <c r="B184" s="1" t="s">
        <v>1745</v>
      </c>
      <c r="C184" s="1" t="s">
        <v>1746</v>
      </c>
      <c r="D184" s="1"/>
      <c r="E184" s="1"/>
      <c r="F184" s="1" t="s">
        <v>26</v>
      </c>
      <c r="G184" s="1"/>
      <c r="H184" s="1" t="s">
        <v>1126</v>
      </c>
      <c r="I184" s="1" t="s">
        <v>34</v>
      </c>
      <c r="J184" s="1"/>
      <c r="K184" s="1" t="s">
        <v>1747</v>
      </c>
      <c r="L184" s="1"/>
      <c r="M184" s="1" t="s">
        <v>31</v>
      </c>
      <c r="N184" s="1"/>
      <c r="O184" s="1"/>
      <c r="P184" s="1"/>
      <c r="Q184" s="1"/>
      <c r="R184" s="1" t="s">
        <v>156</v>
      </c>
      <c r="S184" s="1"/>
      <c r="T184" s="1" t="s">
        <v>1748</v>
      </c>
      <c r="U184" s="1" t="s">
        <v>1126</v>
      </c>
    </row>
    <row r="185" ht="14.25" customHeight="1">
      <c r="A185" s="1" t="s">
        <v>21</v>
      </c>
      <c r="B185" s="1" t="s">
        <v>1749</v>
      </c>
      <c r="C185" s="1" t="s">
        <v>1750</v>
      </c>
      <c r="D185" s="3" t="s">
        <v>1751</v>
      </c>
      <c r="E185" s="1" t="s">
        <v>384</v>
      </c>
      <c r="F185" s="1" t="s">
        <v>41</v>
      </c>
      <c r="G185" s="1" t="s">
        <v>42</v>
      </c>
      <c r="H185" s="1" t="s">
        <v>1126</v>
      </c>
      <c r="I185" s="1" t="s">
        <v>808</v>
      </c>
      <c r="J185" s="1" t="s">
        <v>1752</v>
      </c>
      <c r="K185" s="1" t="s">
        <v>1753</v>
      </c>
      <c r="L185" s="1" t="s">
        <v>1754</v>
      </c>
      <c r="M185" s="1" t="s">
        <v>31</v>
      </c>
      <c r="N185" s="1"/>
      <c r="O185" s="1" t="s">
        <v>1755</v>
      </c>
      <c r="P185" s="1" t="s">
        <v>361</v>
      </c>
      <c r="Q185" s="1"/>
      <c r="R185" s="1" t="s">
        <v>764</v>
      </c>
      <c r="S185" s="1"/>
      <c r="T185" s="1" t="s">
        <v>1756</v>
      </c>
      <c r="U185" s="1" t="s">
        <v>110</v>
      </c>
    </row>
    <row r="186" ht="14.25" customHeight="1">
      <c r="A186" s="1" t="s">
        <v>21</v>
      </c>
      <c r="B186" s="1" t="s">
        <v>1757</v>
      </c>
      <c r="C186" s="1" t="s">
        <v>1758</v>
      </c>
      <c r="D186" s="3" t="s">
        <v>1759</v>
      </c>
      <c r="E186" s="1" t="s">
        <v>384</v>
      </c>
      <c r="F186" s="1" t="s">
        <v>41</v>
      </c>
      <c r="G186" s="1" t="s">
        <v>42</v>
      </c>
      <c r="H186" s="1" t="s">
        <v>1126</v>
      </c>
      <c r="I186" s="1" t="s">
        <v>1760</v>
      </c>
      <c r="J186" s="1" t="s">
        <v>1761</v>
      </c>
      <c r="K186" s="1" t="s">
        <v>1762</v>
      </c>
      <c r="L186" s="1" t="s">
        <v>1763</v>
      </c>
      <c r="M186" s="1" t="s">
        <v>31</v>
      </c>
      <c r="N186" s="1"/>
      <c r="O186" s="1" t="s">
        <v>1764</v>
      </c>
      <c r="P186" s="1" t="s">
        <v>369</v>
      </c>
      <c r="Q186" s="1"/>
      <c r="R186" s="1" t="s">
        <v>367</v>
      </c>
      <c r="S186" s="1"/>
      <c r="T186" s="1" t="s">
        <v>1765</v>
      </c>
      <c r="U186" s="1" t="s">
        <v>743</v>
      </c>
    </row>
    <row r="187" ht="14.25" customHeight="1">
      <c r="A187" s="1" t="s">
        <v>21</v>
      </c>
      <c r="B187" s="1" t="s">
        <v>1766</v>
      </c>
      <c r="C187" s="1" t="s">
        <v>1767</v>
      </c>
      <c r="D187" s="3" t="s">
        <v>1768</v>
      </c>
      <c r="E187" s="1" t="s">
        <v>174</v>
      </c>
      <c r="F187" s="1" t="s">
        <v>41</v>
      </c>
      <c r="G187" s="1" t="s">
        <v>1119</v>
      </c>
      <c r="H187" s="1" t="s">
        <v>1126</v>
      </c>
      <c r="I187" s="1" t="s">
        <v>1261</v>
      </c>
      <c r="J187" s="1"/>
      <c r="K187" s="1" t="s">
        <v>1769</v>
      </c>
      <c r="L187" s="1" t="s">
        <v>1770</v>
      </c>
      <c r="M187" s="1" t="s">
        <v>31</v>
      </c>
      <c r="N187" s="1"/>
      <c r="O187" s="4" t="s">
        <v>1771</v>
      </c>
      <c r="P187" s="1" t="s">
        <v>62</v>
      </c>
      <c r="Q187" s="1"/>
      <c r="R187" s="1" t="s">
        <v>791</v>
      </c>
      <c r="S187" s="1"/>
      <c r="T187" s="1" t="s">
        <v>1772</v>
      </c>
      <c r="U187" s="1" t="s">
        <v>1773</v>
      </c>
    </row>
    <row r="188" ht="14.25" customHeight="1">
      <c r="A188" s="1" t="s">
        <v>21</v>
      </c>
      <c r="B188" s="1" t="s">
        <v>1774</v>
      </c>
      <c r="C188" s="1" t="s">
        <v>1775</v>
      </c>
      <c r="D188" s="3" t="s">
        <v>1776</v>
      </c>
      <c r="E188" s="1" t="s">
        <v>40</v>
      </c>
      <c r="F188" s="1" t="s">
        <v>622</v>
      </c>
      <c r="G188" s="1" t="s">
        <v>42</v>
      </c>
      <c r="H188" s="1" t="s">
        <v>1126</v>
      </c>
      <c r="I188" s="1" t="s">
        <v>445</v>
      </c>
      <c r="J188" s="1"/>
      <c r="K188" s="1" t="s">
        <v>1777</v>
      </c>
      <c r="L188" s="1"/>
      <c r="M188" s="1" t="s">
        <v>31</v>
      </c>
      <c r="N188" s="1"/>
      <c r="O188" s="1" t="s">
        <v>1778</v>
      </c>
      <c r="P188" s="1" t="s">
        <v>124</v>
      </c>
      <c r="Q188" s="1"/>
      <c r="R188" s="1" t="s">
        <v>369</v>
      </c>
      <c r="S188" s="1"/>
      <c r="T188" s="1" t="s">
        <v>1779</v>
      </c>
      <c r="U188" s="1" t="s">
        <v>1780</v>
      </c>
    </row>
    <row r="189" ht="14.25" customHeight="1">
      <c r="A189" s="1" t="s">
        <v>21</v>
      </c>
      <c r="B189" s="1" t="s">
        <v>1781</v>
      </c>
      <c r="C189" s="1" t="s">
        <v>1782</v>
      </c>
      <c r="D189" s="1"/>
      <c r="E189" s="1"/>
      <c r="F189" s="1" t="s">
        <v>26</v>
      </c>
      <c r="G189" s="1" t="s">
        <v>42</v>
      </c>
      <c r="H189" s="1" t="s">
        <v>1126</v>
      </c>
      <c r="I189" s="1" t="s">
        <v>1783</v>
      </c>
      <c r="J189" s="1"/>
      <c r="K189" s="1" t="s">
        <v>1784</v>
      </c>
      <c r="L189" s="1" t="s">
        <v>1785</v>
      </c>
      <c r="M189" s="1" t="s">
        <v>59</v>
      </c>
      <c r="N189" s="1" t="s">
        <v>1786</v>
      </c>
      <c r="O189" s="1" t="s">
        <v>1787</v>
      </c>
      <c r="P189" s="1" t="s">
        <v>517</v>
      </c>
      <c r="Q189" s="1"/>
      <c r="R189" s="1" t="s">
        <v>202</v>
      </c>
      <c r="S189" s="1" t="s">
        <v>99</v>
      </c>
      <c r="T189" s="1" t="s">
        <v>1475</v>
      </c>
      <c r="U189" s="1" t="s">
        <v>361</v>
      </c>
    </row>
    <row r="190" ht="14.25" customHeight="1">
      <c r="A190" s="1" t="s">
        <v>21</v>
      </c>
      <c r="B190" s="1" t="s">
        <v>1788</v>
      </c>
      <c r="C190" s="1" t="s">
        <v>1789</v>
      </c>
      <c r="D190" s="3" t="s">
        <v>1790</v>
      </c>
      <c r="E190" s="1" t="s">
        <v>352</v>
      </c>
      <c r="F190" s="1" t="s">
        <v>26</v>
      </c>
      <c r="G190" s="1" t="s">
        <v>42</v>
      </c>
      <c r="H190" s="1" t="s">
        <v>1126</v>
      </c>
      <c r="I190" s="1" t="s">
        <v>1791</v>
      </c>
      <c r="J190" s="1"/>
      <c r="K190" s="1" t="s">
        <v>1792</v>
      </c>
      <c r="L190" s="1" t="s">
        <v>1793</v>
      </c>
      <c r="M190" s="1" t="s">
        <v>59</v>
      </c>
      <c r="N190" s="1" t="s">
        <v>1794</v>
      </c>
      <c r="O190" s="4" t="s">
        <v>1795</v>
      </c>
      <c r="P190" s="1" t="s">
        <v>517</v>
      </c>
      <c r="Q190" s="1"/>
      <c r="R190" s="1" t="s">
        <v>1697</v>
      </c>
      <c r="S190" s="1"/>
      <c r="T190" s="1" t="s">
        <v>1796</v>
      </c>
      <c r="U190" s="1" t="s">
        <v>1797</v>
      </c>
    </row>
    <row r="191" ht="14.25" customHeight="1">
      <c r="A191" s="1" t="s">
        <v>21</v>
      </c>
      <c r="B191" s="1" t="s">
        <v>1798</v>
      </c>
      <c r="C191" s="1" t="s">
        <v>1799</v>
      </c>
      <c r="D191" s="3" t="s">
        <v>1800</v>
      </c>
      <c r="E191" s="1" t="s">
        <v>54</v>
      </c>
      <c r="F191" s="1" t="s">
        <v>41</v>
      </c>
      <c r="G191" s="1" t="s">
        <v>1801</v>
      </c>
      <c r="H191" s="1" t="s">
        <v>1126</v>
      </c>
      <c r="I191" s="1" t="s">
        <v>535</v>
      </c>
      <c r="J191" s="1" t="s">
        <v>1802</v>
      </c>
      <c r="K191" s="1" t="s">
        <v>1803</v>
      </c>
      <c r="L191" s="1" t="s">
        <v>1804</v>
      </c>
      <c r="M191" s="1" t="s">
        <v>59</v>
      </c>
      <c r="N191" s="1" t="s">
        <v>1805</v>
      </c>
      <c r="O191" s="1"/>
      <c r="P191" s="1"/>
      <c r="Q191" s="1"/>
      <c r="R191" s="1" t="s">
        <v>73</v>
      </c>
      <c r="S191" s="1" t="s">
        <v>40</v>
      </c>
      <c r="T191" s="1" t="s">
        <v>1806</v>
      </c>
      <c r="U191" s="1" t="s">
        <v>1807</v>
      </c>
    </row>
    <row r="192" ht="14.25" customHeight="1">
      <c r="A192" s="1" t="s">
        <v>21</v>
      </c>
      <c r="B192" s="1" t="s">
        <v>1808</v>
      </c>
      <c r="C192" s="1" t="s">
        <v>1809</v>
      </c>
      <c r="D192" s="3" t="s">
        <v>1810</v>
      </c>
      <c r="E192" s="1" t="s">
        <v>384</v>
      </c>
      <c r="F192" s="1" t="s">
        <v>41</v>
      </c>
      <c r="G192" s="1" t="s">
        <v>880</v>
      </c>
      <c r="H192" s="1" t="s">
        <v>1126</v>
      </c>
      <c r="I192" s="1" t="s">
        <v>1362</v>
      </c>
      <c r="J192" s="1" t="s">
        <v>1811</v>
      </c>
      <c r="K192" s="1" t="s">
        <v>1812</v>
      </c>
      <c r="L192" s="1" t="s">
        <v>1813</v>
      </c>
      <c r="M192" s="1" t="s">
        <v>59</v>
      </c>
      <c r="N192" s="1" t="s">
        <v>1814</v>
      </c>
      <c r="O192" s="1" t="s">
        <v>180</v>
      </c>
      <c r="P192" s="1"/>
      <c r="Q192" s="1"/>
      <c r="R192" s="1" t="s">
        <v>110</v>
      </c>
      <c r="S192" s="1" t="s">
        <v>384</v>
      </c>
      <c r="T192" s="1" t="s">
        <v>1815</v>
      </c>
      <c r="U192" s="1" t="s">
        <v>228</v>
      </c>
    </row>
    <row r="193" ht="14.25" customHeight="1">
      <c r="A193" s="1" t="s">
        <v>21</v>
      </c>
      <c r="B193" s="1" t="s">
        <v>1816</v>
      </c>
      <c r="C193" s="1" t="s">
        <v>1817</v>
      </c>
      <c r="D193" s="3" t="s">
        <v>1818</v>
      </c>
      <c r="E193" s="1" t="s">
        <v>91</v>
      </c>
      <c r="F193" s="1" t="s">
        <v>118</v>
      </c>
      <c r="G193" s="1" t="s">
        <v>42</v>
      </c>
      <c r="H193" s="1" t="s">
        <v>1126</v>
      </c>
      <c r="I193" s="1" t="s">
        <v>192</v>
      </c>
      <c r="J193" s="1" t="s">
        <v>1819</v>
      </c>
      <c r="K193" s="1" t="s">
        <v>1820</v>
      </c>
      <c r="L193" s="1" t="s">
        <v>1821</v>
      </c>
      <c r="M193" s="1" t="s">
        <v>31</v>
      </c>
      <c r="N193" s="1"/>
      <c r="O193" s="1" t="s">
        <v>1822</v>
      </c>
      <c r="P193" s="1" t="s">
        <v>228</v>
      </c>
      <c r="Q193" s="1"/>
      <c r="R193" s="1" t="s">
        <v>505</v>
      </c>
      <c r="S193" s="1"/>
      <c r="T193" s="1" t="s">
        <v>1823</v>
      </c>
      <c r="U193" s="1" t="s">
        <v>1824</v>
      </c>
    </row>
    <row r="194" ht="14.25" customHeight="1">
      <c r="A194" s="1" t="s">
        <v>21</v>
      </c>
      <c r="B194" s="1" t="s">
        <v>1825</v>
      </c>
      <c r="C194" s="1" t="s">
        <v>1826</v>
      </c>
      <c r="D194" s="3" t="s">
        <v>1827</v>
      </c>
      <c r="E194" s="1" t="s">
        <v>174</v>
      </c>
      <c r="F194" s="1" t="s">
        <v>41</v>
      </c>
      <c r="G194" s="1" t="s">
        <v>42</v>
      </c>
      <c r="H194" s="1" t="s">
        <v>1126</v>
      </c>
      <c r="I194" s="1" t="s">
        <v>876</v>
      </c>
      <c r="J194" s="1" t="s">
        <v>1828</v>
      </c>
      <c r="K194" s="1" t="s">
        <v>1829</v>
      </c>
      <c r="L194" s="1" t="s">
        <v>1830</v>
      </c>
      <c r="M194" s="1" t="s">
        <v>59</v>
      </c>
      <c r="N194" s="1" t="s">
        <v>1831</v>
      </c>
      <c r="O194" s="1"/>
      <c r="P194" s="1"/>
      <c r="Q194" s="1"/>
      <c r="R194" s="1" t="s">
        <v>663</v>
      </c>
      <c r="S194" s="1" t="s">
        <v>174</v>
      </c>
      <c r="T194" s="1" t="s">
        <v>1832</v>
      </c>
      <c r="U194" s="1" t="s">
        <v>1346</v>
      </c>
    </row>
    <row r="195" ht="14.25" customHeight="1">
      <c r="A195" s="1" t="s">
        <v>21</v>
      </c>
      <c r="B195" s="1" t="s">
        <v>1833</v>
      </c>
      <c r="C195" s="1" t="s">
        <v>1834</v>
      </c>
      <c r="D195" s="3" t="s">
        <v>1835</v>
      </c>
      <c r="E195" s="1" t="s">
        <v>174</v>
      </c>
      <c r="F195" s="1" t="s">
        <v>26</v>
      </c>
      <c r="G195" s="1" t="s">
        <v>42</v>
      </c>
      <c r="H195" s="1" t="s">
        <v>1126</v>
      </c>
      <c r="I195" s="1" t="s">
        <v>1836</v>
      </c>
      <c r="J195" s="1"/>
      <c r="K195" s="1" t="s">
        <v>1837</v>
      </c>
      <c r="L195" s="1" t="s">
        <v>1838</v>
      </c>
      <c r="M195" s="1" t="s">
        <v>31</v>
      </c>
      <c r="N195" s="1"/>
      <c r="O195" s="1" t="s">
        <v>1839</v>
      </c>
      <c r="P195" s="1" t="s">
        <v>196</v>
      </c>
      <c r="Q195" s="1"/>
      <c r="R195" s="1" t="s">
        <v>284</v>
      </c>
      <c r="S195" s="1"/>
      <c r="T195" s="1" t="s">
        <v>1475</v>
      </c>
      <c r="U195" s="1" t="s">
        <v>361</v>
      </c>
    </row>
    <row r="196" ht="14.25" customHeight="1">
      <c r="A196" s="1" t="s">
        <v>21</v>
      </c>
      <c r="B196" s="1" t="s">
        <v>1840</v>
      </c>
      <c r="C196" s="1" t="s">
        <v>1841</v>
      </c>
      <c r="D196" s="3" t="s">
        <v>1478</v>
      </c>
      <c r="E196" s="1" t="s">
        <v>54</v>
      </c>
      <c r="F196" s="1" t="s">
        <v>41</v>
      </c>
      <c r="G196" s="1" t="s">
        <v>42</v>
      </c>
      <c r="H196" s="1" t="s">
        <v>1126</v>
      </c>
      <c r="I196" s="1" t="s">
        <v>1346</v>
      </c>
      <c r="J196" s="1"/>
      <c r="K196" s="1" t="s">
        <v>1842</v>
      </c>
      <c r="L196" s="1" t="s">
        <v>1843</v>
      </c>
      <c r="M196" s="1" t="s">
        <v>31</v>
      </c>
      <c r="N196" s="1"/>
      <c r="O196" s="1" t="s">
        <v>1844</v>
      </c>
      <c r="P196" s="1"/>
      <c r="Q196" s="1"/>
      <c r="R196" s="1" t="s">
        <v>1336</v>
      </c>
      <c r="S196" s="1"/>
      <c r="T196" s="1" t="s">
        <v>1845</v>
      </c>
      <c r="U196" s="1" t="s">
        <v>215</v>
      </c>
    </row>
    <row r="197" ht="14.25" customHeight="1">
      <c r="A197" s="1" t="s">
        <v>21</v>
      </c>
      <c r="B197" s="1" t="s">
        <v>1846</v>
      </c>
      <c r="C197" s="1" t="s">
        <v>1847</v>
      </c>
      <c r="D197" s="3" t="s">
        <v>1848</v>
      </c>
      <c r="E197" s="1" t="s">
        <v>637</v>
      </c>
      <c r="F197" s="1" t="s">
        <v>41</v>
      </c>
      <c r="G197" s="1" t="s">
        <v>42</v>
      </c>
      <c r="H197" s="1" t="s">
        <v>1087</v>
      </c>
      <c r="I197" s="1" t="s">
        <v>125</v>
      </c>
      <c r="J197" s="1" t="s">
        <v>1849</v>
      </c>
      <c r="K197" s="1" t="s">
        <v>1850</v>
      </c>
      <c r="L197" s="1" t="s">
        <v>1851</v>
      </c>
      <c r="M197" s="1" t="s">
        <v>59</v>
      </c>
      <c r="N197" s="1" t="s">
        <v>1852</v>
      </c>
      <c r="O197" s="1" t="s">
        <v>1105</v>
      </c>
      <c r="P197" s="1" t="s">
        <v>731</v>
      </c>
      <c r="Q197" s="1"/>
      <c r="R197" s="1" t="s">
        <v>475</v>
      </c>
      <c r="S197" s="1"/>
      <c r="T197" s="1" t="s">
        <v>1853</v>
      </c>
      <c r="U197" s="1" t="s">
        <v>1854</v>
      </c>
    </row>
    <row r="198" ht="14.25" customHeight="1">
      <c r="A198" s="1" t="s">
        <v>21</v>
      </c>
      <c r="B198" s="1" t="s">
        <v>1855</v>
      </c>
      <c r="C198" s="1" t="s">
        <v>1856</v>
      </c>
      <c r="D198" s="3" t="s">
        <v>1759</v>
      </c>
      <c r="E198" s="1" t="s">
        <v>384</v>
      </c>
      <c r="F198" s="1" t="s">
        <v>26</v>
      </c>
      <c r="G198" s="1" t="s">
        <v>42</v>
      </c>
      <c r="H198" s="1" t="s">
        <v>1087</v>
      </c>
      <c r="I198" s="1" t="s">
        <v>1857</v>
      </c>
      <c r="J198" s="1" t="s">
        <v>1858</v>
      </c>
      <c r="K198" s="1" t="s">
        <v>1859</v>
      </c>
      <c r="L198" s="1" t="s">
        <v>1860</v>
      </c>
      <c r="M198" s="1" t="s">
        <v>31</v>
      </c>
      <c r="N198" s="1"/>
      <c r="O198" s="1" t="s">
        <v>1861</v>
      </c>
      <c r="P198" s="1" t="s">
        <v>215</v>
      </c>
      <c r="Q198" s="1"/>
      <c r="R198" s="1" t="s">
        <v>1336</v>
      </c>
      <c r="S198" s="1"/>
      <c r="T198" s="1" t="s">
        <v>1862</v>
      </c>
      <c r="U198" s="1" t="s">
        <v>1863</v>
      </c>
    </row>
    <row r="199" ht="14.25" customHeight="1">
      <c r="A199" s="1" t="s">
        <v>21</v>
      </c>
      <c r="B199" s="1" t="s">
        <v>1864</v>
      </c>
      <c r="C199" s="1" t="s">
        <v>1865</v>
      </c>
      <c r="D199" s="3" t="s">
        <v>1866</v>
      </c>
      <c r="E199" s="1" t="s">
        <v>174</v>
      </c>
      <c r="F199" s="1" t="s">
        <v>41</v>
      </c>
      <c r="G199" s="1" t="s">
        <v>42</v>
      </c>
      <c r="H199" s="1" t="s">
        <v>1087</v>
      </c>
      <c r="I199" s="1" t="s">
        <v>1867</v>
      </c>
      <c r="J199" s="1" t="s">
        <v>1868</v>
      </c>
      <c r="K199" s="1" t="s">
        <v>1869</v>
      </c>
      <c r="L199" s="1" t="s">
        <v>1870</v>
      </c>
      <c r="M199" s="1" t="s">
        <v>59</v>
      </c>
      <c r="N199" s="1" t="s">
        <v>1871</v>
      </c>
      <c r="O199" s="1" t="s">
        <v>1872</v>
      </c>
      <c r="P199" s="1" t="s">
        <v>369</v>
      </c>
      <c r="Q199" s="1"/>
      <c r="R199" s="1" t="s">
        <v>1397</v>
      </c>
      <c r="S199" s="1" t="s">
        <v>174</v>
      </c>
      <c r="T199" s="1" t="s">
        <v>1873</v>
      </c>
      <c r="U199" s="1" t="s">
        <v>1874</v>
      </c>
    </row>
    <row r="200" ht="14.25" customHeight="1">
      <c r="A200" s="1" t="s">
        <v>21</v>
      </c>
      <c r="B200" s="1" t="s">
        <v>1875</v>
      </c>
      <c r="C200" s="1" t="s">
        <v>1876</v>
      </c>
      <c r="D200" s="3" t="s">
        <v>1877</v>
      </c>
      <c r="E200" s="1" t="s">
        <v>99</v>
      </c>
      <c r="F200" s="1" t="s">
        <v>26</v>
      </c>
      <c r="G200" s="1" t="s">
        <v>42</v>
      </c>
      <c r="H200" s="1" t="s">
        <v>1087</v>
      </c>
      <c r="I200" s="1" t="s">
        <v>1306</v>
      </c>
      <c r="J200" s="1"/>
      <c r="K200" s="1" t="s">
        <v>1878</v>
      </c>
      <c r="L200" s="1" t="s">
        <v>1879</v>
      </c>
      <c r="M200" s="1" t="s">
        <v>31</v>
      </c>
      <c r="N200" s="1"/>
      <c r="O200" s="1"/>
      <c r="P200" s="1"/>
      <c r="Q200" s="1"/>
      <c r="R200" s="1" t="s">
        <v>216</v>
      </c>
      <c r="S200" s="1"/>
      <c r="T200" s="1" t="s">
        <v>1880</v>
      </c>
      <c r="U200" s="1" t="s">
        <v>1881</v>
      </c>
    </row>
    <row r="201" ht="14.25" customHeight="1">
      <c r="A201" s="1" t="s">
        <v>21</v>
      </c>
      <c r="B201" s="1" t="s">
        <v>1882</v>
      </c>
      <c r="C201" s="1" t="s">
        <v>1883</v>
      </c>
      <c r="D201" s="3" t="s">
        <v>1884</v>
      </c>
      <c r="E201" s="1" t="s">
        <v>384</v>
      </c>
      <c r="F201" s="1" t="s">
        <v>41</v>
      </c>
      <c r="G201" s="1" t="s">
        <v>42</v>
      </c>
      <c r="H201" s="1" t="s">
        <v>1087</v>
      </c>
      <c r="I201" s="1" t="s">
        <v>1149</v>
      </c>
      <c r="J201" s="1"/>
      <c r="K201" s="1" t="s">
        <v>1885</v>
      </c>
      <c r="L201" s="1" t="s">
        <v>1886</v>
      </c>
      <c r="M201" s="1" t="s">
        <v>31</v>
      </c>
      <c r="N201" s="1"/>
      <c r="O201" s="1" t="s">
        <v>1887</v>
      </c>
      <c r="P201" s="1" t="s">
        <v>135</v>
      </c>
      <c r="Q201" s="1"/>
      <c r="R201" s="1" t="s">
        <v>594</v>
      </c>
      <c r="S201" s="1"/>
      <c r="T201" s="1" t="s">
        <v>1888</v>
      </c>
      <c r="U201" s="1" t="s">
        <v>1889</v>
      </c>
    </row>
    <row r="202" ht="14.25" customHeight="1">
      <c r="A202" s="1" t="s">
        <v>21</v>
      </c>
      <c r="B202" s="1" t="s">
        <v>1890</v>
      </c>
      <c r="C202" s="1" t="s">
        <v>1891</v>
      </c>
      <c r="D202" s="1"/>
      <c r="E202" s="1"/>
      <c r="F202" s="1" t="s">
        <v>26</v>
      </c>
      <c r="G202" s="1"/>
      <c r="H202" s="1" t="s">
        <v>1087</v>
      </c>
      <c r="I202" s="1" t="s">
        <v>1388</v>
      </c>
      <c r="J202" s="1"/>
      <c r="K202" s="1" t="s">
        <v>1892</v>
      </c>
      <c r="L202" s="1"/>
      <c r="M202" s="1" t="s">
        <v>31</v>
      </c>
      <c r="N202" s="1"/>
      <c r="O202" s="1"/>
      <c r="P202" s="1"/>
      <c r="Q202" s="1"/>
      <c r="R202" s="1" t="s">
        <v>361</v>
      </c>
      <c r="S202" s="1"/>
      <c r="T202" s="1" t="s">
        <v>1744</v>
      </c>
      <c r="U202" s="1" t="s">
        <v>33</v>
      </c>
    </row>
    <row r="203" ht="14.25" customHeight="1">
      <c r="A203" s="1" t="s">
        <v>21</v>
      </c>
      <c r="B203" s="1" t="s">
        <v>1893</v>
      </c>
      <c r="C203" s="1" t="s">
        <v>1894</v>
      </c>
      <c r="D203" s="3" t="s">
        <v>1895</v>
      </c>
      <c r="E203" s="1" t="s">
        <v>174</v>
      </c>
      <c r="F203" s="1" t="s">
        <v>41</v>
      </c>
      <c r="G203" s="1" t="s">
        <v>42</v>
      </c>
      <c r="H203" s="1" t="s">
        <v>1087</v>
      </c>
      <c r="I203" s="1" t="s">
        <v>1067</v>
      </c>
      <c r="J203" s="1" t="s">
        <v>1896</v>
      </c>
      <c r="K203" s="1" t="s">
        <v>1897</v>
      </c>
      <c r="L203" s="1" t="s">
        <v>1898</v>
      </c>
      <c r="M203" s="1" t="s">
        <v>59</v>
      </c>
      <c r="N203" s="1" t="s">
        <v>1899</v>
      </c>
      <c r="O203" s="1" t="s">
        <v>1900</v>
      </c>
      <c r="P203" s="1" t="s">
        <v>73</v>
      </c>
      <c r="Q203" s="1"/>
      <c r="R203" s="1" t="s">
        <v>43</v>
      </c>
      <c r="S203" s="1" t="s">
        <v>174</v>
      </c>
      <c r="T203" s="1" t="s">
        <v>1901</v>
      </c>
      <c r="U203" s="1" t="s">
        <v>1902</v>
      </c>
    </row>
    <row r="204" ht="14.25" customHeight="1">
      <c r="A204" s="1" t="s">
        <v>21</v>
      </c>
      <c r="B204" s="1" t="s">
        <v>1903</v>
      </c>
      <c r="C204" s="1" t="s">
        <v>1904</v>
      </c>
      <c r="D204" s="1"/>
      <c r="E204" s="1"/>
      <c r="F204" s="1" t="s">
        <v>26</v>
      </c>
      <c r="G204" s="1" t="s">
        <v>27</v>
      </c>
      <c r="H204" s="1" t="s">
        <v>1087</v>
      </c>
      <c r="I204" s="1" t="s">
        <v>196</v>
      </c>
      <c r="J204" s="1"/>
      <c r="K204" s="1" t="s">
        <v>1905</v>
      </c>
      <c r="L204" s="1" t="s">
        <v>1906</v>
      </c>
      <c r="M204" s="1" t="s">
        <v>59</v>
      </c>
      <c r="N204" s="1" t="s">
        <v>1907</v>
      </c>
      <c r="O204" s="1" t="s">
        <v>1908</v>
      </c>
      <c r="P204" s="1" t="s">
        <v>33</v>
      </c>
      <c r="Q204" s="1"/>
      <c r="R204" s="1" t="s">
        <v>34</v>
      </c>
      <c r="S204" s="1" t="s">
        <v>1670</v>
      </c>
      <c r="T204" s="1" t="s">
        <v>1909</v>
      </c>
      <c r="U204" s="1" t="s">
        <v>517</v>
      </c>
    </row>
    <row r="205" ht="14.25" customHeight="1">
      <c r="A205" s="1" t="s">
        <v>21</v>
      </c>
      <c r="B205" s="1" t="s">
        <v>1910</v>
      </c>
      <c r="C205" s="1" t="s">
        <v>1911</v>
      </c>
      <c r="D205" s="3" t="s">
        <v>1912</v>
      </c>
      <c r="E205" s="1" t="s">
        <v>54</v>
      </c>
      <c r="F205" s="1" t="s">
        <v>622</v>
      </c>
      <c r="G205" s="1" t="s">
        <v>42</v>
      </c>
      <c r="H205" s="1" t="s">
        <v>1087</v>
      </c>
      <c r="I205" s="1" t="s">
        <v>731</v>
      </c>
      <c r="J205" s="1"/>
      <c r="K205" s="1" t="s">
        <v>1913</v>
      </c>
      <c r="L205" s="1" t="s">
        <v>1914</v>
      </c>
      <c r="M205" s="1" t="s">
        <v>31</v>
      </c>
      <c r="N205" s="1"/>
      <c r="O205" s="1" t="s">
        <v>1915</v>
      </c>
      <c r="P205" s="1" t="s">
        <v>1126</v>
      </c>
      <c r="Q205" s="1"/>
      <c r="R205" s="1" t="s">
        <v>110</v>
      </c>
      <c r="S205" s="1"/>
      <c r="T205" s="1" t="s">
        <v>1916</v>
      </c>
      <c r="U205" s="1" t="s">
        <v>1917</v>
      </c>
    </row>
    <row r="206" ht="14.25" customHeight="1">
      <c r="A206" s="1" t="s">
        <v>21</v>
      </c>
      <c r="B206" s="1" t="s">
        <v>1918</v>
      </c>
      <c r="C206" s="1" t="s">
        <v>1919</v>
      </c>
      <c r="D206" s="1"/>
      <c r="E206" s="1"/>
      <c r="F206" s="1" t="s">
        <v>26</v>
      </c>
      <c r="G206" s="1" t="s">
        <v>42</v>
      </c>
      <c r="H206" s="1" t="s">
        <v>1087</v>
      </c>
      <c r="I206" s="1" t="s">
        <v>975</v>
      </c>
      <c r="J206" s="1"/>
      <c r="K206" s="1" t="s">
        <v>1920</v>
      </c>
      <c r="L206" s="1"/>
      <c r="M206" s="1" t="s">
        <v>31</v>
      </c>
      <c r="N206" s="1"/>
      <c r="O206" s="1"/>
      <c r="P206" s="1"/>
      <c r="Q206" s="1"/>
      <c r="R206" s="1" t="s">
        <v>1362</v>
      </c>
      <c r="S206" s="1"/>
      <c r="T206" s="1" t="s">
        <v>191</v>
      </c>
      <c r="U206" s="1" t="s">
        <v>191</v>
      </c>
    </row>
    <row r="207" ht="14.25" customHeight="1">
      <c r="A207" s="1" t="s">
        <v>21</v>
      </c>
      <c r="B207" s="1" t="s">
        <v>1921</v>
      </c>
      <c r="C207" s="1" t="s">
        <v>1922</v>
      </c>
      <c r="D207" s="1" t="s">
        <v>1923</v>
      </c>
      <c r="E207" s="1" t="s">
        <v>91</v>
      </c>
      <c r="F207" s="1" t="s">
        <v>41</v>
      </c>
      <c r="G207" s="1" t="s">
        <v>42</v>
      </c>
      <c r="H207" s="1" t="s">
        <v>1087</v>
      </c>
      <c r="I207" s="1" t="s">
        <v>1924</v>
      </c>
      <c r="J207" s="1" t="s">
        <v>1925</v>
      </c>
      <c r="K207" s="1" t="s">
        <v>1926</v>
      </c>
      <c r="L207" s="1" t="s">
        <v>1927</v>
      </c>
      <c r="M207" s="1" t="s">
        <v>59</v>
      </c>
      <c r="N207" s="1" t="s">
        <v>1928</v>
      </c>
      <c r="O207" s="1" t="s">
        <v>1929</v>
      </c>
      <c r="P207" s="1" t="s">
        <v>999</v>
      </c>
      <c r="Q207" s="1"/>
      <c r="R207" s="1" t="s">
        <v>1930</v>
      </c>
      <c r="S207" s="1" t="s">
        <v>99</v>
      </c>
      <c r="T207" s="1" t="s">
        <v>1931</v>
      </c>
      <c r="U207" s="1" t="s">
        <v>646</v>
      </c>
    </row>
    <row r="208" ht="14.25" customHeight="1">
      <c r="A208" s="1" t="s">
        <v>21</v>
      </c>
      <c r="B208" s="1" t="s">
        <v>1932</v>
      </c>
      <c r="C208" s="1" t="s">
        <v>1933</v>
      </c>
      <c r="D208" s="3"/>
      <c r="E208" s="1"/>
      <c r="F208" s="1" t="s">
        <v>41</v>
      </c>
      <c r="G208" s="1" t="s">
        <v>42</v>
      </c>
      <c r="H208" s="1" t="s">
        <v>1087</v>
      </c>
      <c r="I208" s="1" t="s">
        <v>283</v>
      </c>
      <c r="J208" s="1" t="s">
        <v>1934</v>
      </c>
      <c r="K208" s="1" t="s">
        <v>1935</v>
      </c>
      <c r="L208" s="1" t="s">
        <v>1936</v>
      </c>
      <c r="M208" s="1" t="s">
        <v>31</v>
      </c>
      <c r="N208" s="1"/>
      <c r="O208" s="1" t="s">
        <v>1937</v>
      </c>
      <c r="P208" s="1" t="s">
        <v>125</v>
      </c>
      <c r="Q208" s="1"/>
      <c r="R208" s="1" t="s">
        <v>1791</v>
      </c>
      <c r="S208" s="1"/>
      <c r="T208" s="1" t="s">
        <v>1938</v>
      </c>
      <c r="U208" s="1" t="s">
        <v>517</v>
      </c>
    </row>
    <row r="209" ht="14.25" customHeight="1">
      <c r="A209" s="1" t="s">
        <v>21</v>
      </c>
      <c r="B209" s="1" t="s">
        <v>1939</v>
      </c>
      <c r="C209" s="1" t="s">
        <v>1940</v>
      </c>
      <c r="D209" s="3" t="s">
        <v>1941</v>
      </c>
      <c r="E209" s="1" t="s">
        <v>1403</v>
      </c>
      <c r="F209" s="1" t="s">
        <v>26</v>
      </c>
      <c r="G209" s="1" t="s">
        <v>42</v>
      </c>
      <c r="H209" s="1" t="s">
        <v>1087</v>
      </c>
      <c r="I209" s="1" t="s">
        <v>258</v>
      </c>
      <c r="J209" s="1" t="s">
        <v>1942</v>
      </c>
      <c r="K209" s="1" t="s">
        <v>1943</v>
      </c>
      <c r="L209" s="1"/>
      <c r="M209" s="1" t="s">
        <v>31</v>
      </c>
      <c r="N209" s="1"/>
      <c r="O209" s="1"/>
      <c r="P209" s="1"/>
      <c r="Q209" s="1"/>
      <c r="R209" s="1" t="s">
        <v>764</v>
      </c>
      <c r="S209" s="1"/>
      <c r="T209" s="1" t="s">
        <v>1944</v>
      </c>
      <c r="U209" s="1" t="s">
        <v>766</v>
      </c>
    </row>
    <row r="210" ht="14.25" customHeight="1">
      <c r="A210" s="1" t="s">
        <v>21</v>
      </c>
      <c r="B210" s="1" t="s">
        <v>1945</v>
      </c>
      <c r="C210" s="1" t="s">
        <v>1946</v>
      </c>
      <c r="D210" s="3" t="s">
        <v>1947</v>
      </c>
      <c r="E210" s="1" t="s">
        <v>25</v>
      </c>
      <c r="F210" s="1" t="s">
        <v>41</v>
      </c>
      <c r="G210" s="1" t="s">
        <v>42</v>
      </c>
      <c r="H210" s="1" t="s">
        <v>1087</v>
      </c>
      <c r="I210" s="1" t="s">
        <v>932</v>
      </c>
      <c r="J210" s="1"/>
      <c r="K210" s="1" t="s">
        <v>1948</v>
      </c>
      <c r="L210" s="1" t="s">
        <v>1949</v>
      </c>
      <c r="M210" s="1" t="s">
        <v>31</v>
      </c>
      <c r="N210" s="1"/>
      <c r="O210" s="1" t="s">
        <v>1950</v>
      </c>
      <c r="P210" s="1" t="s">
        <v>110</v>
      </c>
      <c r="Q210" s="1"/>
      <c r="R210" s="1" t="s">
        <v>283</v>
      </c>
      <c r="S210" s="1"/>
      <c r="T210" s="1" t="s">
        <v>1951</v>
      </c>
      <c r="U210" s="1" t="s">
        <v>1952</v>
      </c>
    </row>
    <row r="211" ht="14.25" customHeight="1">
      <c r="A211" s="1" t="s">
        <v>21</v>
      </c>
      <c r="B211" s="1" t="s">
        <v>1953</v>
      </c>
      <c r="C211" s="1" t="s">
        <v>1954</v>
      </c>
      <c r="D211" s="1" t="s">
        <v>1955</v>
      </c>
      <c r="E211" s="1" t="s">
        <v>99</v>
      </c>
      <c r="F211" s="1" t="s">
        <v>26</v>
      </c>
      <c r="G211" s="1" t="s">
        <v>42</v>
      </c>
      <c r="H211" s="1" t="s">
        <v>1087</v>
      </c>
      <c r="I211" s="1" t="s">
        <v>731</v>
      </c>
      <c r="J211" s="1" t="s">
        <v>1956</v>
      </c>
      <c r="K211" s="1" t="s">
        <v>1957</v>
      </c>
      <c r="L211" s="1" t="s">
        <v>1958</v>
      </c>
      <c r="M211" s="1" t="s">
        <v>59</v>
      </c>
      <c r="N211" s="1" t="s">
        <v>1959</v>
      </c>
      <c r="O211" s="1" t="s">
        <v>1960</v>
      </c>
      <c r="P211" s="1" t="s">
        <v>163</v>
      </c>
      <c r="Q211" s="1"/>
      <c r="R211" s="1" t="s">
        <v>196</v>
      </c>
      <c r="S211" s="1"/>
      <c r="T211" s="1" t="s">
        <v>1961</v>
      </c>
      <c r="U211" s="1" t="s">
        <v>1266</v>
      </c>
    </row>
    <row r="212" ht="14.25" customHeight="1">
      <c r="A212" s="1" t="s">
        <v>21</v>
      </c>
      <c r="B212" s="1" t="s">
        <v>1962</v>
      </c>
      <c r="C212" s="1" t="s">
        <v>1963</v>
      </c>
      <c r="D212" s="3"/>
      <c r="E212" s="1"/>
      <c r="F212" s="1" t="s">
        <v>41</v>
      </c>
      <c r="G212" s="1" t="s">
        <v>42</v>
      </c>
      <c r="H212" s="1" t="s">
        <v>1087</v>
      </c>
      <c r="I212" s="1" t="s">
        <v>1857</v>
      </c>
      <c r="J212" s="1" t="s">
        <v>1964</v>
      </c>
      <c r="K212" s="1" t="s">
        <v>1965</v>
      </c>
      <c r="L212" s="1" t="s">
        <v>1966</v>
      </c>
      <c r="M212" s="1" t="s">
        <v>31</v>
      </c>
      <c r="N212" s="1"/>
      <c r="O212" s="1" t="s">
        <v>1967</v>
      </c>
      <c r="P212" s="1" t="s">
        <v>101</v>
      </c>
      <c r="Q212" s="1"/>
      <c r="R212" s="1" t="s">
        <v>1479</v>
      </c>
      <c r="S212" s="1"/>
      <c r="T212" s="1" t="s">
        <v>1968</v>
      </c>
      <c r="U212" s="1" t="s">
        <v>529</v>
      </c>
    </row>
    <row r="213" ht="14.25" customHeight="1">
      <c r="A213" s="1" t="s">
        <v>21</v>
      </c>
      <c r="B213" s="1" t="s">
        <v>1969</v>
      </c>
      <c r="C213" s="1" t="s">
        <v>1970</v>
      </c>
      <c r="D213" s="3" t="s">
        <v>1971</v>
      </c>
      <c r="E213" s="1" t="s">
        <v>352</v>
      </c>
      <c r="F213" s="1" t="s">
        <v>41</v>
      </c>
      <c r="G213" s="1" t="s">
        <v>232</v>
      </c>
      <c r="H213" s="1" t="s">
        <v>1087</v>
      </c>
      <c r="I213" s="1" t="s">
        <v>1149</v>
      </c>
      <c r="J213" s="1"/>
      <c r="K213" s="1" t="s">
        <v>1972</v>
      </c>
      <c r="L213" s="1" t="s">
        <v>1973</v>
      </c>
      <c r="M213" s="1" t="s">
        <v>59</v>
      </c>
      <c r="N213" s="1" t="s">
        <v>1974</v>
      </c>
      <c r="O213" s="1" t="s">
        <v>1975</v>
      </c>
      <c r="P213" s="1" t="s">
        <v>298</v>
      </c>
      <c r="Q213" s="1"/>
      <c r="R213" s="1" t="s">
        <v>1149</v>
      </c>
      <c r="S213" s="1"/>
      <c r="T213" s="1" t="s">
        <v>1976</v>
      </c>
      <c r="U213" s="1" t="s">
        <v>1423</v>
      </c>
    </row>
    <row r="214" ht="14.25" customHeight="1">
      <c r="A214" s="1" t="s">
        <v>21</v>
      </c>
      <c r="B214" s="1" t="s">
        <v>1977</v>
      </c>
      <c r="C214" s="1" t="s">
        <v>1978</v>
      </c>
      <c r="D214" s="3" t="s">
        <v>1979</v>
      </c>
      <c r="E214" s="1" t="s">
        <v>25</v>
      </c>
      <c r="F214" s="1" t="s">
        <v>41</v>
      </c>
      <c r="G214" s="1" t="s">
        <v>42</v>
      </c>
      <c r="H214" s="1" t="s">
        <v>1087</v>
      </c>
      <c r="I214" s="1" t="s">
        <v>196</v>
      </c>
      <c r="J214" s="1"/>
      <c r="K214" s="1" t="s">
        <v>1980</v>
      </c>
      <c r="L214" s="1" t="s">
        <v>1981</v>
      </c>
      <c r="M214" s="1" t="s">
        <v>31</v>
      </c>
      <c r="N214" s="1"/>
      <c r="O214" s="1" t="s">
        <v>1982</v>
      </c>
      <c r="P214" s="1" t="s">
        <v>863</v>
      </c>
      <c r="Q214" s="1"/>
      <c r="R214" s="1" t="s">
        <v>1983</v>
      </c>
      <c r="S214" s="1"/>
      <c r="T214" s="1" t="s">
        <v>1984</v>
      </c>
      <c r="U214" s="1" t="s">
        <v>159</v>
      </c>
    </row>
    <row r="215" ht="14.25" customHeight="1">
      <c r="A215" s="1" t="s">
        <v>21</v>
      </c>
      <c r="B215" s="1" t="s">
        <v>1985</v>
      </c>
      <c r="C215" s="1" t="s">
        <v>1986</v>
      </c>
      <c r="D215" s="3" t="s">
        <v>1987</v>
      </c>
      <c r="E215" s="1" t="s">
        <v>174</v>
      </c>
      <c r="F215" s="1" t="s">
        <v>26</v>
      </c>
      <c r="G215" s="1" t="s">
        <v>42</v>
      </c>
      <c r="H215" s="1" t="s">
        <v>1087</v>
      </c>
      <c r="I215" s="1" t="s">
        <v>445</v>
      </c>
      <c r="J215" s="1" t="s">
        <v>1988</v>
      </c>
      <c r="K215" s="1" t="s">
        <v>1989</v>
      </c>
      <c r="L215" s="1" t="s">
        <v>1990</v>
      </c>
      <c r="M215" s="1" t="s">
        <v>59</v>
      </c>
      <c r="N215" s="1" t="s">
        <v>1991</v>
      </c>
      <c r="O215" s="1"/>
      <c r="P215" s="1"/>
      <c r="Q215" s="1"/>
      <c r="R215" s="1" t="s">
        <v>209</v>
      </c>
      <c r="S215" s="1" t="s">
        <v>174</v>
      </c>
      <c r="T215" s="1" t="s">
        <v>614</v>
      </c>
      <c r="U215" s="1" t="s">
        <v>614</v>
      </c>
    </row>
    <row r="216" ht="14.25" customHeight="1">
      <c r="A216" s="1" t="s">
        <v>21</v>
      </c>
      <c r="B216" s="1" t="s">
        <v>1992</v>
      </c>
      <c r="C216" s="1" t="s">
        <v>1993</v>
      </c>
      <c r="D216" s="3" t="s">
        <v>1994</v>
      </c>
      <c r="E216" s="1" t="s">
        <v>384</v>
      </c>
      <c r="F216" s="1" t="s">
        <v>41</v>
      </c>
      <c r="G216" s="1" t="s">
        <v>42</v>
      </c>
      <c r="H216" s="1" t="s">
        <v>1087</v>
      </c>
      <c r="I216" s="1" t="s">
        <v>92</v>
      </c>
      <c r="J216" s="1" t="s">
        <v>1995</v>
      </c>
      <c r="K216" s="1" t="s">
        <v>1996</v>
      </c>
      <c r="L216" s="1" t="s">
        <v>1997</v>
      </c>
      <c r="M216" s="1" t="s">
        <v>59</v>
      </c>
      <c r="N216" s="1" t="s">
        <v>1998</v>
      </c>
      <c r="O216" s="1"/>
      <c r="P216" s="1"/>
      <c r="Q216" s="1"/>
      <c r="R216" s="1" t="s">
        <v>1067</v>
      </c>
      <c r="S216" s="1" t="s">
        <v>384</v>
      </c>
      <c r="T216" s="1" t="s">
        <v>1999</v>
      </c>
      <c r="U216" s="1" t="s">
        <v>182</v>
      </c>
    </row>
    <row r="217" ht="14.25" customHeight="1">
      <c r="A217" s="1" t="s">
        <v>21</v>
      </c>
      <c r="B217" s="1" t="s">
        <v>2000</v>
      </c>
      <c r="C217" s="1" t="s">
        <v>2001</v>
      </c>
      <c r="D217" s="3" t="s">
        <v>2002</v>
      </c>
      <c r="E217" s="1" t="s">
        <v>616</v>
      </c>
      <c r="F217" s="1" t="s">
        <v>41</v>
      </c>
      <c r="G217" s="1" t="s">
        <v>232</v>
      </c>
      <c r="H217" s="1" t="s">
        <v>1087</v>
      </c>
      <c r="I217" s="1" t="s">
        <v>168</v>
      </c>
      <c r="J217" s="1"/>
      <c r="K217" s="1" t="s">
        <v>2003</v>
      </c>
      <c r="L217" s="1" t="s">
        <v>2004</v>
      </c>
      <c r="M217" s="1" t="s">
        <v>31</v>
      </c>
      <c r="N217" s="1"/>
      <c r="O217" s="1" t="s">
        <v>2005</v>
      </c>
      <c r="P217" s="1"/>
      <c r="Q217" s="1"/>
      <c r="R217" s="1" t="s">
        <v>284</v>
      </c>
      <c r="S217" s="1" t="s">
        <v>616</v>
      </c>
      <c r="T217" s="1" t="s">
        <v>2006</v>
      </c>
      <c r="U217" s="1" t="s">
        <v>2007</v>
      </c>
    </row>
    <row r="218" ht="14.25" customHeight="1">
      <c r="A218" s="1" t="s">
        <v>21</v>
      </c>
      <c r="B218" s="1" t="s">
        <v>2008</v>
      </c>
      <c r="C218" s="1" t="s">
        <v>2009</v>
      </c>
      <c r="D218" s="1" t="s">
        <v>2010</v>
      </c>
      <c r="E218" s="1" t="s">
        <v>429</v>
      </c>
      <c r="F218" s="1" t="s">
        <v>41</v>
      </c>
      <c r="G218" s="1" t="s">
        <v>42</v>
      </c>
      <c r="H218" s="1" t="s">
        <v>1087</v>
      </c>
      <c r="I218" s="1" t="s">
        <v>1529</v>
      </c>
      <c r="J218" s="1"/>
      <c r="K218" s="1" t="s">
        <v>2011</v>
      </c>
      <c r="L218" s="1" t="s">
        <v>2012</v>
      </c>
      <c r="M218" s="1" t="s">
        <v>31</v>
      </c>
      <c r="N218" s="1"/>
      <c r="O218" s="1" t="s">
        <v>2013</v>
      </c>
      <c r="P218" s="1" t="s">
        <v>487</v>
      </c>
      <c r="Q218" s="1"/>
      <c r="R218" s="1" t="s">
        <v>92</v>
      </c>
      <c r="S218" s="1"/>
      <c r="T218" s="1" t="s">
        <v>2014</v>
      </c>
      <c r="U218" s="1" t="s">
        <v>2015</v>
      </c>
    </row>
    <row r="219" ht="14.25" customHeight="1">
      <c r="A219" s="1" t="s">
        <v>21</v>
      </c>
      <c r="B219" s="1" t="s">
        <v>2016</v>
      </c>
      <c r="C219" s="1" t="s">
        <v>2017</v>
      </c>
      <c r="D219" s="3"/>
      <c r="E219" s="1"/>
      <c r="F219" s="1" t="s">
        <v>26</v>
      </c>
      <c r="G219" s="1"/>
      <c r="H219" s="1" t="s">
        <v>1087</v>
      </c>
      <c r="I219" s="1" t="s">
        <v>999</v>
      </c>
      <c r="J219" s="1"/>
      <c r="K219" s="1" t="s">
        <v>2018</v>
      </c>
      <c r="L219" s="1"/>
      <c r="M219" s="1" t="s">
        <v>31</v>
      </c>
      <c r="N219" s="1"/>
      <c r="O219" s="1"/>
      <c r="P219" s="1"/>
      <c r="Q219" s="1"/>
      <c r="R219" s="1" t="s">
        <v>34</v>
      </c>
      <c r="S219" s="1"/>
      <c r="T219" s="1" t="s">
        <v>2019</v>
      </c>
      <c r="U219" s="1" t="s">
        <v>487</v>
      </c>
    </row>
    <row r="220" ht="14.25" customHeight="1">
      <c r="A220" s="1" t="s">
        <v>21</v>
      </c>
      <c r="B220" s="1" t="s">
        <v>2020</v>
      </c>
      <c r="C220" s="1" t="s">
        <v>2021</v>
      </c>
      <c r="D220" s="3" t="s">
        <v>2022</v>
      </c>
      <c r="E220" s="1" t="s">
        <v>91</v>
      </c>
      <c r="F220" s="1" t="s">
        <v>26</v>
      </c>
      <c r="G220" s="1" t="s">
        <v>42</v>
      </c>
      <c r="H220" s="1" t="s">
        <v>1087</v>
      </c>
      <c r="I220" s="1" t="s">
        <v>2023</v>
      </c>
      <c r="J220" s="1" t="s">
        <v>2024</v>
      </c>
      <c r="K220" s="1" t="s">
        <v>2025</v>
      </c>
      <c r="L220" s="1" t="s">
        <v>2026</v>
      </c>
      <c r="M220" s="1" t="s">
        <v>59</v>
      </c>
      <c r="N220" s="1" t="s">
        <v>2027</v>
      </c>
      <c r="O220" s="1"/>
      <c r="P220" s="1"/>
      <c r="Q220" s="1"/>
      <c r="R220" s="1" t="s">
        <v>228</v>
      </c>
      <c r="S220" s="1" t="s">
        <v>429</v>
      </c>
      <c r="T220" s="1" t="s">
        <v>2028</v>
      </c>
      <c r="U220" s="1" t="s">
        <v>1126</v>
      </c>
    </row>
    <row r="221" ht="14.25" customHeight="1">
      <c r="A221" s="1" t="s">
        <v>21</v>
      </c>
      <c r="B221" s="1" t="s">
        <v>2029</v>
      </c>
      <c r="C221" s="1" t="s">
        <v>2030</v>
      </c>
      <c r="D221" s="1" t="s">
        <v>2031</v>
      </c>
      <c r="E221" s="1" t="s">
        <v>616</v>
      </c>
      <c r="F221" s="1" t="s">
        <v>41</v>
      </c>
      <c r="G221" s="1" t="s">
        <v>42</v>
      </c>
      <c r="H221" s="1" t="s">
        <v>1087</v>
      </c>
      <c r="I221" s="1" t="s">
        <v>995</v>
      </c>
      <c r="J221" s="1"/>
      <c r="K221" s="1" t="s">
        <v>2032</v>
      </c>
      <c r="L221" s="1" t="s">
        <v>2033</v>
      </c>
      <c r="M221" s="1" t="s">
        <v>31</v>
      </c>
      <c r="N221" s="1"/>
      <c r="O221" s="1" t="s">
        <v>2034</v>
      </c>
      <c r="P221" s="1" t="s">
        <v>141</v>
      </c>
      <c r="Q221" s="1"/>
      <c r="R221" s="1" t="s">
        <v>791</v>
      </c>
      <c r="S221" s="1"/>
      <c r="T221" s="1" t="s">
        <v>2035</v>
      </c>
      <c r="U221" s="1" t="s">
        <v>517</v>
      </c>
    </row>
    <row r="222" ht="14.25" customHeight="1">
      <c r="A222" s="1" t="s">
        <v>21</v>
      </c>
      <c r="B222" s="1" t="s">
        <v>2036</v>
      </c>
      <c r="C222" s="1" t="s">
        <v>2037</v>
      </c>
      <c r="D222" s="1"/>
      <c r="E222" s="1"/>
      <c r="F222" s="1" t="s">
        <v>41</v>
      </c>
      <c r="G222" s="1" t="s">
        <v>42</v>
      </c>
      <c r="H222" s="1" t="s">
        <v>1087</v>
      </c>
      <c r="I222" s="1" t="s">
        <v>1697</v>
      </c>
      <c r="J222" s="1"/>
      <c r="K222" s="1" t="s">
        <v>2038</v>
      </c>
      <c r="L222" s="1" t="s">
        <v>2039</v>
      </c>
      <c r="M222" s="1" t="s">
        <v>59</v>
      </c>
      <c r="N222" s="1" t="s">
        <v>2040</v>
      </c>
      <c r="O222" s="1" t="s">
        <v>2041</v>
      </c>
      <c r="P222" s="1" t="s">
        <v>33</v>
      </c>
      <c r="Q222" s="1"/>
      <c r="R222" s="1" t="s">
        <v>125</v>
      </c>
      <c r="S222" s="1" t="s">
        <v>79</v>
      </c>
      <c r="T222" s="1" t="s">
        <v>2042</v>
      </c>
      <c r="U222" s="1" t="s">
        <v>2043</v>
      </c>
    </row>
    <row r="223" ht="14.25" customHeight="1">
      <c r="A223" s="1" t="s">
        <v>21</v>
      </c>
      <c r="B223" s="1" t="s">
        <v>2044</v>
      </c>
      <c r="C223" s="1" t="s">
        <v>2045</v>
      </c>
      <c r="D223" s="3"/>
      <c r="E223" s="1"/>
      <c r="F223" s="1" t="s">
        <v>26</v>
      </c>
      <c r="G223" s="1" t="s">
        <v>27</v>
      </c>
      <c r="H223" s="1" t="s">
        <v>1087</v>
      </c>
      <c r="I223" s="1" t="s">
        <v>361</v>
      </c>
      <c r="J223" s="1"/>
      <c r="K223" s="1" t="s">
        <v>2046</v>
      </c>
      <c r="L223" s="1"/>
      <c r="M223" s="1" t="s">
        <v>31</v>
      </c>
      <c r="N223" s="1"/>
      <c r="O223" s="1"/>
      <c r="P223" s="1"/>
      <c r="Q223" s="1"/>
      <c r="R223" s="1" t="s">
        <v>475</v>
      </c>
      <c r="S223" s="1"/>
      <c r="T223" s="1" t="s">
        <v>2047</v>
      </c>
      <c r="U223" s="1" t="s">
        <v>1586</v>
      </c>
    </row>
    <row r="224" ht="14.25" customHeight="1">
      <c r="A224" s="1" t="s">
        <v>21</v>
      </c>
      <c r="B224" s="1" t="s">
        <v>2048</v>
      </c>
      <c r="C224" s="1" t="s">
        <v>2049</v>
      </c>
      <c r="D224" s="3" t="s">
        <v>2050</v>
      </c>
      <c r="E224" s="1" t="s">
        <v>174</v>
      </c>
      <c r="F224" s="1" t="s">
        <v>41</v>
      </c>
      <c r="G224" s="1" t="s">
        <v>42</v>
      </c>
      <c r="H224" s="1" t="s">
        <v>1087</v>
      </c>
      <c r="I224" s="1" t="s">
        <v>2051</v>
      </c>
      <c r="J224" s="1"/>
      <c r="K224" s="1" t="s">
        <v>2052</v>
      </c>
      <c r="L224" s="1" t="s">
        <v>2053</v>
      </c>
      <c r="M224" s="1" t="s">
        <v>31</v>
      </c>
      <c r="N224" s="1"/>
      <c r="O224" s="1" t="s">
        <v>2054</v>
      </c>
      <c r="P224" s="1"/>
      <c r="Q224" s="1"/>
      <c r="R224" s="1" t="s">
        <v>1697</v>
      </c>
      <c r="S224" s="1"/>
      <c r="T224" s="1" t="s">
        <v>34</v>
      </c>
      <c r="U224" s="1" t="s">
        <v>34</v>
      </c>
    </row>
    <row r="225" ht="14.25" customHeight="1">
      <c r="A225" s="1" t="s">
        <v>21</v>
      </c>
      <c r="B225" s="1" t="s">
        <v>2055</v>
      </c>
      <c r="C225" s="1" t="s">
        <v>2056</v>
      </c>
      <c r="D225" s="3" t="s">
        <v>2057</v>
      </c>
      <c r="E225" s="1" t="s">
        <v>174</v>
      </c>
      <c r="F225" s="1" t="s">
        <v>26</v>
      </c>
      <c r="G225" s="1" t="s">
        <v>42</v>
      </c>
      <c r="H225" s="1" t="s">
        <v>1087</v>
      </c>
      <c r="I225" s="1" t="s">
        <v>84</v>
      </c>
      <c r="J225" s="1" t="s">
        <v>2058</v>
      </c>
      <c r="K225" s="1" t="s">
        <v>2059</v>
      </c>
      <c r="L225" s="1" t="s">
        <v>2060</v>
      </c>
      <c r="M225" s="1" t="s">
        <v>59</v>
      </c>
      <c r="N225" s="1" t="s">
        <v>2061</v>
      </c>
      <c r="O225" s="1"/>
      <c r="P225" s="1"/>
      <c r="Q225" s="1"/>
      <c r="R225" s="1" t="s">
        <v>326</v>
      </c>
      <c r="S225" s="1" t="s">
        <v>91</v>
      </c>
      <c r="T225" s="1" t="s">
        <v>2062</v>
      </c>
      <c r="U225" s="1" t="s">
        <v>1263</v>
      </c>
    </row>
    <row r="226" ht="14.25" customHeight="1">
      <c r="A226" s="1" t="s">
        <v>21</v>
      </c>
      <c r="B226" s="1" t="s">
        <v>2063</v>
      </c>
      <c r="C226" s="1" t="s">
        <v>2064</v>
      </c>
      <c r="D226" s="3" t="s">
        <v>737</v>
      </c>
      <c r="E226" s="1" t="s">
        <v>99</v>
      </c>
      <c r="F226" s="1" t="s">
        <v>26</v>
      </c>
      <c r="G226" s="1" t="s">
        <v>2065</v>
      </c>
      <c r="H226" s="1" t="s">
        <v>1087</v>
      </c>
      <c r="I226" s="1" t="s">
        <v>216</v>
      </c>
      <c r="J226" s="1" t="s">
        <v>2066</v>
      </c>
      <c r="K226" s="1" t="s">
        <v>2067</v>
      </c>
      <c r="L226" s="1" t="s">
        <v>2068</v>
      </c>
      <c r="M226" s="1" t="s">
        <v>59</v>
      </c>
      <c r="N226" s="1" t="s">
        <v>2069</v>
      </c>
      <c r="O226" s="1"/>
      <c r="P226" s="1"/>
      <c r="Q226" s="1"/>
      <c r="R226" s="1" t="s">
        <v>1857</v>
      </c>
      <c r="S226" s="1" t="s">
        <v>117</v>
      </c>
      <c r="T226" s="1" t="s">
        <v>2070</v>
      </c>
      <c r="U226" s="1" t="s">
        <v>2071</v>
      </c>
    </row>
    <row r="227" ht="14.25" customHeight="1">
      <c r="A227" s="1" t="s">
        <v>21</v>
      </c>
      <c r="B227" s="1" t="s">
        <v>2072</v>
      </c>
      <c r="C227" s="1" t="s">
        <v>2073</v>
      </c>
      <c r="D227" s="3" t="s">
        <v>2074</v>
      </c>
      <c r="E227" s="1" t="s">
        <v>637</v>
      </c>
      <c r="F227" s="1" t="s">
        <v>41</v>
      </c>
      <c r="G227" s="1" t="s">
        <v>42</v>
      </c>
      <c r="H227" s="1" t="s">
        <v>1087</v>
      </c>
      <c r="I227" s="1" t="s">
        <v>1693</v>
      </c>
      <c r="J227" s="1"/>
      <c r="K227" s="1" t="s">
        <v>2075</v>
      </c>
      <c r="L227" s="1" t="s">
        <v>2076</v>
      </c>
      <c r="M227" s="1" t="s">
        <v>31</v>
      </c>
      <c r="N227" s="1"/>
      <c r="O227" s="1" t="s">
        <v>2077</v>
      </c>
      <c r="P227" s="1" t="s">
        <v>932</v>
      </c>
      <c r="Q227" s="1"/>
      <c r="R227" s="1" t="s">
        <v>111</v>
      </c>
      <c r="S227" s="1"/>
      <c r="T227" s="1" t="s">
        <v>2078</v>
      </c>
      <c r="U227" s="1" t="s">
        <v>361</v>
      </c>
    </row>
    <row r="228" ht="14.25" customHeight="1">
      <c r="A228" s="1" t="s">
        <v>21</v>
      </c>
      <c r="B228" s="1" t="s">
        <v>2079</v>
      </c>
      <c r="C228" s="1" t="s">
        <v>2080</v>
      </c>
      <c r="D228" s="1" t="s">
        <v>2081</v>
      </c>
      <c r="E228" s="1" t="s">
        <v>117</v>
      </c>
      <c r="F228" s="1" t="s">
        <v>41</v>
      </c>
      <c r="G228" s="1" t="s">
        <v>42</v>
      </c>
      <c r="H228" s="1" t="s">
        <v>1087</v>
      </c>
      <c r="I228" s="1" t="s">
        <v>1336</v>
      </c>
      <c r="J228" s="1"/>
      <c r="K228" s="1" t="s">
        <v>2082</v>
      </c>
      <c r="L228" s="1" t="s">
        <v>2083</v>
      </c>
      <c r="M228" s="1" t="s">
        <v>31</v>
      </c>
      <c r="N228" s="1"/>
      <c r="O228" s="1" t="s">
        <v>2084</v>
      </c>
      <c r="P228" s="1" t="s">
        <v>34</v>
      </c>
      <c r="Q228" s="1"/>
      <c r="R228" s="1" t="s">
        <v>495</v>
      </c>
      <c r="S228" s="1"/>
      <c r="T228" s="1" t="s">
        <v>2085</v>
      </c>
      <c r="U228" s="1" t="s">
        <v>2086</v>
      </c>
    </row>
    <row r="229" ht="14.25" customHeight="1">
      <c r="A229" s="1" t="s">
        <v>21</v>
      </c>
      <c r="B229" s="1" t="s">
        <v>2087</v>
      </c>
      <c r="C229" s="1" t="s">
        <v>2088</v>
      </c>
      <c r="D229" s="3"/>
      <c r="E229" s="1"/>
      <c r="F229" s="1" t="s">
        <v>41</v>
      </c>
      <c r="G229" s="1" t="s">
        <v>42</v>
      </c>
      <c r="H229" s="1" t="s">
        <v>1087</v>
      </c>
      <c r="I229" s="1" t="s">
        <v>475</v>
      </c>
      <c r="J229" s="1"/>
      <c r="K229" s="1" t="s">
        <v>2089</v>
      </c>
      <c r="L229" s="1" t="s">
        <v>2090</v>
      </c>
      <c r="M229" s="1" t="s">
        <v>31</v>
      </c>
      <c r="N229" s="1"/>
      <c r="O229" s="1" t="s">
        <v>2091</v>
      </c>
      <c r="P229" s="1" t="s">
        <v>517</v>
      </c>
      <c r="Q229" s="1"/>
      <c r="R229" s="1" t="s">
        <v>215</v>
      </c>
      <c r="S229" s="1"/>
      <c r="T229" s="1" t="s">
        <v>2092</v>
      </c>
      <c r="U229" s="1" t="s">
        <v>2093</v>
      </c>
    </row>
    <row r="230" ht="14.25" customHeight="1">
      <c r="A230" s="1" t="s">
        <v>21</v>
      </c>
      <c r="B230" s="1" t="s">
        <v>2094</v>
      </c>
      <c r="C230" s="1" t="s">
        <v>2095</v>
      </c>
      <c r="D230" s="3" t="s">
        <v>2096</v>
      </c>
      <c r="E230" s="1" t="s">
        <v>637</v>
      </c>
      <c r="F230" s="1" t="s">
        <v>41</v>
      </c>
      <c r="G230" s="1" t="s">
        <v>42</v>
      </c>
      <c r="H230" s="1" t="s">
        <v>1087</v>
      </c>
      <c r="I230" s="1" t="s">
        <v>1227</v>
      </c>
      <c r="J230" s="1" t="s">
        <v>2097</v>
      </c>
      <c r="K230" s="1" t="s">
        <v>2098</v>
      </c>
      <c r="L230" s="1" t="s">
        <v>2099</v>
      </c>
      <c r="M230" s="1" t="s">
        <v>31</v>
      </c>
      <c r="N230" s="1"/>
      <c r="O230" s="1" t="s">
        <v>2100</v>
      </c>
      <c r="P230" s="1" t="s">
        <v>298</v>
      </c>
      <c r="Q230" s="1"/>
      <c r="R230" s="1" t="s">
        <v>764</v>
      </c>
      <c r="S230" s="1"/>
      <c r="T230" s="1" t="s">
        <v>2101</v>
      </c>
      <c r="U230" s="1" t="s">
        <v>2102</v>
      </c>
    </row>
    <row r="231" ht="14.25" customHeight="1">
      <c r="A231" s="1" t="s">
        <v>21</v>
      </c>
      <c r="B231" s="1" t="s">
        <v>2103</v>
      </c>
      <c r="C231" s="1" t="s">
        <v>2104</v>
      </c>
      <c r="D231" s="3" t="s">
        <v>2105</v>
      </c>
      <c r="E231" s="1" t="s">
        <v>616</v>
      </c>
      <c r="F231" s="1" t="s">
        <v>41</v>
      </c>
      <c r="G231" s="1" t="s">
        <v>42</v>
      </c>
      <c r="H231" s="1" t="s">
        <v>1087</v>
      </c>
      <c r="I231" s="1" t="s">
        <v>1354</v>
      </c>
      <c r="J231" s="1" t="s">
        <v>2106</v>
      </c>
      <c r="K231" s="1" t="s">
        <v>2107</v>
      </c>
      <c r="L231" s="1" t="s">
        <v>2108</v>
      </c>
      <c r="M231" s="1" t="s">
        <v>59</v>
      </c>
      <c r="N231" s="1" t="s">
        <v>2109</v>
      </c>
      <c r="O231" s="1" t="s">
        <v>2110</v>
      </c>
      <c r="P231" s="1" t="s">
        <v>258</v>
      </c>
      <c r="Q231" s="1"/>
      <c r="R231" s="1" t="s">
        <v>1326</v>
      </c>
      <c r="S231" s="1"/>
      <c r="T231" s="1" t="s">
        <v>2111</v>
      </c>
      <c r="U231" s="1" t="s">
        <v>1126</v>
      </c>
    </row>
    <row r="232" ht="14.25" customHeight="1">
      <c r="A232" s="1" t="s">
        <v>21</v>
      </c>
      <c r="B232" s="1" t="s">
        <v>2112</v>
      </c>
      <c r="C232" s="1" t="s">
        <v>2113</v>
      </c>
      <c r="D232" s="3" t="s">
        <v>2114</v>
      </c>
      <c r="E232" s="1" t="s">
        <v>54</v>
      </c>
      <c r="F232" s="1" t="s">
        <v>26</v>
      </c>
      <c r="G232" s="1" t="s">
        <v>27</v>
      </c>
      <c r="H232" s="1" t="s">
        <v>1087</v>
      </c>
      <c r="I232" s="1" t="s">
        <v>731</v>
      </c>
      <c r="J232" s="1"/>
      <c r="K232" s="1" t="s">
        <v>2115</v>
      </c>
      <c r="L232" s="1" t="s">
        <v>2116</v>
      </c>
      <c r="M232" s="1" t="s">
        <v>31</v>
      </c>
      <c r="N232" s="1"/>
      <c r="O232" s="1" t="s">
        <v>2117</v>
      </c>
      <c r="P232" s="1" t="s">
        <v>1266</v>
      </c>
      <c r="Q232" s="1"/>
      <c r="R232" s="1" t="s">
        <v>73</v>
      </c>
      <c r="S232" s="1"/>
      <c r="T232" s="1" t="s">
        <v>2118</v>
      </c>
      <c r="U232" s="1" t="s">
        <v>2119</v>
      </c>
    </row>
    <row r="233" ht="14.25" customHeight="1">
      <c r="A233" s="1" t="s">
        <v>21</v>
      </c>
      <c r="B233" s="1" t="s">
        <v>2120</v>
      </c>
      <c r="C233" s="1" t="s">
        <v>2121</v>
      </c>
      <c r="D233" s="3" t="s">
        <v>2122</v>
      </c>
      <c r="E233" s="1" t="s">
        <v>384</v>
      </c>
      <c r="F233" s="1" t="s">
        <v>41</v>
      </c>
      <c r="G233" s="1" t="s">
        <v>42</v>
      </c>
      <c r="H233" s="1" t="s">
        <v>1087</v>
      </c>
      <c r="I233" s="1" t="s">
        <v>1346</v>
      </c>
      <c r="J233" s="1" t="s">
        <v>2123</v>
      </c>
      <c r="K233" s="1" t="s">
        <v>2124</v>
      </c>
      <c r="L233" s="1" t="s">
        <v>2125</v>
      </c>
      <c r="M233" s="1" t="s">
        <v>59</v>
      </c>
      <c r="N233" s="1" t="s">
        <v>2126</v>
      </c>
      <c r="O233" s="1" t="s">
        <v>2127</v>
      </c>
      <c r="P233" s="1"/>
      <c r="Q233" s="1"/>
      <c r="R233" s="1" t="s">
        <v>1857</v>
      </c>
      <c r="S233" s="1" t="s">
        <v>384</v>
      </c>
      <c r="T233" s="1" t="s">
        <v>2128</v>
      </c>
      <c r="U233" s="1" t="s">
        <v>2129</v>
      </c>
    </row>
    <row r="234" ht="14.25" customHeight="1">
      <c r="A234" s="1" t="s">
        <v>21</v>
      </c>
      <c r="B234" s="1" t="s">
        <v>2130</v>
      </c>
      <c r="C234" s="1" t="s">
        <v>2131</v>
      </c>
      <c r="D234" s="3" t="s">
        <v>2132</v>
      </c>
      <c r="E234" s="1" t="s">
        <v>174</v>
      </c>
      <c r="F234" s="1" t="s">
        <v>41</v>
      </c>
      <c r="G234" s="1" t="s">
        <v>42</v>
      </c>
      <c r="H234" s="1" t="s">
        <v>1087</v>
      </c>
      <c r="I234" s="1" t="s">
        <v>1078</v>
      </c>
      <c r="J234" s="1"/>
      <c r="K234" s="1" t="s">
        <v>2133</v>
      </c>
      <c r="L234" s="1" t="s">
        <v>2134</v>
      </c>
      <c r="M234" s="1" t="s">
        <v>31</v>
      </c>
      <c r="N234" s="1"/>
      <c r="O234" s="4" t="s">
        <v>2135</v>
      </c>
      <c r="P234" s="1"/>
      <c r="Q234" s="1"/>
      <c r="R234" s="1" t="s">
        <v>1023</v>
      </c>
      <c r="S234" s="1"/>
      <c r="T234" s="1" t="s">
        <v>2136</v>
      </c>
      <c r="U234" s="1" t="s">
        <v>2137</v>
      </c>
    </row>
    <row r="235" ht="14.25" customHeight="1">
      <c r="A235" s="1" t="s">
        <v>21</v>
      </c>
      <c r="B235" s="1" t="s">
        <v>2138</v>
      </c>
      <c r="C235" s="1" t="s">
        <v>2139</v>
      </c>
      <c r="D235" s="3" t="s">
        <v>2140</v>
      </c>
      <c r="E235" s="1" t="s">
        <v>429</v>
      </c>
      <c r="F235" s="1" t="s">
        <v>118</v>
      </c>
      <c r="G235" s="1" t="s">
        <v>232</v>
      </c>
      <c r="H235" s="1" t="s">
        <v>1087</v>
      </c>
      <c r="I235" s="1" t="s">
        <v>2023</v>
      </c>
      <c r="J235" s="1"/>
      <c r="K235" s="1" t="s">
        <v>2141</v>
      </c>
      <c r="L235" s="1" t="s">
        <v>2142</v>
      </c>
      <c r="M235" s="1" t="s">
        <v>31</v>
      </c>
      <c r="N235" s="1"/>
      <c r="O235" s="1" t="s">
        <v>1706</v>
      </c>
      <c r="P235" s="1" t="s">
        <v>33</v>
      </c>
      <c r="Q235" s="1"/>
      <c r="R235" s="1" t="s">
        <v>817</v>
      </c>
      <c r="S235" s="1"/>
      <c r="T235" s="1" t="s">
        <v>2143</v>
      </c>
      <c r="U235" s="1" t="s">
        <v>2144</v>
      </c>
    </row>
    <row r="236" ht="14.25" customHeight="1">
      <c r="A236" s="1" t="s">
        <v>21</v>
      </c>
      <c r="B236" s="1" t="s">
        <v>2145</v>
      </c>
      <c r="C236" s="1" t="s">
        <v>2146</v>
      </c>
      <c r="D236" s="3" t="s">
        <v>2147</v>
      </c>
      <c r="E236" s="1" t="s">
        <v>91</v>
      </c>
      <c r="F236" s="1" t="s">
        <v>41</v>
      </c>
      <c r="G236" s="1" t="s">
        <v>42</v>
      </c>
      <c r="H236" s="1" t="s">
        <v>1087</v>
      </c>
      <c r="I236" s="1" t="s">
        <v>1289</v>
      </c>
      <c r="J236" s="1"/>
      <c r="K236" s="1" t="s">
        <v>2148</v>
      </c>
      <c r="L236" s="1" t="s">
        <v>2149</v>
      </c>
      <c r="M236" s="1" t="s">
        <v>59</v>
      </c>
      <c r="N236" s="1" t="s">
        <v>2150</v>
      </c>
      <c r="O236" s="1" t="s">
        <v>2151</v>
      </c>
      <c r="P236" s="1" t="s">
        <v>62</v>
      </c>
      <c r="Q236" s="1"/>
      <c r="R236" s="1" t="s">
        <v>1289</v>
      </c>
      <c r="S236" s="1"/>
      <c r="T236" s="1" t="s">
        <v>2152</v>
      </c>
      <c r="U236" s="1" t="s">
        <v>247</v>
      </c>
    </row>
    <row r="237" ht="14.25" customHeight="1">
      <c r="A237" s="1" t="s">
        <v>21</v>
      </c>
      <c r="B237" s="1" t="s">
        <v>2153</v>
      </c>
      <c r="C237" s="1" t="s">
        <v>2154</v>
      </c>
      <c r="D237" s="3" t="s">
        <v>2155</v>
      </c>
      <c r="E237" s="1" t="s">
        <v>174</v>
      </c>
      <c r="F237" s="1" t="s">
        <v>41</v>
      </c>
      <c r="G237" s="1" t="s">
        <v>42</v>
      </c>
      <c r="H237" s="1" t="s">
        <v>1087</v>
      </c>
      <c r="I237" s="1" t="s">
        <v>1354</v>
      </c>
      <c r="J237" s="1"/>
      <c r="K237" s="1" t="s">
        <v>2156</v>
      </c>
      <c r="L237" s="1" t="s">
        <v>2157</v>
      </c>
      <c r="M237" s="1" t="s">
        <v>31</v>
      </c>
      <c r="N237" s="1"/>
      <c r="O237" s="1" t="s">
        <v>2158</v>
      </c>
      <c r="P237" s="1" t="s">
        <v>228</v>
      </c>
      <c r="Q237" s="1"/>
      <c r="R237" s="1" t="s">
        <v>1378</v>
      </c>
      <c r="S237" s="1"/>
      <c r="T237" s="1" t="s">
        <v>2159</v>
      </c>
      <c r="U237" s="1" t="s">
        <v>2160</v>
      </c>
    </row>
    <row r="238" ht="14.25" customHeight="1">
      <c r="A238" s="1" t="s">
        <v>21</v>
      </c>
      <c r="B238" s="1" t="s">
        <v>2161</v>
      </c>
      <c r="C238" s="1" t="s">
        <v>2162</v>
      </c>
      <c r="D238" s="3" t="s">
        <v>2163</v>
      </c>
      <c r="E238" s="1" t="s">
        <v>384</v>
      </c>
      <c r="F238" s="1" t="s">
        <v>41</v>
      </c>
      <c r="G238" s="1" t="s">
        <v>42</v>
      </c>
      <c r="H238" s="1" t="s">
        <v>1087</v>
      </c>
      <c r="I238" s="1" t="s">
        <v>1124</v>
      </c>
      <c r="J238" s="1"/>
      <c r="K238" s="1" t="s">
        <v>2164</v>
      </c>
      <c r="L238" s="1" t="s">
        <v>2165</v>
      </c>
      <c r="M238" s="1" t="s">
        <v>31</v>
      </c>
      <c r="N238" s="1"/>
      <c r="O238" s="1"/>
      <c r="P238" s="1"/>
      <c r="Q238" s="1"/>
      <c r="R238" s="1" t="s">
        <v>2166</v>
      </c>
      <c r="S238" s="1"/>
      <c r="T238" s="1" t="s">
        <v>2167</v>
      </c>
      <c r="U238" s="1" t="s">
        <v>247</v>
      </c>
    </row>
    <row r="239" ht="14.25" customHeight="1">
      <c r="A239" s="1" t="s">
        <v>21</v>
      </c>
      <c r="B239" s="1" t="s">
        <v>2168</v>
      </c>
      <c r="C239" s="1" t="s">
        <v>2169</v>
      </c>
      <c r="D239" s="3" t="s">
        <v>2170</v>
      </c>
      <c r="E239" s="1" t="s">
        <v>117</v>
      </c>
      <c r="F239" s="1" t="s">
        <v>41</v>
      </c>
      <c r="G239" s="1" t="s">
        <v>42</v>
      </c>
      <c r="H239" s="1" t="s">
        <v>1087</v>
      </c>
      <c r="I239" s="1" t="s">
        <v>65</v>
      </c>
      <c r="J239" s="1"/>
      <c r="K239" s="1" t="s">
        <v>2171</v>
      </c>
      <c r="L239" s="1" t="s">
        <v>2172</v>
      </c>
      <c r="M239" s="1" t="s">
        <v>59</v>
      </c>
      <c r="N239" s="1" t="s">
        <v>2173</v>
      </c>
      <c r="O239" s="1" t="s">
        <v>2174</v>
      </c>
      <c r="P239" s="1" t="s">
        <v>101</v>
      </c>
      <c r="Q239" s="1"/>
      <c r="R239" s="1" t="s">
        <v>1791</v>
      </c>
      <c r="S239" s="1"/>
      <c r="T239" s="1" t="s">
        <v>2175</v>
      </c>
      <c r="U239" s="1" t="s">
        <v>1644</v>
      </c>
    </row>
    <row r="240" ht="14.25" customHeight="1">
      <c r="A240" s="1" t="s">
        <v>21</v>
      </c>
      <c r="B240" s="1" t="s">
        <v>2176</v>
      </c>
      <c r="C240" s="1" t="s">
        <v>2177</v>
      </c>
      <c r="D240" s="1" t="s">
        <v>2178</v>
      </c>
      <c r="E240" s="1" t="s">
        <v>352</v>
      </c>
      <c r="F240" s="1" t="s">
        <v>41</v>
      </c>
      <c r="G240" s="1" t="s">
        <v>42</v>
      </c>
      <c r="H240" s="1" t="s">
        <v>1087</v>
      </c>
      <c r="I240" s="1" t="s">
        <v>163</v>
      </c>
      <c r="J240" s="1"/>
      <c r="K240" s="1" t="s">
        <v>2179</v>
      </c>
      <c r="L240" s="1" t="s">
        <v>2180</v>
      </c>
      <c r="M240" s="1" t="s">
        <v>31</v>
      </c>
      <c r="N240" s="1"/>
      <c r="O240" s="1" t="s">
        <v>2181</v>
      </c>
      <c r="P240" s="1" t="s">
        <v>124</v>
      </c>
      <c r="Q240" s="1"/>
      <c r="R240" s="1" t="s">
        <v>1431</v>
      </c>
      <c r="S240" s="1"/>
      <c r="T240" s="1" t="s">
        <v>2182</v>
      </c>
      <c r="U240" s="1" t="s">
        <v>228</v>
      </c>
    </row>
    <row r="241" ht="14.25" customHeight="1">
      <c r="A241" s="1" t="s">
        <v>21</v>
      </c>
      <c r="B241" s="1" t="s">
        <v>2183</v>
      </c>
      <c r="C241" s="1" t="s">
        <v>2184</v>
      </c>
      <c r="D241" s="3"/>
      <c r="E241" s="1"/>
      <c r="F241" s="1" t="s">
        <v>26</v>
      </c>
      <c r="G241" s="1" t="s">
        <v>42</v>
      </c>
      <c r="H241" s="1" t="s">
        <v>1087</v>
      </c>
      <c r="I241" s="1" t="s">
        <v>535</v>
      </c>
      <c r="J241" s="1" t="s">
        <v>2185</v>
      </c>
      <c r="K241" s="1" t="s">
        <v>2186</v>
      </c>
      <c r="L241" s="1" t="s">
        <v>2187</v>
      </c>
      <c r="M241" s="1" t="s">
        <v>59</v>
      </c>
      <c r="N241" s="1" t="s">
        <v>2188</v>
      </c>
      <c r="O241" s="1"/>
      <c r="P241" s="1"/>
      <c r="Q241" s="1"/>
      <c r="R241" s="1" t="s">
        <v>999</v>
      </c>
      <c r="S241" s="1" t="s">
        <v>352</v>
      </c>
      <c r="T241" s="1" t="s">
        <v>2189</v>
      </c>
      <c r="U241" s="1" t="s">
        <v>202</v>
      </c>
    </row>
    <row r="242" ht="14.25" customHeight="1">
      <c r="A242" s="1" t="s">
        <v>21</v>
      </c>
      <c r="B242" s="1" t="s">
        <v>2190</v>
      </c>
      <c r="C242" s="1" t="s">
        <v>2191</v>
      </c>
      <c r="D242" s="3" t="s">
        <v>2192</v>
      </c>
      <c r="E242" s="1" t="s">
        <v>99</v>
      </c>
      <c r="F242" s="1" t="s">
        <v>41</v>
      </c>
      <c r="G242" s="1" t="s">
        <v>42</v>
      </c>
      <c r="H242" s="1" t="s">
        <v>1087</v>
      </c>
      <c r="I242" s="1" t="s">
        <v>238</v>
      </c>
      <c r="J242" s="1" t="s">
        <v>2193</v>
      </c>
      <c r="K242" s="1" t="s">
        <v>2194</v>
      </c>
      <c r="L242" s="1" t="s">
        <v>2195</v>
      </c>
      <c r="M242" s="1" t="s">
        <v>59</v>
      </c>
      <c r="N242" s="1" t="s">
        <v>2196</v>
      </c>
      <c r="O242" s="1" t="s">
        <v>2197</v>
      </c>
      <c r="P242" s="1" t="s">
        <v>110</v>
      </c>
      <c r="Q242" s="1"/>
      <c r="R242" s="1" t="s">
        <v>2051</v>
      </c>
      <c r="S242" s="1" t="s">
        <v>99</v>
      </c>
      <c r="T242" s="1" t="s">
        <v>2198</v>
      </c>
      <c r="U242" s="1" t="s">
        <v>2199</v>
      </c>
    </row>
    <row r="243" ht="14.25" customHeight="1">
      <c r="A243" s="1" t="s">
        <v>21</v>
      </c>
      <c r="B243" s="1" t="s">
        <v>2200</v>
      </c>
      <c r="C243" s="1" t="s">
        <v>2201</v>
      </c>
      <c r="D243" s="3" t="s">
        <v>2202</v>
      </c>
      <c r="E243" s="1" t="s">
        <v>384</v>
      </c>
      <c r="F243" s="1" t="s">
        <v>26</v>
      </c>
      <c r="G243" s="1" t="s">
        <v>42</v>
      </c>
      <c r="H243" s="1" t="s">
        <v>1087</v>
      </c>
      <c r="I243" s="1" t="s">
        <v>1601</v>
      </c>
      <c r="J243" s="1" t="s">
        <v>2203</v>
      </c>
      <c r="K243" s="1" t="s">
        <v>2204</v>
      </c>
      <c r="L243" s="1" t="s">
        <v>2205</v>
      </c>
      <c r="M243" s="1" t="s">
        <v>59</v>
      </c>
      <c r="N243" s="1" t="s">
        <v>2206</v>
      </c>
      <c r="O243" s="1" t="s">
        <v>2207</v>
      </c>
      <c r="P243" s="1"/>
      <c r="Q243" s="1"/>
      <c r="R243" s="1" t="s">
        <v>2208</v>
      </c>
      <c r="S243" s="1" t="s">
        <v>174</v>
      </c>
      <c r="T243" s="1" t="s">
        <v>2209</v>
      </c>
      <c r="U243" s="1" t="s">
        <v>2210</v>
      </c>
    </row>
    <row r="244" ht="14.25" customHeight="1">
      <c r="A244" s="1" t="s">
        <v>21</v>
      </c>
      <c r="B244" s="1" t="s">
        <v>2211</v>
      </c>
      <c r="C244" s="1" t="s">
        <v>2212</v>
      </c>
      <c r="D244" s="3" t="s">
        <v>2213</v>
      </c>
      <c r="E244" s="1" t="s">
        <v>637</v>
      </c>
      <c r="F244" s="1" t="s">
        <v>41</v>
      </c>
      <c r="G244" s="1" t="s">
        <v>42</v>
      </c>
      <c r="H244" s="1" t="s">
        <v>1087</v>
      </c>
      <c r="I244" s="1" t="s">
        <v>445</v>
      </c>
      <c r="J244" s="1" t="s">
        <v>2214</v>
      </c>
      <c r="K244" s="1" t="s">
        <v>2215</v>
      </c>
      <c r="L244" s="1" t="s">
        <v>2216</v>
      </c>
      <c r="M244" s="1" t="s">
        <v>59</v>
      </c>
      <c r="N244" s="1" t="s">
        <v>2217</v>
      </c>
      <c r="O244" s="4" t="s">
        <v>2218</v>
      </c>
      <c r="P244" s="1" t="s">
        <v>62</v>
      </c>
      <c r="Q244" s="1"/>
      <c r="R244" s="1" t="s">
        <v>557</v>
      </c>
      <c r="S244" s="1" t="s">
        <v>637</v>
      </c>
      <c r="T244" s="1" t="s">
        <v>2219</v>
      </c>
      <c r="U244" s="1" t="s">
        <v>2220</v>
      </c>
    </row>
    <row r="245" ht="14.25" customHeight="1">
      <c r="A245" s="1" t="s">
        <v>21</v>
      </c>
      <c r="B245" s="1" t="s">
        <v>2221</v>
      </c>
      <c r="C245" s="1" t="s">
        <v>2222</v>
      </c>
      <c r="D245" s="3" t="s">
        <v>2223</v>
      </c>
      <c r="E245" s="1" t="s">
        <v>352</v>
      </c>
      <c r="F245" s="1" t="s">
        <v>26</v>
      </c>
      <c r="G245" s="1" t="s">
        <v>42</v>
      </c>
      <c r="H245" s="1" t="s">
        <v>1087</v>
      </c>
      <c r="I245" s="1" t="s">
        <v>55</v>
      </c>
      <c r="J245" s="1"/>
      <c r="K245" s="1" t="s">
        <v>2224</v>
      </c>
      <c r="L245" s="1" t="s">
        <v>2225</v>
      </c>
      <c r="M245" s="1" t="s">
        <v>31</v>
      </c>
      <c r="N245" s="1"/>
      <c r="O245" s="1" t="s">
        <v>2226</v>
      </c>
      <c r="P245" s="1" t="s">
        <v>124</v>
      </c>
      <c r="Q245" s="1"/>
      <c r="R245" s="1" t="s">
        <v>283</v>
      </c>
      <c r="S245" s="1"/>
      <c r="T245" s="1" t="s">
        <v>2227</v>
      </c>
      <c r="U245" s="1" t="s">
        <v>2071</v>
      </c>
    </row>
    <row r="246" ht="14.25" customHeight="1">
      <c r="A246" s="1" t="s">
        <v>21</v>
      </c>
      <c r="B246" s="1" t="s">
        <v>2228</v>
      </c>
      <c r="C246" s="1" t="s">
        <v>2229</v>
      </c>
      <c r="D246" s="3" t="s">
        <v>2230</v>
      </c>
      <c r="E246" s="1" t="s">
        <v>117</v>
      </c>
      <c r="F246" s="1" t="s">
        <v>26</v>
      </c>
      <c r="G246" s="1" t="s">
        <v>27</v>
      </c>
      <c r="H246" s="1" t="s">
        <v>1087</v>
      </c>
      <c r="I246" s="1" t="s">
        <v>1004</v>
      </c>
      <c r="J246" s="1"/>
      <c r="K246" s="1" t="s">
        <v>2231</v>
      </c>
      <c r="L246" s="1" t="s">
        <v>2232</v>
      </c>
      <c r="M246" s="1" t="s">
        <v>31</v>
      </c>
      <c r="N246" s="1"/>
      <c r="O246" s="1" t="s">
        <v>2233</v>
      </c>
      <c r="P246" s="1" t="s">
        <v>125</v>
      </c>
      <c r="Q246" s="1"/>
      <c r="R246" s="1" t="s">
        <v>2234</v>
      </c>
      <c r="S246" s="1"/>
      <c r="T246" s="1" t="s">
        <v>614</v>
      </c>
      <c r="U246" s="1" t="s">
        <v>614</v>
      </c>
    </row>
    <row r="247" ht="14.25" customHeight="1">
      <c r="A247" s="1" t="s">
        <v>21</v>
      </c>
      <c r="B247" s="1" t="s">
        <v>2235</v>
      </c>
      <c r="C247" s="1" t="s">
        <v>2236</v>
      </c>
      <c r="D247" s="1" t="s">
        <v>2237</v>
      </c>
      <c r="E247" s="1" t="s">
        <v>79</v>
      </c>
      <c r="F247" s="1" t="s">
        <v>622</v>
      </c>
      <c r="G247" s="1" t="s">
        <v>42</v>
      </c>
      <c r="H247" s="1" t="s">
        <v>1087</v>
      </c>
      <c r="I247" s="1" t="s">
        <v>731</v>
      </c>
      <c r="J247" s="1"/>
      <c r="K247" s="1" t="s">
        <v>2238</v>
      </c>
      <c r="L247" s="1" t="s">
        <v>2239</v>
      </c>
      <c r="M247" s="1" t="s">
        <v>31</v>
      </c>
      <c r="N247" s="1"/>
      <c r="O247" s="1" t="s">
        <v>2240</v>
      </c>
      <c r="P247" s="1" t="s">
        <v>1126</v>
      </c>
      <c r="Q247" s="1"/>
      <c r="R247" s="1" t="s">
        <v>125</v>
      </c>
      <c r="S247" s="1"/>
      <c r="T247" s="1" t="s">
        <v>2241</v>
      </c>
      <c r="U247" s="1" t="s">
        <v>1126</v>
      </c>
    </row>
    <row r="248" ht="14.25" customHeight="1">
      <c r="A248" s="1" t="s">
        <v>21</v>
      </c>
      <c r="B248" s="1" t="s">
        <v>2242</v>
      </c>
      <c r="C248" s="1" t="s">
        <v>2243</v>
      </c>
      <c r="D248" s="1"/>
      <c r="E248" s="1"/>
      <c r="F248" s="1" t="s">
        <v>41</v>
      </c>
      <c r="G248" s="1" t="s">
        <v>42</v>
      </c>
      <c r="H248" s="1" t="s">
        <v>1087</v>
      </c>
      <c r="I248" s="1" t="s">
        <v>2244</v>
      </c>
      <c r="J248" s="1" t="s">
        <v>2245</v>
      </c>
      <c r="K248" s="1" t="s">
        <v>2246</v>
      </c>
      <c r="L248" s="1" t="s">
        <v>2247</v>
      </c>
      <c r="M248" s="1" t="s">
        <v>31</v>
      </c>
      <c r="N248" s="1"/>
      <c r="O248" s="1" t="s">
        <v>2248</v>
      </c>
      <c r="P248" s="1" t="s">
        <v>196</v>
      </c>
      <c r="Q248" s="1"/>
      <c r="R248" s="1" t="s">
        <v>600</v>
      </c>
      <c r="S248" s="1"/>
      <c r="T248" s="1" t="s">
        <v>2249</v>
      </c>
      <c r="U248" s="1" t="s">
        <v>2250</v>
      </c>
    </row>
    <row r="249" ht="14.25" customHeight="1">
      <c r="A249" s="1" t="s">
        <v>21</v>
      </c>
      <c r="B249" s="1" t="s">
        <v>2251</v>
      </c>
      <c r="C249" s="1" t="s">
        <v>2252</v>
      </c>
      <c r="D249" s="3"/>
      <c r="E249" s="1"/>
      <c r="F249" s="1" t="s">
        <v>41</v>
      </c>
      <c r="G249" s="1" t="s">
        <v>42</v>
      </c>
      <c r="H249" s="1" t="s">
        <v>1087</v>
      </c>
      <c r="I249" s="1" t="s">
        <v>101</v>
      </c>
      <c r="J249" s="1" t="s">
        <v>2253</v>
      </c>
      <c r="K249" s="1" t="s">
        <v>2254</v>
      </c>
      <c r="L249" s="1" t="s">
        <v>2255</v>
      </c>
      <c r="M249" s="1" t="s">
        <v>59</v>
      </c>
      <c r="N249" s="1" t="s">
        <v>2256</v>
      </c>
      <c r="O249" s="1" t="s">
        <v>2257</v>
      </c>
      <c r="P249" s="1" t="s">
        <v>130</v>
      </c>
      <c r="Q249" s="1"/>
      <c r="R249" s="1" t="s">
        <v>2258</v>
      </c>
      <c r="S249" s="1" t="s">
        <v>384</v>
      </c>
      <c r="T249" s="1" t="s">
        <v>2259</v>
      </c>
      <c r="U249" s="1" t="s">
        <v>110</v>
      </c>
    </row>
    <row r="250" ht="14.25" customHeight="1">
      <c r="A250" s="1" t="s">
        <v>21</v>
      </c>
      <c r="B250" s="1" t="s">
        <v>2260</v>
      </c>
      <c r="C250" s="1" t="s">
        <v>2261</v>
      </c>
      <c r="D250" s="3" t="s">
        <v>2262</v>
      </c>
      <c r="E250" s="1" t="s">
        <v>99</v>
      </c>
      <c r="F250" s="1" t="s">
        <v>41</v>
      </c>
      <c r="G250" s="1" t="s">
        <v>42</v>
      </c>
      <c r="H250" s="1" t="s">
        <v>1087</v>
      </c>
      <c r="I250" s="1" t="s">
        <v>203</v>
      </c>
      <c r="J250" s="1" t="s">
        <v>2263</v>
      </c>
      <c r="K250" s="1" t="s">
        <v>2264</v>
      </c>
      <c r="L250" s="1" t="s">
        <v>2265</v>
      </c>
      <c r="M250" s="1" t="s">
        <v>31</v>
      </c>
      <c r="N250" s="1"/>
      <c r="O250" s="1" t="s">
        <v>1105</v>
      </c>
      <c r="P250" s="1" t="s">
        <v>731</v>
      </c>
      <c r="Q250" s="1"/>
      <c r="R250" s="1" t="s">
        <v>1326</v>
      </c>
      <c r="S250" s="1"/>
      <c r="T250" s="1" t="s">
        <v>2266</v>
      </c>
      <c r="U250" s="1" t="s">
        <v>2267</v>
      </c>
    </row>
    <row r="251" ht="14.25" customHeight="1">
      <c r="A251" s="1" t="s">
        <v>21</v>
      </c>
      <c r="B251" s="1" t="s">
        <v>2268</v>
      </c>
      <c r="C251" s="1" t="s">
        <v>2269</v>
      </c>
      <c r="D251" s="3" t="s">
        <v>2270</v>
      </c>
      <c r="E251" s="1" t="s">
        <v>91</v>
      </c>
      <c r="F251" s="1" t="s">
        <v>118</v>
      </c>
      <c r="G251" s="1" t="s">
        <v>42</v>
      </c>
      <c r="H251" s="1" t="s">
        <v>1087</v>
      </c>
      <c r="I251" s="1" t="s">
        <v>125</v>
      </c>
      <c r="J251" s="1" t="s">
        <v>2271</v>
      </c>
      <c r="K251" s="1" t="s">
        <v>2272</v>
      </c>
      <c r="L251" s="1" t="s">
        <v>2273</v>
      </c>
      <c r="M251" s="1" t="s">
        <v>31</v>
      </c>
      <c r="N251" s="1"/>
      <c r="O251" s="1" t="s">
        <v>2274</v>
      </c>
      <c r="P251" s="1" t="s">
        <v>124</v>
      </c>
      <c r="Q251" s="1"/>
      <c r="R251" s="1" t="s">
        <v>84</v>
      </c>
      <c r="S251" s="1"/>
      <c r="T251" s="1" t="s">
        <v>2275</v>
      </c>
      <c r="U251" s="1" t="s">
        <v>743</v>
      </c>
    </row>
    <row r="252" ht="14.25" customHeight="1">
      <c r="A252" s="1" t="s">
        <v>21</v>
      </c>
      <c r="B252" s="1" t="s">
        <v>2276</v>
      </c>
      <c r="C252" s="1" t="s">
        <v>2277</v>
      </c>
      <c r="D252" s="3" t="s">
        <v>2278</v>
      </c>
      <c r="E252" s="1" t="s">
        <v>99</v>
      </c>
      <c r="F252" s="1" t="s">
        <v>26</v>
      </c>
      <c r="G252" s="1" t="s">
        <v>42</v>
      </c>
      <c r="H252" s="1" t="s">
        <v>1087</v>
      </c>
      <c r="I252" s="1" t="s">
        <v>1857</v>
      </c>
      <c r="J252" s="1"/>
      <c r="K252" s="1" t="s">
        <v>2279</v>
      </c>
      <c r="L252" s="1" t="s">
        <v>2280</v>
      </c>
      <c r="M252" s="1" t="s">
        <v>31</v>
      </c>
      <c r="N252" s="1"/>
      <c r="O252" s="1"/>
      <c r="P252" s="1"/>
      <c r="Q252" s="1"/>
      <c r="R252" s="1" t="s">
        <v>130</v>
      </c>
      <c r="S252" s="1"/>
      <c r="T252" s="1" t="s">
        <v>2281</v>
      </c>
      <c r="U252" s="1" t="s">
        <v>2282</v>
      </c>
    </row>
    <row r="253" ht="14.25" customHeight="1">
      <c r="A253" s="1" t="s">
        <v>21</v>
      </c>
      <c r="B253" s="1" t="s">
        <v>2283</v>
      </c>
      <c r="C253" s="1" t="s">
        <v>2284</v>
      </c>
      <c r="D253" s="3" t="s">
        <v>2285</v>
      </c>
      <c r="E253" s="1" t="s">
        <v>637</v>
      </c>
      <c r="F253" s="1" t="s">
        <v>41</v>
      </c>
      <c r="G253" s="1" t="s">
        <v>42</v>
      </c>
      <c r="H253" s="1" t="s">
        <v>1087</v>
      </c>
      <c r="I253" s="1" t="s">
        <v>500</v>
      </c>
      <c r="J253" s="1" t="s">
        <v>2286</v>
      </c>
      <c r="K253" s="1" t="s">
        <v>2287</v>
      </c>
      <c r="L253" s="1" t="s">
        <v>2288</v>
      </c>
      <c r="M253" s="1" t="s">
        <v>59</v>
      </c>
      <c r="N253" s="1" t="s">
        <v>2289</v>
      </c>
      <c r="O253" s="1"/>
      <c r="P253" s="1"/>
      <c r="Q253" s="1"/>
      <c r="R253" s="1" t="s">
        <v>741</v>
      </c>
      <c r="S253" s="1" t="s">
        <v>384</v>
      </c>
      <c r="T253" s="1" t="s">
        <v>2290</v>
      </c>
      <c r="U253" s="1" t="s">
        <v>73</v>
      </c>
    </row>
    <row r="254" ht="14.25" customHeight="1">
      <c r="A254" s="1" t="s">
        <v>21</v>
      </c>
      <c r="B254" s="1" t="s">
        <v>2291</v>
      </c>
      <c r="C254" s="1" t="s">
        <v>2292</v>
      </c>
      <c r="D254" s="3" t="s">
        <v>2293</v>
      </c>
      <c r="E254" s="1" t="s">
        <v>79</v>
      </c>
      <c r="F254" s="1" t="s">
        <v>26</v>
      </c>
      <c r="G254" s="1" t="s">
        <v>42</v>
      </c>
      <c r="H254" s="1" t="s">
        <v>1087</v>
      </c>
      <c r="I254" s="1" t="s">
        <v>932</v>
      </c>
      <c r="J254" s="1"/>
      <c r="K254" s="1" t="s">
        <v>2294</v>
      </c>
      <c r="L254" s="1" t="s">
        <v>2295</v>
      </c>
      <c r="M254" s="1" t="s">
        <v>59</v>
      </c>
      <c r="N254" s="1" t="s">
        <v>2296</v>
      </c>
      <c r="O254" s="1" t="s">
        <v>2297</v>
      </c>
      <c r="P254" s="1" t="s">
        <v>182</v>
      </c>
      <c r="Q254" s="1"/>
      <c r="R254" s="1" t="s">
        <v>999</v>
      </c>
      <c r="S254" s="1"/>
      <c r="T254" s="1" t="s">
        <v>2298</v>
      </c>
      <c r="U254" s="1" t="s">
        <v>1626</v>
      </c>
    </row>
    <row r="255" ht="14.25" customHeight="1">
      <c r="A255" s="1" t="s">
        <v>21</v>
      </c>
      <c r="B255" s="1" t="s">
        <v>2299</v>
      </c>
      <c r="C255" s="1" t="s">
        <v>2300</v>
      </c>
      <c r="D255" s="1" t="s">
        <v>2301</v>
      </c>
      <c r="E255" s="1" t="s">
        <v>616</v>
      </c>
      <c r="F255" s="1" t="s">
        <v>26</v>
      </c>
      <c r="G255" s="1"/>
      <c r="H255" s="1" t="s">
        <v>1087</v>
      </c>
      <c r="I255" s="1" t="s">
        <v>495</v>
      </c>
      <c r="J255" s="1" t="s">
        <v>2302</v>
      </c>
      <c r="K255" s="1" t="s">
        <v>2303</v>
      </c>
      <c r="L255" s="1" t="s">
        <v>2304</v>
      </c>
      <c r="M255" s="1" t="s">
        <v>59</v>
      </c>
      <c r="N255" s="1" t="s">
        <v>2305</v>
      </c>
      <c r="O255" s="1"/>
      <c r="P255" s="1"/>
      <c r="Q255" s="1"/>
      <c r="R255" s="1" t="s">
        <v>1043</v>
      </c>
      <c r="S255" s="1" t="s">
        <v>637</v>
      </c>
      <c r="T255" s="1" t="s">
        <v>2306</v>
      </c>
      <c r="U255" s="1" t="s">
        <v>1317</v>
      </c>
    </row>
    <row r="256" ht="14.25" customHeight="1">
      <c r="A256" s="1" t="s">
        <v>21</v>
      </c>
      <c r="B256" s="1" t="s">
        <v>2307</v>
      </c>
      <c r="C256" s="1" t="s">
        <v>2308</v>
      </c>
      <c r="D256" s="3"/>
      <c r="E256" s="1"/>
      <c r="F256" s="1" t="s">
        <v>622</v>
      </c>
      <c r="G256" s="1" t="s">
        <v>42</v>
      </c>
      <c r="H256" s="1" t="s">
        <v>1087</v>
      </c>
      <c r="I256" s="1" t="s">
        <v>141</v>
      </c>
      <c r="J256" s="1"/>
      <c r="K256" s="1" t="s">
        <v>2309</v>
      </c>
      <c r="L256" s="1" t="s">
        <v>2310</v>
      </c>
      <c r="M256" s="1" t="s">
        <v>31</v>
      </c>
      <c r="N256" s="1"/>
      <c r="O256" s="1" t="s">
        <v>2311</v>
      </c>
      <c r="P256" s="1" t="s">
        <v>33</v>
      </c>
      <c r="Q256" s="1"/>
      <c r="R256" s="1" t="s">
        <v>731</v>
      </c>
      <c r="S256" s="1"/>
      <c r="T256" s="1" t="s">
        <v>2312</v>
      </c>
      <c r="U256" s="1" t="s">
        <v>614</v>
      </c>
    </row>
    <row r="257" ht="14.25" customHeight="1">
      <c r="A257" s="1" t="s">
        <v>21</v>
      </c>
      <c r="B257" s="1" t="s">
        <v>2313</v>
      </c>
      <c r="C257" s="1" t="s">
        <v>2314</v>
      </c>
      <c r="D257" s="3" t="s">
        <v>2315</v>
      </c>
      <c r="E257" s="1" t="s">
        <v>637</v>
      </c>
      <c r="F257" s="1" t="s">
        <v>41</v>
      </c>
      <c r="G257" s="1" t="s">
        <v>42</v>
      </c>
      <c r="H257" s="1" t="s">
        <v>1087</v>
      </c>
      <c r="I257" s="1" t="s">
        <v>298</v>
      </c>
      <c r="J257" s="1"/>
      <c r="K257" s="1" t="s">
        <v>2316</v>
      </c>
      <c r="L257" s="1" t="s">
        <v>2317</v>
      </c>
      <c r="M257" s="1" t="s">
        <v>59</v>
      </c>
      <c r="N257" s="1" t="s">
        <v>2318</v>
      </c>
      <c r="O257" s="1" t="s">
        <v>2319</v>
      </c>
      <c r="P257" s="1"/>
      <c r="Q257" s="1"/>
      <c r="R257" s="1" t="s">
        <v>2320</v>
      </c>
      <c r="S257" s="1" t="s">
        <v>637</v>
      </c>
      <c r="T257" s="1" t="s">
        <v>2321</v>
      </c>
      <c r="U257" s="1" t="s">
        <v>202</v>
      </c>
    </row>
    <row r="258" ht="14.25" customHeight="1">
      <c r="A258" s="1" t="s">
        <v>21</v>
      </c>
      <c r="B258" s="1" t="s">
        <v>2322</v>
      </c>
      <c r="C258" s="1" t="s">
        <v>2323</v>
      </c>
      <c r="D258" s="3" t="s">
        <v>1180</v>
      </c>
      <c r="E258" s="1" t="s">
        <v>25</v>
      </c>
      <c r="F258" s="1" t="s">
        <v>41</v>
      </c>
      <c r="G258" s="1" t="s">
        <v>42</v>
      </c>
      <c r="H258" s="1" t="s">
        <v>1087</v>
      </c>
      <c r="I258" s="1" t="s">
        <v>55</v>
      </c>
      <c r="J258" s="1"/>
      <c r="K258" s="1" t="s">
        <v>2324</v>
      </c>
      <c r="L258" s="1" t="s">
        <v>2325</v>
      </c>
      <c r="M258" s="1" t="s">
        <v>31</v>
      </c>
      <c r="N258" s="1"/>
      <c r="O258" s="1" t="s">
        <v>2326</v>
      </c>
      <c r="P258" s="1" t="s">
        <v>192</v>
      </c>
      <c r="Q258" s="1"/>
      <c r="R258" s="1" t="s">
        <v>1227</v>
      </c>
      <c r="S258" s="1"/>
      <c r="T258" s="1" t="s">
        <v>2327</v>
      </c>
      <c r="U258" s="1" t="s">
        <v>487</v>
      </c>
    </row>
    <row r="259" ht="14.25" customHeight="1">
      <c r="A259" s="1" t="s">
        <v>21</v>
      </c>
      <c r="B259" s="1" t="s">
        <v>2328</v>
      </c>
      <c r="C259" s="1" t="s">
        <v>2329</v>
      </c>
      <c r="D259" s="3" t="s">
        <v>2330</v>
      </c>
      <c r="E259" s="1" t="s">
        <v>99</v>
      </c>
      <c r="F259" s="1" t="s">
        <v>41</v>
      </c>
      <c r="G259" s="1" t="s">
        <v>42</v>
      </c>
      <c r="H259" s="1" t="s">
        <v>1087</v>
      </c>
      <c r="I259" s="1" t="s">
        <v>594</v>
      </c>
      <c r="J259" s="1" t="s">
        <v>2331</v>
      </c>
      <c r="K259" s="1" t="s">
        <v>2332</v>
      </c>
      <c r="L259" s="1" t="s">
        <v>2333</v>
      </c>
      <c r="M259" s="1" t="s">
        <v>59</v>
      </c>
      <c r="N259" s="1" t="s">
        <v>2334</v>
      </c>
      <c r="O259" s="1" t="s">
        <v>2335</v>
      </c>
      <c r="P259" s="1" t="s">
        <v>487</v>
      </c>
      <c r="Q259" s="1"/>
      <c r="R259" s="1" t="s">
        <v>1791</v>
      </c>
      <c r="S259" s="1" t="s">
        <v>99</v>
      </c>
      <c r="T259" s="1" t="s">
        <v>2336</v>
      </c>
      <c r="U259" s="1" t="s">
        <v>105</v>
      </c>
    </row>
    <row r="260" ht="14.25" customHeight="1">
      <c r="A260" s="1" t="s">
        <v>21</v>
      </c>
      <c r="B260" s="1" t="s">
        <v>2337</v>
      </c>
      <c r="C260" s="1" t="s">
        <v>2338</v>
      </c>
      <c r="D260" s="3" t="s">
        <v>2339</v>
      </c>
      <c r="E260" s="1" t="s">
        <v>25</v>
      </c>
      <c r="F260" s="1" t="s">
        <v>41</v>
      </c>
      <c r="G260" s="1" t="s">
        <v>42</v>
      </c>
      <c r="H260" s="1" t="s">
        <v>1087</v>
      </c>
      <c r="I260" s="1" t="s">
        <v>1028</v>
      </c>
      <c r="J260" s="1"/>
      <c r="K260" s="1" t="s">
        <v>2340</v>
      </c>
      <c r="L260" s="1" t="s">
        <v>2341</v>
      </c>
      <c r="M260" s="1" t="s">
        <v>59</v>
      </c>
      <c r="N260" s="1" t="s">
        <v>2342</v>
      </c>
      <c r="O260" s="1" t="s">
        <v>2343</v>
      </c>
      <c r="P260" s="1" t="s">
        <v>110</v>
      </c>
      <c r="Q260" s="1"/>
      <c r="R260" s="1" t="s">
        <v>68</v>
      </c>
      <c r="S260" s="1"/>
      <c r="T260" s="1" t="s">
        <v>2344</v>
      </c>
      <c r="U260" s="1" t="s">
        <v>2345</v>
      </c>
    </row>
    <row r="261" ht="14.25" customHeight="1">
      <c r="A261" s="1" t="s">
        <v>21</v>
      </c>
      <c r="B261" s="1" t="s">
        <v>2346</v>
      </c>
      <c r="C261" s="1" t="s">
        <v>2347</v>
      </c>
      <c r="D261" s="3" t="s">
        <v>2348</v>
      </c>
      <c r="E261" s="1" t="s">
        <v>352</v>
      </c>
      <c r="F261" s="1" t="s">
        <v>26</v>
      </c>
      <c r="G261" s="1" t="s">
        <v>27</v>
      </c>
      <c r="H261" s="1" t="s">
        <v>1087</v>
      </c>
      <c r="I261" s="1" t="s">
        <v>196</v>
      </c>
      <c r="J261" s="1"/>
      <c r="K261" s="1" t="s">
        <v>2349</v>
      </c>
      <c r="L261" s="1" t="s">
        <v>2350</v>
      </c>
      <c r="M261" s="1" t="s">
        <v>59</v>
      </c>
      <c r="N261" s="1" t="s">
        <v>2351</v>
      </c>
      <c r="O261" s="1" t="s">
        <v>2352</v>
      </c>
      <c r="P261" s="1" t="s">
        <v>228</v>
      </c>
      <c r="Q261" s="1"/>
      <c r="R261" s="1" t="s">
        <v>101</v>
      </c>
      <c r="S261" s="1"/>
      <c r="T261" s="1" t="s">
        <v>2353</v>
      </c>
      <c r="U261" s="1" t="s">
        <v>2071</v>
      </c>
    </row>
    <row r="262" ht="14.25" customHeight="1">
      <c r="A262" s="1" t="s">
        <v>21</v>
      </c>
      <c r="B262" s="1" t="s">
        <v>2354</v>
      </c>
      <c r="C262" s="1" t="s">
        <v>2355</v>
      </c>
      <c r="D262" s="3" t="s">
        <v>2356</v>
      </c>
      <c r="E262" s="1" t="s">
        <v>79</v>
      </c>
      <c r="F262" s="1" t="s">
        <v>41</v>
      </c>
      <c r="G262" s="1" t="s">
        <v>42</v>
      </c>
      <c r="H262" s="1" t="s">
        <v>1087</v>
      </c>
      <c r="I262" s="1" t="s">
        <v>817</v>
      </c>
      <c r="J262" s="1" t="s">
        <v>2357</v>
      </c>
      <c r="K262" s="1" t="s">
        <v>2358</v>
      </c>
      <c r="L262" s="1" t="s">
        <v>2359</v>
      </c>
      <c r="M262" s="1" t="s">
        <v>59</v>
      </c>
      <c r="N262" s="1" t="s">
        <v>2360</v>
      </c>
      <c r="O262" s="1"/>
      <c r="P262" s="1"/>
      <c r="Q262" s="1"/>
      <c r="R262" s="1" t="s">
        <v>475</v>
      </c>
      <c r="S262" s="1" t="s">
        <v>79</v>
      </c>
      <c r="T262" s="1" t="s">
        <v>1772</v>
      </c>
      <c r="U262" s="1" t="s">
        <v>1773</v>
      </c>
    </row>
    <row r="263" ht="14.25" customHeight="1">
      <c r="A263" s="1" t="s">
        <v>21</v>
      </c>
      <c r="B263" s="1" t="s">
        <v>2361</v>
      </c>
      <c r="C263" s="1" t="s">
        <v>2362</v>
      </c>
      <c r="D263" s="1" t="s">
        <v>2363</v>
      </c>
      <c r="E263" s="1" t="s">
        <v>54</v>
      </c>
      <c r="F263" s="1" t="s">
        <v>41</v>
      </c>
      <c r="G263" s="1" t="s">
        <v>232</v>
      </c>
      <c r="H263" s="1" t="s">
        <v>1087</v>
      </c>
      <c r="I263" s="1" t="s">
        <v>65</v>
      </c>
      <c r="J263" s="1"/>
      <c r="K263" s="1" t="s">
        <v>2364</v>
      </c>
      <c r="L263" s="1"/>
      <c r="M263" s="1" t="s">
        <v>31</v>
      </c>
      <c r="N263" s="1"/>
      <c r="O263" s="1"/>
      <c r="P263" s="1"/>
      <c r="Q263" s="1"/>
      <c r="R263" s="1" t="s">
        <v>202</v>
      </c>
      <c r="S263" s="1"/>
      <c r="T263" s="1" t="s">
        <v>2365</v>
      </c>
      <c r="U263" s="1" t="s">
        <v>159</v>
      </c>
    </row>
    <row r="264" ht="14.25" customHeight="1">
      <c r="A264" s="1" t="s">
        <v>21</v>
      </c>
      <c r="B264" s="1" t="s">
        <v>2366</v>
      </c>
      <c r="C264" s="1" t="s">
        <v>2367</v>
      </c>
      <c r="D264" s="1"/>
      <c r="E264" s="1"/>
      <c r="F264" s="1" t="s">
        <v>26</v>
      </c>
      <c r="G264" s="1" t="s">
        <v>27</v>
      </c>
      <c r="H264" s="1" t="s">
        <v>1087</v>
      </c>
      <c r="I264" s="1" t="s">
        <v>594</v>
      </c>
      <c r="J264" s="1"/>
      <c r="K264" s="1" t="s">
        <v>2368</v>
      </c>
      <c r="L264" s="1"/>
      <c r="M264" s="1" t="s">
        <v>31</v>
      </c>
      <c r="N264" s="1"/>
      <c r="O264" s="1"/>
      <c r="P264" s="1"/>
      <c r="Q264" s="1"/>
      <c r="R264" s="1" t="s">
        <v>110</v>
      </c>
      <c r="S264" s="1"/>
      <c r="T264" s="1" t="s">
        <v>2369</v>
      </c>
      <c r="U264" s="1" t="s">
        <v>124</v>
      </c>
    </row>
    <row r="265" ht="14.25" customHeight="1">
      <c r="A265" s="1" t="s">
        <v>21</v>
      </c>
      <c r="B265" s="1" t="s">
        <v>2370</v>
      </c>
      <c r="C265" s="1" t="s">
        <v>2371</v>
      </c>
      <c r="D265" s="3"/>
      <c r="E265" s="1"/>
      <c r="F265" s="1" t="s">
        <v>26</v>
      </c>
      <c r="G265" s="1" t="s">
        <v>27</v>
      </c>
      <c r="H265" s="1" t="s">
        <v>1087</v>
      </c>
      <c r="I265" s="1" t="s">
        <v>202</v>
      </c>
      <c r="J265" s="1"/>
      <c r="K265" s="1" t="s">
        <v>2372</v>
      </c>
      <c r="L265" s="1"/>
      <c r="M265" s="1" t="s">
        <v>31</v>
      </c>
      <c r="N265" s="1"/>
      <c r="O265" s="1"/>
      <c r="P265" s="1"/>
      <c r="Q265" s="1"/>
      <c r="R265" s="1" t="s">
        <v>125</v>
      </c>
      <c r="S265" s="1"/>
      <c r="T265" s="1" t="s">
        <v>190</v>
      </c>
      <c r="U265" s="1" t="s">
        <v>190</v>
      </c>
    </row>
    <row r="266" ht="14.25" customHeight="1">
      <c r="A266" s="1" t="s">
        <v>21</v>
      </c>
      <c r="B266" s="1" t="s">
        <v>2373</v>
      </c>
      <c r="C266" s="1" t="s">
        <v>2374</v>
      </c>
      <c r="D266" s="1" t="s">
        <v>2375</v>
      </c>
      <c r="E266" s="1" t="s">
        <v>91</v>
      </c>
      <c r="F266" s="1" t="s">
        <v>41</v>
      </c>
      <c r="G266" s="1" t="s">
        <v>42</v>
      </c>
      <c r="H266" s="1" t="s">
        <v>1087</v>
      </c>
      <c r="I266" s="1" t="s">
        <v>2376</v>
      </c>
      <c r="J266" s="1" t="s">
        <v>2377</v>
      </c>
      <c r="K266" s="1" t="s">
        <v>2378</v>
      </c>
      <c r="L266" s="1" t="s">
        <v>2379</v>
      </c>
      <c r="M266" s="1" t="s">
        <v>31</v>
      </c>
      <c r="N266" s="1"/>
      <c r="O266" s="1" t="s">
        <v>2380</v>
      </c>
      <c r="P266" s="1" t="s">
        <v>192</v>
      </c>
      <c r="Q266" s="1"/>
      <c r="R266" s="1" t="s">
        <v>2381</v>
      </c>
      <c r="S266" s="1"/>
      <c r="T266" s="1" t="s">
        <v>2382</v>
      </c>
      <c r="U266" s="1" t="s">
        <v>110</v>
      </c>
    </row>
    <row r="267" ht="14.25" customHeight="1">
      <c r="A267" s="1" t="s">
        <v>2383</v>
      </c>
      <c r="B267" s="1" t="s">
        <v>2384</v>
      </c>
      <c r="C267" s="1" t="s">
        <v>2385</v>
      </c>
      <c r="D267" s="3"/>
      <c r="E267" s="1"/>
      <c r="F267" s="1" t="s">
        <v>2386</v>
      </c>
      <c r="G267" s="1" t="s">
        <v>42</v>
      </c>
      <c r="H267" s="1" t="s">
        <v>2387</v>
      </c>
      <c r="I267" s="1" t="s">
        <v>2388</v>
      </c>
      <c r="J267" s="1" t="s">
        <v>2389</v>
      </c>
      <c r="K267" s="1" t="s">
        <v>2390</v>
      </c>
      <c r="L267" s="1" t="s">
        <v>2391</v>
      </c>
      <c r="M267" s="1" t="s">
        <v>59</v>
      </c>
      <c r="N267" s="1" t="s">
        <v>2392</v>
      </c>
      <c r="O267" s="4" t="s">
        <v>2393</v>
      </c>
      <c r="P267" s="1" t="s">
        <v>73</v>
      </c>
      <c r="Q267" s="1"/>
      <c r="R267" s="1" t="s">
        <v>65</v>
      </c>
      <c r="S267" s="1" t="s">
        <v>25</v>
      </c>
      <c r="T267" s="1" t="s">
        <v>2394</v>
      </c>
      <c r="U267" s="1" t="s">
        <v>529</v>
      </c>
    </row>
    <row r="268" ht="14.25" customHeight="1">
      <c r="A268" s="1" t="s">
        <v>2383</v>
      </c>
      <c r="B268" s="1" t="s">
        <v>2395</v>
      </c>
      <c r="C268" s="1" t="s">
        <v>2396</v>
      </c>
      <c r="D268" s="3" t="s">
        <v>2397</v>
      </c>
      <c r="E268" s="1" t="s">
        <v>352</v>
      </c>
      <c r="F268" s="1" t="s">
        <v>2398</v>
      </c>
      <c r="G268" s="1" t="s">
        <v>42</v>
      </c>
      <c r="H268" s="1" t="s">
        <v>2399</v>
      </c>
      <c r="I268" s="1" t="s">
        <v>2400</v>
      </c>
      <c r="J268" s="1"/>
      <c r="K268" s="1" t="s">
        <v>2401</v>
      </c>
      <c r="L268" s="1" t="s">
        <v>2402</v>
      </c>
      <c r="M268" s="1" t="s">
        <v>31</v>
      </c>
      <c r="N268" s="1"/>
      <c r="O268" s="1" t="s">
        <v>2226</v>
      </c>
      <c r="P268" s="1" t="s">
        <v>124</v>
      </c>
      <c r="Q268" s="1"/>
      <c r="R268" s="1" t="s">
        <v>182</v>
      </c>
      <c r="S268" s="1"/>
      <c r="T268" s="1" t="s">
        <v>2403</v>
      </c>
      <c r="U268" s="1" t="s">
        <v>2404</v>
      </c>
    </row>
    <row r="269" ht="14.25" customHeight="1">
      <c r="A269" s="1" t="s">
        <v>2383</v>
      </c>
      <c r="B269" s="1" t="s">
        <v>2405</v>
      </c>
      <c r="C269" s="1" t="s">
        <v>2406</v>
      </c>
      <c r="D269" s="3" t="s">
        <v>2407</v>
      </c>
      <c r="E269" s="1" t="s">
        <v>117</v>
      </c>
      <c r="F269" s="1" t="s">
        <v>2398</v>
      </c>
      <c r="G269" s="1" t="s">
        <v>42</v>
      </c>
      <c r="H269" s="1" t="s">
        <v>636</v>
      </c>
      <c r="I269" s="1" t="s">
        <v>2408</v>
      </c>
      <c r="J269" s="1"/>
      <c r="K269" s="1" t="s">
        <v>2409</v>
      </c>
      <c r="L269" s="1" t="s">
        <v>2410</v>
      </c>
      <c r="M269" s="1" t="s">
        <v>31</v>
      </c>
      <c r="N269" s="1"/>
      <c r="O269" s="1" t="s">
        <v>2411</v>
      </c>
      <c r="P269" s="1" t="s">
        <v>135</v>
      </c>
      <c r="Q269" s="1"/>
      <c r="R269" s="1" t="s">
        <v>1346</v>
      </c>
      <c r="S269" s="1"/>
      <c r="T269" s="1" t="s">
        <v>2412</v>
      </c>
      <c r="U269" s="1" t="s">
        <v>2413</v>
      </c>
    </row>
    <row r="270" ht="14.25" customHeight="1">
      <c r="A270" s="1" t="s">
        <v>2383</v>
      </c>
      <c r="B270" s="1" t="s">
        <v>2414</v>
      </c>
      <c r="C270" s="1" t="s">
        <v>2415</v>
      </c>
      <c r="D270" s="3" t="s">
        <v>2416</v>
      </c>
      <c r="E270" s="1" t="s">
        <v>25</v>
      </c>
      <c r="F270" s="1" t="s">
        <v>2417</v>
      </c>
      <c r="G270" s="1" t="s">
        <v>1801</v>
      </c>
      <c r="H270" s="1" t="s">
        <v>960</v>
      </c>
      <c r="I270" s="1" t="s">
        <v>2418</v>
      </c>
      <c r="J270" s="1" t="s">
        <v>2419</v>
      </c>
      <c r="K270" s="1" t="s">
        <v>2420</v>
      </c>
      <c r="L270" s="1" t="s">
        <v>2421</v>
      </c>
      <c r="M270" s="1" t="s">
        <v>59</v>
      </c>
      <c r="N270" s="1" t="s">
        <v>2422</v>
      </c>
      <c r="O270" s="1"/>
      <c r="P270" s="1"/>
      <c r="Q270" s="1"/>
      <c r="R270" s="1" t="s">
        <v>1791</v>
      </c>
      <c r="S270" s="1" t="s">
        <v>25</v>
      </c>
      <c r="T270" s="1" t="s">
        <v>2423</v>
      </c>
      <c r="U270" s="1" t="s">
        <v>495</v>
      </c>
    </row>
    <row r="271" ht="14.25" customHeight="1">
      <c r="A271" s="1" t="s">
        <v>2383</v>
      </c>
      <c r="B271" s="1" t="s">
        <v>2424</v>
      </c>
      <c r="C271" s="1" t="s">
        <v>2425</v>
      </c>
      <c r="D271" s="3" t="s">
        <v>2426</v>
      </c>
      <c r="E271" s="1" t="s">
        <v>25</v>
      </c>
      <c r="F271" s="1" t="s">
        <v>2398</v>
      </c>
      <c r="G271" s="1" t="s">
        <v>42</v>
      </c>
      <c r="H271" s="1" t="s">
        <v>1495</v>
      </c>
      <c r="I271" s="1" t="s">
        <v>2427</v>
      </c>
      <c r="J271" s="1" t="s">
        <v>2428</v>
      </c>
      <c r="K271" s="1" t="s">
        <v>2429</v>
      </c>
      <c r="L271" s="1" t="s">
        <v>2430</v>
      </c>
      <c r="M271" s="1" t="s">
        <v>59</v>
      </c>
      <c r="N271" s="1" t="s">
        <v>2431</v>
      </c>
      <c r="O271" s="1" t="s">
        <v>2432</v>
      </c>
      <c r="P271" s="1" t="s">
        <v>517</v>
      </c>
      <c r="Q271" s="1"/>
      <c r="R271" s="1" t="s">
        <v>1362</v>
      </c>
      <c r="S271" s="1" t="s">
        <v>25</v>
      </c>
      <c r="T271" s="1" t="s">
        <v>2433</v>
      </c>
      <c r="U271" s="1" t="s">
        <v>2434</v>
      </c>
    </row>
    <row r="272" ht="14.25" customHeight="1">
      <c r="A272" s="1" t="s">
        <v>2383</v>
      </c>
      <c r="B272" s="1" t="s">
        <v>2435</v>
      </c>
      <c r="C272" s="1" t="s">
        <v>2436</v>
      </c>
      <c r="D272" s="3" t="s">
        <v>2437</v>
      </c>
      <c r="E272" s="1" t="s">
        <v>99</v>
      </c>
      <c r="F272" s="1" t="s">
        <v>2398</v>
      </c>
      <c r="G272" s="1" t="s">
        <v>42</v>
      </c>
      <c r="H272" s="1" t="s">
        <v>326</v>
      </c>
      <c r="I272" s="1" t="s">
        <v>2438</v>
      </c>
      <c r="J272" s="1" t="s">
        <v>2439</v>
      </c>
      <c r="K272" s="1" t="s">
        <v>2440</v>
      </c>
      <c r="L272" s="1" t="s">
        <v>2441</v>
      </c>
      <c r="M272" s="1" t="s">
        <v>59</v>
      </c>
      <c r="N272" s="1" t="s">
        <v>2442</v>
      </c>
      <c r="O272" s="1"/>
      <c r="P272" s="1"/>
      <c r="Q272" s="1"/>
      <c r="R272" s="1" t="s">
        <v>1791</v>
      </c>
      <c r="S272" s="1" t="s">
        <v>99</v>
      </c>
      <c r="T272" s="1" t="s">
        <v>2443</v>
      </c>
      <c r="U272" s="1" t="s">
        <v>1442</v>
      </c>
    </row>
    <row r="273" ht="14.25" customHeight="1">
      <c r="A273" s="1" t="s">
        <v>2383</v>
      </c>
      <c r="B273" s="1" t="s">
        <v>2444</v>
      </c>
      <c r="C273" s="1" t="s">
        <v>2445</v>
      </c>
      <c r="D273" s="3" t="s">
        <v>2446</v>
      </c>
      <c r="E273" s="1" t="s">
        <v>54</v>
      </c>
      <c r="F273" s="1"/>
      <c r="G273" s="1" t="s">
        <v>42</v>
      </c>
      <c r="H273" s="1" t="s">
        <v>2447</v>
      </c>
      <c r="I273" s="1" t="s">
        <v>2448</v>
      </c>
      <c r="J273" s="1"/>
      <c r="K273" s="1" t="s">
        <v>2449</v>
      </c>
      <c r="L273" s="1" t="s">
        <v>2450</v>
      </c>
      <c r="M273" s="1" t="s">
        <v>31</v>
      </c>
      <c r="N273" s="1"/>
      <c r="O273" s="1"/>
      <c r="P273" s="1"/>
      <c r="Q273" s="1"/>
      <c r="R273" s="1" t="s">
        <v>2451</v>
      </c>
      <c r="S273" s="1"/>
      <c r="T273" s="1" t="s">
        <v>913</v>
      </c>
      <c r="U273" s="1" t="s">
        <v>913</v>
      </c>
    </row>
    <row r="274" ht="14.25" customHeight="1">
      <c r="A274" s="1" t="s">
        <v>2383</v>
      </c>
      <c r="B274" s="1" t="s">
        <v>2452</v>
      </c>
      <c r="C274" s="1" t="s">
        <v>2453</v>
      </c>
      <c r="D274" s="3" t="s">
        <v>2454</v>
      </c>
      <c r="E274" s="1" t="s">
        <v>352</v>
      </c>
      <c r="F274" s="1" t="s">
        <v>2386</v>
      </c>
      <c r="G274" s="1" t="s">
        <v>2455</v>
      </c>
      <c r="H274" s="1" t="s">
        <v>98</v>
      </c>
      <c r="I274" s="1" t="s">
        <v>2456</v>
      </c>
      <c r="J274" s="1" t="s">
        <v>2457</v>
      </c>
      <c r="K274" s="1" t="s">
        <v>2458</v>
      </c>
      <c r="L274" s="1" t="s">
        <v>2459</v>
      </c>
      <c r="M274" s="1" t="s">
        <v>59</v>
      </c>
      <c r="N274" s="1" t="s">
        <v>2460</v>
      </c>
      <c r="O274" s="1" t="s">
        <v>2461</v>
      </c>
      <c r="P274" s="1"/>
      <c r="Q274" s="1"/>
      <c r="R274" s="1" t="s">
        <v>741</v>
      </c>
      <c r="S274" s="1" t="s">
        <v>352</v>
      </c>
      <c r="T274" s="1" t="s">
        <v>2462</v>
      </c>
      <c r="U274" s="1" t="s">
        <v>2463</v>
      </c>
    </row>
    <row r="275" ht="14.25" customHeight="1">
      <c r="A275" s="1" t="s">
        <v>2383</v>
      </c>
      <c r="B275" s="1" t="s">
        <v>2464</v>
      </c>
      <c r="C275" s="1" t="s">
        <v>2465</v>
      </c>
      <c r="D275" s="3" t="s">
        <v>2466</v>
      </c>
      <c r="E275" s="1" t="s">
        <v>40</v>
      </c>
      <c r="F275" s="1" t="s">
        <v>2386</v>
      </c>
      <c r="G275" s="1" t="s">
        <v>42</v>
      </c>
      <c r="H275" s="1" t="s">
        <v>1474</v>
      </c>
      <c r="I275" s="1" t="s">
        <v>2467</v>
      </c>
      <c r="J275" s="1"/>
      <c r="K275" s="1" t="s">
        <v>2468</v>
      </c>
      <c r="L275" s="1" t="s">
        <v>2469</v>
      </c>
      <c r="M275" s="1" t="s">
        <v>31</v>
      </c>
      <c r="N275" s="1"/>
      <c r="O275" s="1" t="s">
        <v>2470</v>
      </c>
      <c r="P275" s="1" t="s">
        <v>369</v>
      </c>
      <c r="Q275" s="1"/>
      <c r="R275" s="1" t="s">
        <v>101</v>
      </c>
      <c r="S275" s="1"/>
      <c r="T275" s="1" t="s">
        <v>2471</v>
      </c>
      <c r="U275" s="1" t="s">
        <v>2472</v>
      </c>
    </row>
    <row r="276" ht="14.25" customHeight="1">
      <c r="A276" s="1" t="s">
        <v>2383</v>
      </c>
      <c r="B276" s="1" t="s">
        <v>22</v>
      </c>
      <c r="C276" s="1" t="s">
        <v>23</v>
      </c>
      <c r="D276" s="3" t="s">
        <v>24</v>
      </c>
      <c r="E276" s="1" t="s">
        <v>25</v>
      </c>
      <c r="F276" s="1" t="s">
        <v>26</v>
      </c>
      <c r="G276" s="1" t="s">
        <v>27</v>
      </c>
      <c r="H276" s="1" t="s">
        <v>28</v>
      </c>
      <c r="I276" s="1" t="s">
        <v>29</v>
      </c>
      <c r="J276" s="1"/>
      <c r="K276" s="1" t="s">
        <v>30</v>
      </c>
      <c r="L276" s="1"/>
      <c r="M276" s="1" t="s">
        <v>31</v>
      </c>
      <c r="N276" s="1"/>
      <c r="O276" s="1" t="s">
        <v>32</v>
      </c>
      <c r="P276" s="1" t="s">
        <v>33</v>
      </c>
      <c r="Q276" s="1"/>
      <c r="R276" s="1" t="s">
        <v>34</v>
      </c>
      <c r="S276" s="1"/>
      <c r="T276" s="1" t="s">
        <v>35</v>
      </c>
      <c r="U276" s="1" t="s">
        <v>36</v>
      </c>
    </row>
    <row r="277" ht="14.25" customHeight="1">
      <c r="A277" s="1" t="s">
        <v>2383</v>
      </c>
      <c r="B277" s="1" t="s">
        <v>2473</v>
      </c>
      <c r="C277" s="1" t="s">
        <v>2474</v>
      </c>
      <c r="D277" s="3" t="s">
        <v>2475</v>
      </c>
      <c r="E277" s="1" t="s">
        <v>79</v>
      </c>
      <c r="F277" s="1" t="s">
        <v>2386</v>
      </c>
      <c r="G277" s="1" t="s">
        <v>42</v>
      </c>
      <c r="H277" s="1" t="s">
        <v>495</v>
      </c>
      <c r="I277" s="1" t="s">
        <v>2476</v>
      </c>
      <c r="J277" s="1"/>
      <c r="K277" s="1" t="s">
        <v>2477</v>
      </c>
      <c r="L277" s="1" t="s">
        <v>2478</v>
      </c>
      <c r="M277" s="1" t="s">
        <v>59</v>
      </c>
      <c r="N277" s="1" t="s">
        <v>2479</v>
      </c>
      <c r="O277" s="1" t="s">
        <v>2480</v>
      </c>
      <c r="P277" s="1" t="s">
        <v>2481</v>
      </c>
      <c r="Q277" s="1"/>
      <c r="R277" s="1" t="s">
        <v>2482</v>
      </c>
      <c r="S277" s="1"/>
      <c r="T277" s="1" t="s">
        <v>445</v>
      </c>
      <c r="U277" s="1" t="s">
        <v>445</v>
      </c>
    </row>
    <row r="278" ht="14.25" customHeight="1">
      <c r="A278" s="1" t="s">
        <v>2383</v>
      </c>
      <c r="B278" s="1" t="s">
        <v>2483</v>
      </c>
      <c r="C278" s="1" t="s">
        <v>2484</v>
      </c>
      <c r="D278" s="3" t="s">
        <v>2485</v>
      </c>
      <c r="E278" s="1" t="s">
        <v>25</v>
      </c>
      <c r="F278" s="1" t="s">
        <v>2386</v>
      </c>
      <c r="G278" s="1" t="s">
        <v>42</v>
      </c>
      <c r="H278" s="1" t="s">
        <v>238</v>
      </c>
      <c r="I278" s="1" t="s">
        <v>2486</v>
      </c>
      <c r="J278" s="1" t="s">
        <v>2487</v>
      </c>
      <c r="K278" s="1" t="s">
        <v>2488</v>
      </c>
      <c r="L278" s="1" t="s">
        <v>2489</v>
      </c>
      <c r="M278" s="1" t="s">
        <v>59</v>
      </c>
      <c r="N278" s="1" t="s">
        <v>2490</v>
      </c>
      <c r="O278" s="1" t="s">
        <v>2491</v>
      </c>
      <c r="P278" s="1" t="s">
        <v>228</v>
      </c>
      <c r="Q278" s="1"/>
      <c r="R278" s="1" t="s">
        <v>65</v>
      </c>
      <c r="S278" s="1" t="s">
        <v>25</v>
      </c>
      <c r="T278" s="1" t="s">
        <v>2492</v>
      </c>
      <c r="U278" s="1" t="s">
        <v>2493</v>
      </c>
    </row>
    <row r="279" ht="14.25" customHeight="1">
      <c r="A279" s="1" t="s">
        <v>2383</v>
      </c>
      <c r="B279" s="1" t="s">
        <v>2494</v>
      </c>
      <c r="C279" s="1" t="s">
        <v>2495</v>
      </c>
      <c r="D279" s="3" t="s">
        <v>2496</v>
      </c>
      <c r="E279" s="1" t="s">
        <v>117</v>
      </c>
      <c r="F279" s="1" t="s">
        <v>2386</v>
      </c>
      <c r="G279" s="1" t="s">
        <v>42</v>
      </c>
      <c r="H279" s="1" t="s">
        <v>238</v>
      </c>
      <c r="I279" s="1" t="s">
        <v>2497</v>
      </c>
      <c r="J279" s="1"/>
      <c r="K279" s="1" t="s">
        <v>2498</v>
      </c>
      <c r="L279" s="1"/>
      <c r="M279" s="1" t="s">
        <v>31</v>
      </c>
      <c r="N279" s="1"/>
      <c r="O279" s="1" t="s">
        <v>2499</v>
      </c>
      <c r="P279" s="1" t="s">
        <v>135</v>
      </c>
      <c r="Q279" s="1"/>
      <c r="R279" s="1" t="s">
        <v>1149</v>
      </c>
      <c r="S279" s="1"/>
      <c r="T279" s="1" t="s">
        <v>2500</v>
      </c>
      <c r="U279" s="1" t="s">
        <v>1362</v>
      </c>
    </row>
    <row r="280" ht="14.25" customHeight="1">
      <c r="A280" s="1" t="s">
        <v>2383</v>
      </c>
      <c r="B280" s="1" t="s">
        <v>2501</v>
      </c>
      <c r="C280" s="1" t="s">
        <v>2502</v>
      </c>
      <c r="D280" s="3" t="s">
        <v>2503</v>
      </c>
      <c r="E280" s="1" t="s">
        <v>54</v>
      </c>
      <c r="F280" s="1" t="s">
        <v>2386</v>
      </c>
      <c r="G280" s="1" t="s">
        <v>42</v>
      </c>
      <c r="H280" s="1" t="s">
        <v>1193</v>
      </c>
      <c r="I280" s="1" t="s">
        <v>2504</v>
      </c>
      <c r="J280" s="1"/>
      <c r="K280" s="1" t="s">
        <v>2505</v>
      </c>
      <c r="L280" s="1" t="s">
        <v>2506</v>
      </c>
      <c r="M280" s="1" t="s">
        <v>31</v>
      </c>
      <c r="N280" s="1"/>
      <c r="O280" s="1" t="s">
        <v>2507</v>
      </c>
      <c r="P280" s="1" t="s">
        <v>34</v>
      </c>
      <c r="Q280" s="1"/>
      <c r="R280" s="1" t="s">
        <v>141</v>
      </c>
      <c r="S280" s="1"/>
      <c r="T280" s="1" t="s">
        <v>2508</v>
      </c>
      <c r="U280" s="1" t="s">
        <v>2509</v>
      </c>
    </row>
    <row r="281" ht="14.25" customHeight="1">
      <c r="A281" s="1" t="s">
        <v>2383</v>
      </c>
      <c r="B281" s="1" t="s">
        <v>2510</v>
      </c>
      <c r="C281" s="1" t="s">
        <v>2511</v>
      </c>
      <c r="D281" s="3" t="s">
        <v>2512</v>
      </c>
      <c r="E281" s="1" t="s">
        <v>117</v>
      </c>
      <c r="F281" s="1" t="s">
        <v>2386</v>
      </c>
      <c r="G281" s="1" t="s">
        <v>42</v>
      </c>
      <c r="H281" s="1" t="s">
        <v>1354</v>
      </c>
      <c r="I281" s="1" t="s">
        <v>2513</v>
      </c>
      <c r="J281" s="1"/>
      <c r="K281" s="1" t="s">
        <v>2514</v>
      </c>
      <c r="L281" s="1" t="s">
        <v>2515</v>
      </c>
      <c r="M281" s="1" t="s">
        <v>31</v>
      </c>
      <c r="N281" s="1"/>
      <c r="O281" s="1" t="s">
        <v>2516</v>
      </c>
      <c r="P281" s="1" t="s">
        <v>346</v>
      </c>
      <c r="Q281" s="1"/>
      <c r="R281" s="1" t="s">
        <v>1028</v>
      </c>
      <c r="S281" s="1"/>
      <c r="T281" s="1" t="s">
        <v>2517</v>
      </c>
      <c r="U281" s="1" t="s">
        <v>731</v>
      </c>
    </row>
    <row r="282" ht="14.25" customHeight="1">
      <c r="A282" s="1" t="s">
        <v>2383</v>
      </c>
      <c r="B282" s="1" t="s">
        <v>2518</v>
      </c>
      <c r="C282" s="1" t="s">
        <v>2519</v>
      </c>
      <c r="D282" s="3" t="s">
        <v>2520</v>
      </c>
      <c r="E282" s="1" t="s">
        <v>54</v>
      </c>
      <c r="F282" s="1" t="s">
        <v>2386</v>
      </c>
      <c r="G282" s="1" t="s">
        <v>1801</v>
      </c>
      <c r="H282" s="1" t="s">
        <v>445</v>
      </c>
      <c r="I282" s="1" t="s">
        <v>2521</v>
      </c>
      <c r="J282" s="1" t="s">
        <v>2522</v>
      </c>
      <c r="K282" s="1" t="s">
        <v>2523</v>
      </c>
      <c r="L282" s="1" t="s">
        <v>2524</v>
      </c>
      <c r="M282" s="1" t="s">
        <v>59</v>
      </c>
      <c r="N282" s="1" t="s">
        <v>2525</v>
      </c>
      <c r="O282" s="1" t="s">
        <v>2526</v>
      </c>
      <c r="P282" s="1" t="s">
        <v>346</v>
      </c>
      <c r="Q282" s="1"/>
      <c r="R282" s="1" t="s">
        <v>147</v>
      </c>
      <c r="S282" s="1" t="s">
        <v>54</v>
      </c>
      <c r="T282" s="1" t="s">
        <v>2527</v>
      </c>
      <c r="U282" s="1" t="s">
        <v>130</v>
      </c>
    </row>
    <row r="283" ht="14.25" customHeight="1">
      <c r="A283" s="1" t="s">
        <v>2383</v>
      </c>
      <c r="B283" s="1" t="s">
        <v>2528</v>
      </c>
      <c r="C283" s="1" t="s">
        <v>2529</v>
      </c>
      <c r="D283" s="3" t="s">
        <v>2530</v>
      </c>
      <c r="E283" s="1" t="s">
        <v>99</v>
      </c>
      <c r="F283" s="1" t="s">
        <v>2386</v>
      </c>
      <c r="G283" s="1" t="s">
        <v>42</v>
      </c>
      <c r="H283" s="1" t="s">
        <v>1067</v>
      </c>
      <c r="I283" s="1" t="s">
        <v>2531</v>
      </c>
      <c r="J283" s="1"/>
      <c r="K283" s="1" t="s">
        <v>2532</v>
      </c>
      <c r="L283" s="1" t="s">
        <v>2533</v>
      </c>
      <c r="M283" s="1" t="s">
        <v>59</v>
      </c>
      <c r="N283" s="1" t="s">
        <v>2534</v>
      </c>
      <c r="O283" s="1" t="s">
        <v>2535</v>
      </c>
      <c r="P283" s="1" t="s">
        <v>517</v>
      </c>
      <c r="Q283" s="1"/>
      <c r="R283" s="1" t="s">
        <v>999</v>
      </c>
      <c r="S283" s="1"/>
      <c r="T283" s="1" t="s">
        <v>2536</v>
      </c>
      <c r="U283" s="1" t="s">
        <v>1797</v>
      </c>
    </row>
    <row r="284" ht="14.25" customHeight="1">
      <c r="A284" s="1" t="s">
        <v>2383</v>
      </c>
      <c r="B284" s="1" t="s">
        <v>37</v>
      </c>
      <c r="C284" s="1" t="s">
        <v>38</v>
      </c>
      <c r="D284" s="1" t="s">
        <v>39</v>
      </c>
      <c r="E284" s="1" t="s">
        <v>40</v>
      </c>
      <c r="F284" s="1" t="s">
        <v>41</v>
      </c>
      <c r="G284" s="1" t="s">
        <v>42</v>
      </c>
      <c r="H284" s="1" t="s">
        <v>43</v>
      </c>
      <c r="I284" s="1" t="s">
        <v>44</v>
      </c>
      <c r="J284" s="1"/>
      <c r="K284" s="1" t="s">
        <v>45</v>
      </c>
      <c r="L284" s="1" t="s">
        <v>46</v>
      </c>
      <c r="M284" s="1" t="s">
        <v>31</v>
      </c>
      <c r="N284" s="1"/>
      <c r="O284" s="1" t="s">
        <v>47</v>
      </c>
      <c r="P284" s="1"/>
      <c r="Q284" s="1"/>
      <c r="R284" s="1" t="s">
        <v>48</v>
      </c>
      <c r="S284" s="1"/>
      <c r="T284" s="1" t="s">
        <v>49</v>
      </c>
      <c r="U284" s="1" t="s">
        <v>50</v>
      </c>
    </row>
    <row r="285" ht="14.25" customHeight="1">
      <c r="A285" s="1" t="s">
        <v>2383</v>
      </c>
      <c r="B285" s="1" t="s">
        <v>2537</v>
      </c>
      <c r="C285" s="1" t="s">
        <v>2538</v>
      </c>
      <c r="D285" s="3"/>
      <c r="E285" s="1"/>
      <c r="F285" s="1" t="s">
        <v>2398</v>
      </c>
      <c r="G285" s="1" t="s">
        <v>42</v>
      </c>
      <c r="H285" s="1" t="s">
        <v>1543</v>
      </c>
      <c r="I285" s="1" t="s">
        <v>2539</v>
      </c>
      <c r="J285" s="1"/>
      <c r="K285" s="1" t="s">
        <v>2540</v>
      </c>
      <c r="L285" s="1" t="s">
        <v>2541</v>
      </c>
      <c r="M285" s="1" t="s">
        <v>31</v>
      </c>
      <c r="N285" s="1"/>
      <c r="O285" s="1" t="s">
        <v>2542</v>
      </c>
      <c r="P285" s="1" t="s">
        <v>124</v>
      </c>
      <c r="Q285" s="1"/>
      <c r="R285" s="1" t="s">
        <v>62</v>
      </c>
      <c r="S285" s="1"/>
      <c r="T285" s="1" t="s">
        <v>2543</v>
      </c>
      <c r="U285" s="1" t="s">
        <v>2544</v>
      </c>
    </row>
    <row r="286" ht="14.25" customHeight="1">
      <c r="A286" s="1" t="s">
        <v>2383</v>
      </c>
      <c r="B286" s="1" t="s">
        <v>51</v>
      </c>
      <c r="C286" s="1" t="s">
        <v>52</v>
      </c>
      <c r="D286" s="3" t="s">
        <v>53</v>
      </c>
      <c r="E286" s="1" t="s">
        <v>54</v>
      </c>
      <c r="F286" s="1" t="s">
        <v>41</v>
      </c>
      <c r="G286" s="1" t="s">
        <v>42</v>
      </c>
      <c r="H286" s="1" t="s">
        <v>55</v>
      </c>
      <c r="I286" s="1" t="s">
        <v>56</v>
      </c>
      <c r="J286" s="1"/>
      <c r="K286" s="1" t="s">
        <v>57</v>
      </c>
      <c r="L286" s="1" t="s">
        <v>58</v>
      </c>
      <c r="M286" s="1" t="s">
        <v>59</v>
      </c>
      <c r="N286" s="1" t="s">
        <v>60</v>
      </c>
      <c r="O286" s="1" t="s">
        <v>61</v>
      </c>
      <c r="P286" s="1" t="s">
        <v>62</v>
      </c>
      <c r="Q286" s="1"/>
      <c r="R286" s="1" t="s">
        <v>63</v>
      </c>
      <c r="S286" s="1"/>
      <c r="T286" s="1" t="s">
        <v>64</v>
      </c>
      <c r="U286" s="1" t="s">
        <v>65</v>
      </c>
    </row>
    <row r="287" ht="14.25" customHeight="1">
      <c r="A287" s="1" t="s">
        <v>2383</v>
      </c>
      <c r="B287" s="1" t="s">
        <v>2545</v>
      </c>
      <c r="C287" s="1" t="s">
        <v>2546</v>
      </c>
      <c r="D287" s="3" t="s">
        <v>2547</v>
      </c>
      <c r="E287" s="1" t="s">
        <v>117</v>
      </c>
      <c r="F287" s="1" t="s">
        <v>2386</v>
      </c>
      <c r="G287" s="1" t="s">
        <v>42</v>
      </c>
      <c r="H287" s="1" t="s">
        <v>157</v>
      </c>
      <c r="I287" s="1" t="s">
        <v>2427</v>
      </c>
      <c r="J287" s="1"/>
      <c r="K287" s="1" t="s">
        <v>2548</v>
      </c>
      <c r="L287" s="1" t="s">
        <v>2549</v>
      </c>
      <c r="M287" s="1" t="s">
        <v>31</v>
      </c>
      <c r="N287" s="1"/>
      <c r="O287" s="1" t="s">
        <v>2550</v>
      </c>
      <c r="P287" s="1" t="s">
        <v>34</v>
      </c>
      <c r="Q287" s="1"/>
      <c r="R287" s="1" t="s">
        <v>1293</v>
      </c>
      <c r="S287" s="1"/>
      <c r="T287" s="1" t="s">
        <v>2403</v>
      </c>
      <c r="U287" s="1" t="s">
        <v>2404</v>
      </c>
    </row>
    <row r="288" ht="14.25" customHeight="1">
      <c r="A288" s="1" t="s">
        <v>2383</v>
      </c>
      <c r="B288" s="1" t="s">
        <v>2551</v>
      </c>
      <c r="C288" s="1" t="s">
        <v>2552</v>
      </c>
      <c r="D288" s="1" t="s">
        <v>2553</v>
      </c>
      <c r="E288" s="1" t="s">
        <v>117</v>
      </c>
      <c r="F288" s="1" t="s">
        <v>2554</v>
      </c>
      <c r="G288" s="1" t="s">
        <v>1119</v>
      </c>
      <c r="H288" s="1" t="s">
        <v>136</v>
      </c>
      <c r="I288" s="1" t="s">
        <v>2555</v>
      </c>
      <c r="J288" s="1" t="s">
        <v>2556</v>
      </c>
      <c r="K288" s="1" t="s">
        <v>2557</v>
      </c>
      <c r="L288" s="1" t="s">
        <v>2558</v>
      </c>
      <c r="M288" s="1" t="s">
        <v>59</v>
      </c>
      <c r="N288" s="1" t="s">
        <v>2559</v>
      </c>
      <c r="O288" s="1"/>
      <c r="P288" s="1"/>
      <c r="Q288" s="1"/>
      <c r="R288" s="1" t="s">
        <v>2234</v>
      </c>
      <c r="S288" s="1" t="s">
        <v>79</v>
      </c>
      <c r="T288" s="1" t="s">
        <v>2560</v>
      </c>
      <c r="U288" s="1" t="s">
        <v>298</v>
      </c>
    </row>
    <row r="289" ht="14.25" customHeight="1">
      <c r="A289" s="1" t="s">
        <v>2383</v>
      </c>
      <c r="B289" s="1" t="s">
        <v>66</v>
      </c>
      <c r="C289" s="1" t="s">
        <v>67</v>
      </c>
      <c r="D289" s="3"/>
      <c r="E289" s="1"/>
      <c r="F289" s="1" t="s">
        <v>41</v>
      </c>
      <c r="G289" s="1" t="s">
        <v>42</v>
      </c>
      <c r="H289" s="1" t="s">
        <v>68</v>
      </c>
      <c r="I289" s="1" t="s">
        <v>69</v>
      </c>
      <c r="J289" s="1"/>
      <c r="K289" s="1" t="s">
        <v>70</v>
      </c>
      <c r="L289" s="1" t="s">
        <v>71</v>
      </c>
      <c r="M289" s="1" t="s">
        <v>31</v>
      </c>
      <c r="N289" s="1"/>
      <c r="O289" s="1" t="s">
        <v>72</v>
      </c>
      <c r="P289" s="1" t="s">
        <v>73</v>
      </c>
      <c r="Q289" s="1"/>
      <c r="R289" s="1" t="s">
        <v>68</v>
      </c>
      <c r="S289" s="1"/>
      <c r="T289" s="1" t="s">
        <v>74</v>
      </c>
      <c r="U289" s="1" t="s">
        <v>75</v>
      </c>
    </row>
    <row r="290" ht="14.25" customHeight="1">
      <c r="A290" s="1" t="s">
        <v>2383</v>
      </c>
      <c r="B290" s="1" t="s">
        <v>76</v>
      </c>
      <c r="C290" s="1" t="s">
        <v>77</v>
      </c>
      <c r="D290" s="3" t="s">
        <v>78</v>
      </c>
      <c r="E290" s="1" t="s">
        <v>79</v>
      </c>
      <c r="F290" s="1" t="s">
        <v>41</v>
      </c>
      <c r="G290" s="1" t="s">
        <v>42</v>
      </c>
      <c r="H290" s="1" t="s">
        <v>68</v>
      </c>
      <c r="I290" s="1" t="s">
        <v>80</v>
      </c>
      <c r="J290" s="1"/>
      <c r="K290" s="1" t="s">
        <v>81</v>
      </c>
      <c r="L290" s="1" t="s">
        <v>82</v>
      </c>
      <c r="M290" s="1" t="s">
        <v>31</v>
      </c>
      <c r="N290" s="1"/>
      <c r="O290" s="1" t="s">
        <v>83</v>
      </c>
      <c r="P290" s="1" t="s">
        <v>84</v>
      </c>
      <c r="Q290" s="1"/>
      <c r="R290" s="1" t="s">
        <v>85</v>
      </c>
      <c r="S290" s="1"/>
      <c r="T290" s="1" t="s">
        <v>86</v>
      </c>
      <c r="U290" s="1" t="s">
        <v>87</v>
      </c>
    </row>
    <row r="291" ht="14.25" customHeight="1">
      <c r="A291" s="1" t="s">
        <v>2383</v>
      </c>
      <c r="B291" s="1" t="s">
        <v>2561</v>
      </c>
      <c r="C291" s="1" t="s">
        <v>2562</v>
      </c>
      <c r="D291" s="3" t="s">
        <v>2563</v>
      </c>
      <c r="E291" s="1" t="s">
        <v>384</v>
      </c>
      <c r="F291" s="1" t="s">
        <v>2386</v>
      </c>
      <c r="G291" s="1" t="s">
        <v>42</v>
      </c>
      <c r="H291" s="1" t="s">
        <v>741</v>
      </c>
      <c r="I291" s="1" t="s">
        <v>2564</v>
      </c>
      <c r="J291" s="1" t="s">
        <v>2565</v>
      </c>
      <c r="K291" s="1" t="s">
        <v>2566</v>
      </c>
      <c r="L291" s="1"/>
      <c r="M291" s="1" t="s">
        <v>31</v>
      </c>
      <c r="N291" s="1"/>
      <c r="O291" s="1"/>
      <c r="P291" s="1"/>
      <c r="Q291" s="1"/>
      <c r="R291" s="1" t="s">
        <v>759</v>
      </c>
      <c r="S291" s="1" t="s">
        <v>384</v>
      </c>
      <c r="T291" s="1" t="s">
        <v>2567</v>
      </c>
      <c r="U291" s="1" t="s">
        <v>2568</v>
      </c>
    </row>
    <row r="292" ht="14.25" customHeight="1">
      <c r="A292" s="1" t="s">
        <v>2383</v>
      </c>
      <c r="B292" s="1" t="s">
        <v>2569</v>
      </c>
      <c r="C292" s="1" t="s">
        <v>2570</v>
      </c>
      <c r="D292" s="3" t="s">
        <v>2571</v>
      </c>
      <c r="E292" s="1" t="s">
        <v>91</v>
      </c>
      <c r="F292" s="1" t="s">
        <v>2386</v>
      </c>
      <c r="G292" s="1" t="s">
        <v>42</v>
      </c>
      <c r="H292" s="1" t="s">
        <v>741</v>
      </c>
      <c r="I292" s="1" t="s">
        <v>2572</v>
      </c>
      <c r="J292" s="1" t="s">
        <v>2573</v>
      </c>
      <c r="K292" s="1" t="s">
        <v>2574</v>
      </c>
      <c r="L292" s="1" t="s">
        <v>2575</v>
      </c>
      <c r="M292" s="1" t="s">
        <v>59</v>
      </c>
      <c r="N292" s="1" t="s">
        <v>2576</v>
      </c>
      <c r="O292" s="1" t="s">
        <v>2577</v>
      </c>
      <c r="P292" s="1" t="s">
        <v>101</v>
      </c>
      <c r="Q292" s="1"/>
      <c r="R292" s="1" t="s">
        <v>1067</v>
      </c>
      <c r="S292" s="1" t="s">
        <v>91</v>
      </c>
      <c r="T292" s="1" t="s">
        <v>2578</v>
      </c>
      <c r="U292" s="1" t="s">
        <v>2579</v>
      </c>
    </row>
    <row r="293" ht="14.25" customHeight="1">
      <c r="A293" s="1" t="s">
        <v>2383</v>
      </c>
      <c r="B293" s="1" t="s">
        <v>2580</v>
      </c>
      <c r="C293" s="1" t="s">
        <v>2581</v>
      </c>
      <c r="D293" s="3" t="s">
        <v>2582</v>
      </c>
      <c r="E293" s="1" t="s">
        <v>99</v>
      </c>
      <c r="F293" s="1" t="s">
        <v>2386</v>
      </c>
      <c r="G293" s="1" t="s">
        <v>1801</v>
      </c>
      <c r="H293" s="1" t="s">
        <v>2583</v>
      </c>
      <c r="I293" s="1" t="s">
        <v>2584</v>
      </c>
      <c r="J293" s="1" t="s">
        <v>2585</v>
      </c>
      <c r="K293" s="1" t="s">
        <v>2586</v>
      </c>
      <c r="L293" s="1"/>
      <c r="M293" s="1" t="s">
        <v>31</v>
      </c>
      <c r="N293" s="1"/>
      <c r="O293" s="1"/>
      <c r="P293" s="1"/>
      <c r="Q293" s="1"/>
      <c r="R293" s="1" t="s">
        <v>202</v>
      </c>
      <c r="S293" s="1" t="s">
        <v>99</v>
      </c>
      <c r="T293" s="1" t="s">
        <v>2587</v>
      </c>
      <c r="U293" s="1" t="s">
        <v>2588</v>
      </c>
    </row>
    <row r="294" ht="14.25" customHeight="1">
      <c r="A294" s="1" t="s">
        <v>2383</v>
      </c>
      <c r="B294" s="1" t="s">
        <v>2589</v>
      </c>
      <c r="C294" s="1" t="s">
        <v>2590</v>
      </c>
      <c r="D294" s="3" t="s">
        <v>2591</v>
      </c>
      <c r="E294" s="1" t="s">
        <v>174</v>
      </c>
      <c r="F294" s="1" t="s">
        <v>2386</v>
      </c>
      <c r="G294" s="1" t="s">
        <v>42</v>
      </c>
      <c r="H294" s="1" t="s">
        <v>92</v>
      </c>
      <c r="I294" s="1" t="s">
        <v>2592</v>
      </c>
      <c r="J294" s="1"/>
      <c r="K294" s="1" t="s">
        <v>2593</v>
      </c>
      <c r="L294" s="1" t="s">
        <v>2594</v>
      </c>
      <c r="M294" s="1" t="s">
        <v>31</v>
      </c>
      <c r="N294" s="1"/>
      <c r="O294" s="1"/>
      <c r="P294" s="1"/>
      <c r="Q294" s="1"/>
      <c r="R294" s="1" t="s">
        <v>731</v>
      </c>
      <c r="S294" s="1"/>
      <c r="T294" s="1" t="s">
        <v>2595</v>
      </c>
      <c r="U294" s="1" t="s">
        <v>2596</v>
      </c>
    </row>
    <row r="295" ht="14.25" customHeight="1">
      <c r="A295" s="1" t="s">
        <v>2383</v>
      </c>
      <c r="B295" s="1" t="s">
        <v>88</v>
      </c>
      <c r="C295" s="1" t="s">
        <v>89</v>
      </c>
      <c r="D295" s="1" t="s">
        <v>90</v>
      </c>
      <c r="E295" s="1" t="s">
        <v>91</v>
      </c>
      <c r="F295" s="1" t="s">
        <v>41</v>
      </c>
      <c r="G295" s="1" t="s">
        <v>42</v>
      </c>
      <c r="H295" s="1" t="s">
        <v>92</v>
      </c>
      <c r="I295" s="1" t="s">
        <v>93</v>
      </c>
      <c r="J295" s="1" t="s">
        <v>94</v>
      </c>
      <c r="K295" s="1" t="s">
        <v>95</v>
      </c>
      <c r="L295" s="1" t="s">
        <v>96</v>
      </c>
      <c r="M295" s="1" t="s">
        <v>59</v>
      </c>
      <c r="N295" s="1" t="s">
        <v>97</v>
      </c>
      <c r="O295" s="1"/>
      <c r="P295" s="1"/>
      <c r="Q295" s="1"/>
      <c r="R295" s="1" t="s">
        <v>98</v>
      </c>
      <c r="S295" s="1" t="s">
        <v>99</v>
      </c>
      <c r="T295" s="1" t="s">
        <v>100</v>
      </c>
      <c r="U295" s="1" t="s">
        <v>101</v>
      </c>
    </row>
    <row r="296" ht="14.25" customHeight="1">
      <c r="A296" s="1" t="s">
        <v>2383</v>
      </c>
      <c r="B296" s="1" t="s">
        <v>2597</v>
      </c>
      <c r="C296" s="1" t="s">
        <v>2598</v>
      </c>
      <c r="D296" s="3"/>
      <c r="E296" s="1"/>
      <c r="F296" s="1"/>
      <c r="G296" s="1" t="s">
        <v>42</v>
      </c>
      <c r="H296" s="1" t="s">
        <v>2599</v>
      </c>
      <c r="I296" s="1" t="s">
        <v>2600</v>
      </c>
      <c r="J296" s="1"/>
      <c r="K296" s="1" t="s">
        <v>2601</v>
      </c>
      <c r="L296" s="1"/>
      <c r="M296" s="1" t="s">
        <v>31</v>
      </c>
      <c r="N296" s="1"/>
      <c r="O296" s="4"/>
      <c r="P296" s="1"/>
      <c r="Q296" s="1"/>
      <c r="R296" s="1" t="s">
        <v>182</v>
      </c>
      <c r="S296" s="1"/>
      <c r="T296" s="1" t="s">
        <v>2602</v>
      </c>
      <c r="U296" s="1" t="s">
        <v>190</v>
      </c>
    </row>
    <row r="297" ht="14.25" customHeight="1">
      <c r="A297" s="1" t="s">
        <v>2383</v>
      </c>
      <c r="B297" s="1" t="s">
        <v>2603</v>
      </c>
      <c r="C297" s="1" t="s">
        <v>2604</v>
      </c>
      <c r="D297" s="3" t="s">
        <v>1426</v>
      </c>
      <c r="E297" s="1" t="s">
        <v>99</v>
      </c>
      <c r="F297" s="1" t="s">
        <v>2398</v>
      </c>
      <c r="G297" s="1" t="s">
        <v>42</v>
      </c>
      <c r="H297" s="1" t="s">
        <v>594</v>
      </c>
      <c r="I297" s="1" t="s">
        <v>2605</v>
      </c>
      <c r="J297" s="1" t="s">
        <v>2606</v>
      </c>
      <c r="K297" s="1" t="s">
        <v>2607</v>
      </c>
      <c r="L297" s="1" t="s">
        <v>2608</v>
      </c>
      <c r="M297" s="1" t="s">
        <v>59</v>
      </c>
      <c r="N297" s="1" t="s">
        <v>2609</v>
      </c>
      <c r="O297" s="1" t="s">
        <v>2226</v>
      </c>
      <c r="P297" s="1" t="s">
        <v>124</v>
      </c>
      <c r="Q297" s="1"/>
      <c r="R297" s="1" t="s">
        <v>369</v>
      </c>
      <c r="S297" s="1" t="s">
        <v>99</v>
      </c>
      <c r="T297" s="1" t="s">
        <v>2610</v>
      </c>
      <c r="U297" s="1" t="s">
        <v>1274</v>
      </c>
    </row>
    <row r="298" ht="14.25" customHeight="1">
      <c r="A298" s="1" t="s">
        <v>2383</v>
      </c>
      <c r="B298" s="1" t="s">
        <v>2611</v>
      </c>
      <c r="C298" s="1" t="s">
        <v>2612</v>
      </c>
      <c r="D298" s="3" t="s">
        <v>2613</v>
      </c>
      <c r="E298" s="1" t="s">
        <v>174</v>
      </c>
      <c r="F298" s="1" t="s">
        <v>2417</v>
      </c>
      <c r="G298" s="1" t="s">
        <v>42</v>
      </c>
      <c r="H298" s="1" t="s">
        <v>594</v>
      </c>
      <c r="I298" s="1" t="s">
        <v>373</v>
      </c>
      <c r="J298" s="1" t="s">
        <v>2614</v>
      </c>
      <c r="K298" s="1" t="s">
        <v>2615</v>
      </c>
      <c r="L298" s="1" t="s">
        <v>2616</v>
      </c>
      <c r="M298" s="1" t="s">
        <v>31</v>
      </c>
      <c r="N298" s="1"/>
      <c r="O298" s="1" t="s">
        <v>2617</v>
      </c>
      <c r="P298" s="1" t="s">
        <v>1266</v>
      </c>
      <c r="Q298" s="1"/>
      <c r="R298" s="1" t="s">
        <v>34</v>
      </c>
      <c r="S298" s="1"/>
      <c r="T298" s="1" t="s">
        <v>2618</v>
      </c>
      <c r="U298" s="1" t="s">
        <v>2619</v>
      </c>
    </row>
    <row r="299" ht="14.25" customHeight="1">
      <c r="A299" s="1" t="s">
        <v>2383</v>
      </c>
      <c r="B299" s="1" t="s">
        <v>2620</v>
      </c>
      <c r="C299" s="1" t="s">
        <v>2621</v>
      </c>
      <c r="D299" s="3" t="s">
        <v>2622</v>
      </c>
      <c r="E299" s="1" t="s">
        <v>25</v>
      </c>
      <c r="F299" s="1" t="s">
        <v>2417</v>
      </c>
      <c r="G299" s="1" t="s">
        <v>1801</v>
      </c>
      <c r="H299" s="1" t="s">
        <v>535</v>
      </c>
      <c r="I299" s="1" t="s">
        <v>2623</v>
      </c>
      <c r="J299" s="1"/>
      <c r="K299" s="1" t="s">
        <v>2624</v>
      </c>
      <c r="L299" s="1" t="s">
        <v>2625</v>
      </c>
      <c r="M299" s="1" t="s">
        <v>59</v>
      </c>
      <c r="N299" s="1" t="s">
        <v>2626</v>
      </c>
      <c r="O299" s="1"/>
      <c r="P299" s="1"/>
      <c r="Q299" s="1"/>
      <c r="R299" s="1" t="s">
        <v>215</v>
      </c>
      <c r="S299" s="1"/>
      <c r="T299" s="1" t="s">
        <v>2627</v>
      </c>
      <c r="U299" s="1" t="s">
        <v>2628</v>
      </c>
    </row>
    <row r="300" ht="14.25" customHeight="1">
      <c r="A300" s="1" t="s">
        <v>2383</v>
      </c>
      <c r="B300" s="1" t="s">
        <v>2629</v>
      </c>
      <c r="C300" s="1" t="s">
        <v>2630</v>
      </c>
      <c r="D300" s="3" t="s">
        <v>2631</v>
      </c>
      <c r="E300" s="1" t="s">
        <v>91</v>
      </c>
      <c r="F300" s="1" t="s">
        <v>2632</v>
      </c>
      <c r="G300" s="1" t="s">
        <v>42</v>
      </c>
      <c r="H300" s="1" t="s">
        <v>1368</v>
      </c>
      <c r="I300" s="1" t="s">
        <v>2633</v>
      </c>
      <c r="J300" s="1" t="s">
        <v>2634</v>
      </c>
      <c r="K300" s="1" t="s">
        <v>2635</v>
      </c>
      <c r="L300" s="1" t="s">
        <v>2636</v>
      </c>
      <c r="M300" s="1" t="s">
        <v>59</v>
      </c>
      <c r="N300" s="1" t="s">
        <v>2637</v>
      </c>
      <c r="O300" s="1"/>
      <c r="P300" s="1"/>
      <c r="Q300" s="1"/>
      <c r="R300" s="1" t="s">
        <v>209</v>
      </c>
      <c r="S300" s="1" t="s">
        <v>91</v>
      </c>
      <c r="T300" s="1" t="s">
        <v>2638</v>
      </c>
      <c r="U300" s="1" t="s">
        <v>2639</v>
      </c>
    </row>
    <row r="301" ht="14.25" customHeight="1">
      <c r="A301" s="1" t="s">
        <v>2383</v>
      </c>
      <c r="B301" s="1" t="s">
        <v>2640</v>
      </c>
      <c r="C301" s="1" t="s">
        <v>2641</v>
      </c>
      <c r="D301" s="3" t="s">
        <v>2642</v>
      </c>
      <c r="E301" s="1" t="s">
        <v>25</v>
      </c>
      <c r="F301" s="1" t="s">
        <v>2386</v>
      </c>
      <c r="G301" s="1" t="s">
        <v>2455</v>
      </c>
      <c r="H301" s="1" t="s">
        <v>1368</v>
      </c>
      <c r="I301" s="1" t="s">
        <v>2643</v>
      </c>
      <c r="J301" s="1" t="s">
        <v>2644</v>
      </c>
      <c r="K301" s="1" t="s">
        <v>2645</v>
      </c>
      <c r="L301" s="1" t="s">
        <v>2646</v>
      </c>
      <c r="M301" s="1" t="s">
        <v>59</v>
      </c>
      <c r="N301" s="1" t="s">
        <v>2647</v>
      </c>
      <c r="O301" s="1" t="s">
        <v>2648</v>
      </c>
      <c r="P301" s="1"/>
      <c r="Q301" s="1"/>
      <c r="R301" s="1" t="s">
        <v>196</v>
      </c>
      <c r="S301" s="1" t="s">
        <v>25</v>
      </c>
      <c r="T301" s="1" t="s">
        <v>2649</v>
      </c>
      <c r="U301" s="1" t="s">
        <v>2650</v>
      </c>
    </row>
    <row r="302" ht="14.25" customHeight="1">
      <c r="A302" s="1" t="s">
        <v>2383</v>
      </c>
      <c r="B302" s="1" t="s">
        <v>2651</v>
      </c>
      <c r="C302" s="1" t="s">
        <v>2652</v>
      </c>
      <c r="D302" s="3" t="s">
        <v>2653</v>
      </c>
      <c r="E302" s="1" t="s">
        <v>91</v>
      </c>
      <c r="F302" s="1" t="s">
        <v>2398</v>
      </c>
      <c r="G302" s="1" t="s">
        <v>42</v>
      </c>
      <c r="H302" s="1" t="s">
        <v>1362</v>
      </c>
      <c r="I302" s="1" t="s">
        <v>2654</v>
      </c>
      <c r="J302" s="1" t="s">
        <v>2655</v>
      </c>
      <c r="K302" s="1" t="s">
        <v>2656</v>
      </c>
      <c r="L302" s="1" t="s">
        <v>2657</v>
      </c>
      <c r="M302" s="1" t="s">
        <v>31</v>
      </c>
      <c r="N302" s="1"/>
      <c r="O302" s="1" t="s">
        <v>2658</v>
      </c>
      <c r="P302" s="1" t="s">
        <v>73</v>
      </c>
      <c r="Q302" s="1"/>
      <c r="R302" s="1" t="s">
        <v>283</v>
      </c>
      <c r="S302" s="1"/>
      <c r="T302" s="1" t="s">
        <v>2659</v>
      </c>
      <c r="U302" s="1" t="s">
        <v>2660</v>
      </c>
    </row>
    <row r="303" ht="14.25" customHeight="1">
      <c r="A303" s="1" t="s">
        <v>2383</v>
      </c>
      <c r="B303" s="1" t="s">
        <v>2661</v>
      </c>
      <c r="C303" s="1" t="s">
        <v>2662</v>
      </c>
      <c r="D303" s="3" t="s">
        <v>2663</v>
      </c>
      <c r="E303" s="1" t="s">
        <v>117</v>
      </c>
      <c r="F303" s="1" t="s">
        <v>2386</v>
      </c>
      <c r="G303" s="1" t="s">
        <v>42</v>
      </c>
      <c r="H303" s="1" t="s">
        <v>1431</v>
      </c>
      <c r="I303" s="1" t="s">
        <v>2664</v>
      </c>
      <c r="J303" s="1" t="s">
        <v>2665</v>
      </c>
      <c r="K303" s="1" t="s">
        <v>2666</v>
      </c>
      <c r="L303" s="1" t="s">
        <v>2667</v>
      </c>
      <c r="M303" s="1" t="s">
        <v>59</v>
      </c>
      <c r="N303" s="1" t="s">
        <v>2668</v>
      </c>
      <c r="O303" s="4" t="s">
        <v>2669</v>
      </c>
      <c r="P303" s="1" t="s">
        <v>124</v>
      </c>
      <c r="Q303" s="1"/>
      <c r="R303" s="1" t="s">
        <v>361</v>
      </c>
      <c r="S303" s="1" t="s">
        <v>352</v>
      </c>
      <c r="T303" s="1" t="s">
        <v>2670</v>
      </c>
      <c r="U303" s="1" t="s">
        <v>2619</v>
      </c>
    </row>
    <row r="304" ht="14.25" customHeight="1">
      <c r="A304" s="1" t="s">
        <v>2383</v>
      </c>
      <c r="B304" s="1" t="s">
        <v>2671</v>
      </c>
      <c r="C304" s="1" t="s">
        <v>2672</v>
      </c>
      <c r="D304" s="3" t="s">
        <v>2673</v>
      </c>
      <c r="E304" s="1" t="s">
        <v>637</v>
      </c>
      <c r="F304" s="1" t="s">
        <v>2386</v>
      </c>
      <c r="G304" s="1" t="s">
        <v>42</v>
      </c>
      <c r="H304" s="1" t="s">
        <v>1431</v>
      </c>
      <c r="I304" s="1" t="s">
        <v>2674</v>
      </c>
      <c r="J304" s="1" t="s">
        <v>2675</v>
      </c>
      <c r="K304" s="1" t="s">
        <v>2676</v>
      </c>
      <c r="L304" s="1" t="s">
        <v>2677</v>
      </c>
      <c r="M304" s="1" t="s">
        <v>59</v>
      </c>
      <c r="N304" s="1" t="s">
        <v>2678</v>
      </c>
      <c r="O304" s="1" t="s">
        <v>613</v>
      </c>
      <c r="P304" s="1" t="s">
        <v>614</v>
      </c>
      <c r="Q304" s="1"/>
      <c r="R304" s="1" t="s">
        <v>258</v>
      </c>
      <c r="S304" s="1" t="s">
        <v>637</v>
      </c>
      <c r="T304" s="1" t="s">
        <v>2679</v>
      </c>
      <c r="U304" s="1" t="s">
        <v>2680</v>
      </c>
    </row>
    <row r="305" ht="14.25" customHeight="1">
      <c r="A305" s="1" t="s">
        <v>2383</v>
      </c>
      <c r="B305" s="1" t="s">
        <v>2681</v>
      </c>
      <c r="C305" s="1" t="s">
        <v>2682</v>
      </c>
      <c r="D305" s="3" t="s">
        <v>2683</v>
      </c>
      <c r="E305" s="1" t="s">
        <v>54</v>
      </c>
      <c r="F305" s="1" t="s">
        <v>2398</v>
      </c>
      <c r="G305" s="1" t="s">
        <v>42</v>
      </c>
      <c r="H305" s="1" t="s">
        <v>1306</v>
      </c>
      <c r="I305" s="1" t="s">
        <v>2684</v>
      </c>
      <c r="J305" s="1"/>
      <c r="K305" s="1" t="s">
        <v>2685</v>
      </c>
      <c r="L305" s="1" t="s">
        <v>2686</v>
      </c>
      <c r="M305" s="1" t="s">
        <v>59</v>
      </c>
      <c r="N305" s="1" t="s">
        <v>2687</v>
      </c>
      <c r="O305" s="1" t="s">
        <v>2684</v>
      </c>
      <c r="P305" s="1"/>
      <c r="Q305" s="1"/>
      <c r="R305" s="1" t="s">
        <v>346</v>
      </c>
      <c r="S305" s="1"/>
      <c r="T305" s="1" t="s">
        <v>2688</v>
      </c>
      <c r="U305" s="1" t="s">
        <v>628</v>
      </c>
    </row>
    <row r="306" ht="14.25" customHeight="1">
      <c r="A306" s="1" t="s">
        <v>2383</v>
      </c>
      <c r="B306" s="1" t="s">
        <v>2689</v>
      </c>
      <c r="C306" s="1" t="s">
        <v>2690</v>
      </c>
      <c r="D306" s="3" t="s">
        <v>2691</v>
      </c>
      <c r="E306" s="1" t="s">
        <v>616</v>
      </c>
      <c r="F306" s="1" t="s">
        <v>2398</v>
      </c>
      <c r="G306" s="1" t="s">
        <v>42</v>
      </c>
      <c r="H306" s="1" t="s">
        <v>1378</v>
      </c>
      <c r="I306" s="1" t="s">
        <v>870</v>
      </c>
      <c r="J306" s="1" t="s">
        <v>2692</v>
      </c>
      <c r="K306" s="1" t="s">
        <v>2693</v>
      </c>
      <c r="L306" s="1" t="s">
        <v>2694</v>
      </c>
      <c r="M306" s="1" t="s">
        <v>59</v>
      </c>
      <c r="N306" s="1" t="s">
        <v>2695</v>
      </c>
      <c r="O306" s="1" t="s">
        <v>2696</v>
      </c>
      <c r="P306" s="1" t="s">
        <v>182</v>
      </c>
      <c r="Q306" s="1"/>
      <c r="R306" s="1" t="s">
        <v>1543</v>
      </c>
      <c r="S306" s="1" t="s">
        <v>616</v>
      </c>
      <c r="T306" s="1" t="s">
        <v>2697</v>
      </c>
      <c r="U306" s="1" t="s">
        <v>1644</v>
      </c>
    </row>
    <row r="307" ht="14.25" customHeight="1">
      <c r="A307" s="1" t="s">
        <v>2383</v>
      </c>
      <c r="B307" s="1" t="s">
        <v>2698</v>
      </c>
      <c r="C307" s="1" t="s">
        <v>2699</v>
      </c>
      <c r="D307" s="3" t="s">
        <v>650</v>
      </c>
      <c r="E307" s="1" t="s">
        <v>174</v>
      </c>
      <c r="F307" s="1" t="s">
        <v>41</v>
      </c>
      <c r="G307" s="1" t="s">
        <v>42</v>
      </c>
      <c r="H307" s="1" t="s">
        <v>1697</v>
      </c>
      <c r="I307" s="1" t="s">
        <v>2700</v>
      </c>
      <c r="J307" s="1"/>
      <c r="K307" s="1" t="s">
        <v>2701</v>
      </c>
      <c r="L307" s="1" t="s">
        <v>2702</v>
      </c>
      <c r="M307" s="1" t="s">
        <v>59</v>
      </c>
      <c r="N307" s="1" t="s">
        <v>2703</v>
      </c>
      <c r="O307" s="1"/>
      <c r="P307" s="1"/>
      <c r="Q307" s="1"/>
      <c r="R307" s="1" t="s">
        <v>326</v>
      </c>
      <c r="S307" s="1"/>
      <c r="T307" s="1" t="s">
        <v>2704</v>
      </c>
      <c r="U307" s="1" t="s">
        <v>1282</v>
      </c>
    </row>
    <row r="308" ht="14.25" customHeight="1">
      <c r="A308" s="1" t="s">
        <v>2383</v>
      </c>
      <c r="B308" s="1" t="s">
        <v>2705</v>
      </c>
      <c r="C308" s="1" t="s">
        <v>2706</v>
      </c>
      <c r="D308" s="3" t="s">
        <v>2707</v>
      </c>
      <c r="E308" s="1" t="s">
        <v>117</v>
      </c>
      <c r="F308" s="1" t="s">
        <v>41</v>
      </c>
      <c r="G308" s="1" t="s">
        <v>1119</v>
      </c>
      <c r="H308" s="1" t="s">
        <v>1697</v>
      </c>
      <c r="I308" s="1" t="s">
        <v>2708</v>
      </c>
      <c r="J308" s="1" t="s">
        <v>2709</v>
      </c>
      <c r="K308" s="1" t="s">
        <v>2710</v>
      </c>
      <c r="L308" s="1" t="s">
        <v>2711</v>
      </c>
      <c r="M308" s="1" t="s">
        <v>59</v>
      </c>
      <c r="N308" s="1" t="s">
        <v>2712</v>
      </c>
      <c r="O308" s="1" t="s">
        <v>2713</v>
      </c>
      <c r="P308" s="1"/>
      <c r="Q308" s="1"/>
      <c r="R308" s="1" t="s">
        <v>247</v>
      </c>
      <c r="S308" s="1" t="s">
        <v>117</v>
      </c>
      <c r="T308" s="1" t="s">
        <v>2714</v>
      </c>
      <c r="U308" s="1" t="s">
        <v>2715</v>
      </c>
    </row>
    <row r="309" ht="14.25" customHeight="1">
      <c r="A309" s="1" t="s">
        <v>2383</v>
      </c>
      <c r="B309" s="1" t="s">
        <v>2716</v>
      </c>
      <c r="C309" s="1" t="s">
        <v>2717</v>
      </c>
      <c r="D309" s="3" t="s">
        <v>2718</v>
      </c>
      <c r="E309" s="1" t="s">
        <v>352</v>
      </c>
      <c r="F309" s="1" t="s">
        <v>2417</v>
      </c>
      <c r="G309" s="1" t="s">
        <v>42</v>
      </c>
      <c r="H309" s="1" t="s">
        <v>1346</v>
      </c>
      <c r="I309" s="1" t="s">
        <v>2719</v>
      </c>
      <c r="J309" s="1"/>
      <c r="K309" s="1" t="s">
        <v>2720</v>
      </c>
      <c r="L309" s="1" t="s">
        <v>2721</v>
      </c>
      <c r="M309" s="1" t="s">
        <v>59</v>
      </c>
      <c r="N309" s="1" t="s">
        <v>2722</v>
      </c>
      <c r="O309" s="1"/>
      <c r="P309" s="1"/>
      <c r="Q309" s="1"/>
      <c r="R309" s="1" t="s">
        <v>1362</v>
      </c>
      <c r="S309" s="1"/>
      <c r="T309" s="1" t="s">
        <v>2723</v>
      </c>
      <c r="U309" s="1" t="s">
        <v>2724</v>
      </c>
    </row>
    <row r="310" ht="14.25" customHeight="1">
      <c r="A310" s="1" t="s">
        <v>2383</v>
      </c>
      <c r="B310" s="1" t="s">
        <v>102</v>
      </c>
      <c r="C310" s="1" t="s">
        <v>103</v>
      </c>
      <c r="D310" s="3" t="s">
        <v>104</v>
      </c>
      <c r="E310" s="1" t="s">
        <v>25</v>
      </c>
      <c r="F310" s="1" t="s">
        <v>41</v>
      </c>
      <c r="G310" s="1" t="s">
        <v>42</v>
      </c>
      <c r="H310" s="1" t="s">
        <v>105</v>
      </c>
      <c r="I310" s="1" t="s">
        <v>106</v>
      </c>
      <c r="J310" s="1"/>
      <c r="K310" s="1" t="s">
        <v>107</v>
      </c>
      <c r="L310" s="1" t="s">
        <v>108</v>
      </c>
      <c r="M310" s="1" t="s">
        <v>31</v>
      </c>
      <c r="N310" s="1"/>
      <c r="O310" s="1" t="s">
        <v>109</v>
      </c>
      <c r="P310" s="1" t="s">
        <v>110</v>
      </c>
      <c r="Q310" s="1"/>
      <c r="R310" s="1" t="s">
        <v>111</v>
      </c>
      <c r="S310" s="1"/>
      <c r="T310" s="1" t="s">
        <v>112</v>
      </c>
      <c r="U310" s="1" t="s">
        <v>113</v>
      </c>
    </row>
    <row r="311" ht="14.25" customHeight="1">
      <c r="A311" s="1" t="s">
        <v>2383</v>
      </c>
      <c r="B311" s="1" t="s">
        <v>114</v>
      </c>
      <c r="C311" s="1" t="s">
        <v>115</v>
      </c>
      <c r="D311" s="3" t="s">
        <v>116</v>
      </c>
      <c r="E311" s="1" t="s">
        <v>117</v>
      </c>
      <c r="F311" s="1" t="s">
        <v>118</v>
      </c>
      <c r="G311" s="1" t="s">
        <v>42</v>
      </c>
      <c r="H311" s="1" t="s">
        <v>105</v>
      </c>
      <c r="I311" s="1" t="s">
        <v>119</v>
      </c>
      <c r="J311" s="1"/>
      <c r="K311" s="1" t="s">
        <v>120</v>
      </c>
      <c r="L311" s="1" t="s">
        <v>121</v>
      </c>
      <c r="M311" s="1" t="s">
        <v>59</v>
      </c>
      <c r="N311" s="1" t="s">
        <v>122</v>
      </c>
      <c r="O311" s="1" t="s">
        <v>123</v>
      </c>
      <c r="P311" s="1" t="s">
        <v>124</v>
      </c>
      <c r="Q311" s="1"/>
      <c r="R311" s="1" t="s">
        <v>125</v>
      </c>
      <c r="S311" s="1"/>
      <c r="T311" s="1" t="s">
        <v>126</v>
      </c>
      <c r="U311" s="1" t="s">
        <v>127</v>
      </c>
    </row>
    <row r="312" ht="14.25" customHeight="1">
      <c r="A312" s="1" t="s">
        <v>2383</v>
      </c>
      <c r="B312" s="1" t="s">
        <v>2725</v>
      </c>
      <c r="C312" s="1" t="s">
        <v>2726</v>
      </c>
      <c r="D312" s="3" t="s">
        <v>2727</v>
      </c>
      <c r="E312" s="1" t="s">
        <v>429</v>
      </c>
      <c r="F312" s="1" t="s">
        <v>2417</v>
      </c>
      <c r="G312" s="1" t="s">
        <v>42</v>
      </c>
      <c r="H312" s="1" t="s">
        <v>105</v>
      </c>
      <c r="I312" s="1" t="s">
        <v>2728</v>
      </c>
      <c r="J312" s="1"/>
      <c r="K312" s="1" t="s">
        <v>2729</v>
      </c>
      <c r="L312" s="1" t="s">
        <v>2730</v>
      </c>
      <c r="M312" s="1" t="s">
        <v>31</v>
      </c>
      <c r="N312" s="1"/>
      <c r="O312" s="1"/>
      <c r="P312" s="1"/>
      <c r="Q312" s="1"/>
      <c r="R312" s="1" t="s">
        <v>999</v>
      </c>
      <c r="S312" s="1"/>
      <c r="T312" s="1" t="s">
        <v>2731</v>
      </c>
      <c r="U312" s="1" t="s">
        <v>249</v>
      </c>
    </row>
    <row r="313" ht="14.25" customHeight="1">
      <c r="A313" s="1" t="s">
        <v>2383</v>
      </c>
      <c r="B313" s="1" t="s">
        <v>2732</v>
      </c>
      <c r="C313" s="1" t="s">
        <v>2733</v>
      </c>
      <c r="D313" s="3" t="s">
        <v>2734</v>
      </c>
      <c r="E313" s="1" t="s">
        <v>99</v>
      </c>
      <c r="F313" s="1" t="s">
        <v>2417</v>
      </c>
      <c r="G313" s="1" t="s">
        <v>42</v>
      </c>
      <c r="H313" s="1" t="s">
        <v>1272</v>
      </c>
      <c r="I313" s="1" t="s">
        <v>2735</v>
      </c>
      <c r="J313" s="1" t="s">
        <v>2736</v>
      </c>
      <c r="K313" s="1" t="s">
        <v>2737</v>
      </c>
      <c r="L313" s="1" t="s">
        <v>2738</v>
      </c>
      <c r="M313" s="1" t="s">
        <v>59</v>
      </c>
      <c r="N313" s="1" t="s">
        <v>2739</v>
      </c>
      <c r="O313" s="1"/>
      <c r="P313" s="1"/>
      <c r="Q313" s="1"/>
      <c r="R313" s="1" t="s">
        <v>92</v>
      </c>
      <c r="S313" s="1" t="s">
        <v>99</v>
      </c>
      <c r="T313" s="1" t="s">
        <v>2740</v>
      </c>
      <c r="U313" s="1" t="s">
        <v>2741</v>
      </c>
    </row>
    <row r="314" ht="14.25" customHeight="1">
      <c r="A314" s="1" t="s">
        <v>2383</v>
      </c>
      <c r="B314" s="1" t="s">
        <v>2742</v>
      </c>
      <c r="C314" s="1" t="s">
        <v>2743</v>
      </c>
      <c r="D314" s="1" t="s">
        <v>2744</v>
      </c>
      <c r="E314" s="1" t="s">
        <v>99</v>
      </c>
      <c r="F314" s="1" t="s">
        <v>2398</v>
      </c>
      <c r="G314" s="1" t="s">
        <v>42</v>
      </c>
      <c r="H314" s="1" t="s">
        <v>191</v>
      </c>
      <c r="I314" s="1" t="s">
        <v>2745</v>
      </c>
      <c r="J314" s="1" t="s">
        <v>2746</v>
      </c>
      <c r="K314" s="1" t="s">
        <v>2747</v>
      </c>
      <c r="L314" s="1" t="s">
        <v>2748</v>
      </c>
      <c r="M314" s="1" t="s">
        <v>59</v>
      </c>
      <c r="N314" s="1" t="s">
        <v>2749</v>
      </c>
      <c r="O314" s="1" t="s">
        <v>2750</v>
      </c>
      <c r="P314" s="1" t="s">
        <v>487</v>
      </c>
      <c r="Q314" s="1"/>
      <c r="R314" s="1" t="s">
        <v>1601</v>
      </c>
      <c r="S314" s="1" t="s">
        <v>99</v>
      </c>
      <c r="T314" s="1" t="s">
        <v>2751</v>
      </c>
      <c r="U314" s="1" t="s">
        <v>2752</v>
      </c>
    </row>
    <row r="315" ht="14.25" customHeight="1">
      <c r="A315" s="1" t="s">
        <v>2383</v>
      </c>
      <c r="B315" s="1" t="s">
        <v>2753</v>
      </c>
      <c r="C315" s="1" t="s">
        <v>2754</v>
      </c>
      <c r="D315" s="3"/>
      <c r="E315" s="1"/>
      <c r="F315" s="1" t="s">
        <v>2386</v>
      </c>
      <c r="G315" s="1" t="s">
        <v>42</v>
      </c>
      <c r="H315" s="1" t="s">
        <v>191</v>
      </c>
      <c r="I315" s="1" t="s">
        <v>2755</v>
      </c>
      <c r="J315" s="1" t="s">
        <v>2756</v>
      </c>
      <c r="K315" s="1" t="s">
        <v>2757</v>
      </c>
      <c r="L315" s="1" t="s">
        <v>2758</v>
      </c>
      <c r="M315" s="1" t="s">
        <v>59</v>
      </c>
      <c r="N315" s="1" t="s">
        <v>2759</v>
      </c>
      <c r="O315" s="1" t="s">
        <v>2760</v>
      </c>
      <c r="P315" s="1" t="s">
        <v>202</v>
      </c>
      <c r="Q315" s="1"/>
      <c r="R315" s="1" t="s">
        <v>1930</v>
      </c>
      <c r="S315" s="1" t="s">
        <v>174</v>
      </c>
      <c r="T315" s="1" t="s">
        <v>2761</v>
      </c>
      <c r="U315" s="1" t="s">
        <v>2762</v>
      </c>
    </row>
    <row r="316" ht="14.25" customHeight="1">
      <c r="A316" s="1" t="s">
        <v>2383</v>
      </c>
      <c r="B316" s="1" t="s">
        <v>2763</v>
      </c>
      <c r="C316" s="1" t="s">
        <v>2764</v>
      </c>
      <c r="D316" s="3" t="s">
        <v>2765</v>
      </c>
      <c r="E316" s="1" t="s">
        <v>174</v>
      </c>
      <c r="F316" s="1" t="s">
        <v>2398</v>
      </c>
      <c r="G316" s="1" t="s">
        <v>42</v>
      </c>
      <c r="H316" s="1" t="s">
        <v>1149</v>
      </c>
      <c r="I316" s="1" t="s">
        <v>2766</v>
      </c>
      <c r="J316" s="1" t="s">
        <v>2767</v>
      </c>
      <c r="K316" s="1" t="s">
        <v>2768</v>
      </c>
      <c r="L316" s="1" t="s">
        <v>2769</v>
      </c>
      <c r="M316" s="1" t="s">
        <v>59</v>
      </c>
      <c r="N316" s="1" t="s">
        <v>2770</v>
      </c>
      <c r="O316" s="1" t="s">
        <v>2771</v>
      </c>
      <c r="P316" s="1" t="s">
        <v>1266</v>
      </c>
      <c r="Q316" s="1"/>
      <c r="R316" s="1" t="s">
        <v>817</v>
      </c>
      <c r="S316" s="1" t="s">
        <v>174</v>
      </c>
      <c r="T316" s="1" t="s">
        <v>2772</v>
      </c>
      <c r="U316" s="1" t="s">
        <v>2129</v>
      </c>
    </row>
    <row r="317" ht="14.25" customHeight="1">
      <c r="A317" s="1" t="s">
        <v>2383</v>
      </c>
      <c r="B317" s="1" t="s">
        <v>2773</v>
      </c>
      <c r="C317" s="1" t="s">
        <v>2774</v>
      </c>
      <c r="D317" s="3" t="s">
        <v>2775</v>
      </c>
      <c r="E317" s="1" t="s">
        <v>117</v>
      </c>
      <c r="F317" s="1" t="s">
        <v>2398</v>
      </c>
      <c r="G317" s="1" t="s">
        <v>42</v>
      </c>
      <c r="H317" s="1" t="s">
        <v>1149</v>
      </c>
      <c r="I317" s="1" t="s">
        <v>2776</v>
      </c>
      <c r="J317" s="1"/>
      <c r="K317" s="1" t="s">
        <v>2777</v>
      </c>
      <c r="L317" s="1" t="s">
        <v>2778</v>
      </c>
      <c r="M317" s="1" t="s">
        <v>31</v>
      </c>
      <c r="N317" s="1"/>
      <c r="O317" s="1" t="s">
        <v>2779</v>
      </c>
      <c r="P317" s="1" t="s">
        <v>517</v>
      </c>
      <c r="Q317" s="1"/>
      <c r="R317" s="1" t="s">
        <v>1346</v>
      </c>
      <c r="S317" s="1"/>
      <c r="T317" s="1" t="s">
        <v>2780</v>
      </c>
      <c r="U317" s="1" t="s">
        <v>346</v>
      </c>
    </row>
    <row r="318" ht="14.25" customHeight="1">
      <c r="A318" s="1" t="s">
        <v>2383</v>
      </c>
      <c r="B318" s="1" t="s">
        <v>2781</v>
      </c>
      <c r="C318" s="1" t="s">
        <v>2782</v>
      </c>
      <c r="D318" s="3" t="s">
        <v>2783</v>
      </c>
      <c r="E318" s="1" t="s">
        <v>174</v>
      </c>
      <c r="F318" s="1" t="s">
        <v>2386</v>
      </c>
      <c r="G318" s="1" t="s">
        <v>42</v>
      </c>
      <c r="H318" s="1" t="s">
        <v>1149</v>
      </c>
      <c r="I318" s="1" t="s">
        <v>2784</v>
      </c>
      <c r="J318" s="1" t="s">
        <v>2785</v>
      </c>
      <c r="K318" s="1" t="s">
        <v>2786</v>
      </c>
      <c r="L318" s="1"/>
      <c r="M318" s="1" t="s">
        <v>31</v>
      </c>
      <c r="N318" s="1"/>
      <c r="O318" s="1" t="s">
        <v>2787</v>
      </c>
      <c r="P318" s="1" t="s">
        <v>258</v>
      </c>
      <c r="Q318" s="1"/>
      <c r="R318" s="1" t="s">
        <v>1266</v>
      </c>
      <c r="S318" s="1" t="s">
        <v>174</v>
      </c>
      <c r="T318" s="1" t="s">
        <v>2788</v>
      </c>
      <c r="U318" s="1" t="s">
        <v>2789</v>
      </c>
    </row>
    <row r="319" ht="14.25" customHeight="1">
      <c r="A319" s="1" t="s">
        <v>2383</v>
      </c>
      <c r="B319" s="1" t="s">
        <v>2790</v>
      </c>
      <c r="C319" s="1" t="s">
        <v>2791</v>
      </c>
      <c r="D319" s="1" t="s">
        <v>2792</v>
      </c>
      <c r="E319" s="1" t="s">
        <v>25</v>
      </c>
      <c r="F319" s="1" t="s">
        <v>2386</v>
      </c>
      <c r="G319" s="1" t="s">
        <v>1801</v>
      </c>
      <c r="H319" s="1" t="s">
        <v>192</v>
      </c>
      <c r="I319" s="1" t="s">
        <v>2793</v>
      </c>
      <c r="J319" s="1" t="s">
        <v>2794</v>
      </c>
      <c r="K319" s="1" t="s">
        <v>2795</v>
      </c>
      <c r="L319" s="1"/>
      <c r="M319" s="1" t="s">
        <v>31</v>
      </c>
      <c r="N319" s="1"/>
      <c r="O319" s="1"/>
      <c r="P319" s="1"/>
      <c r="Q319" s="1"/>
      <c r="R319" s="1" t="s">
        <v>130</v>
      </c>
      <c r="S319" s="1" t="s">
        <v>25</v>
      </c>
      <c r="T319" s="1" t="s">
        <v>2796</v>
      </c>
      <c r="U319" s="1" t="s">
        <v>2797</v>
      </c>
    </row>
    <row r="320" ht="14.25" customHeight="1">
      <c r="A320" s="1" t="s">
        <v>2383</v>
      </c>
      <c r="B320" s="1" t="s">
        <v>2798</v>
      </c>
      <c r="C320" s="1" t="s">
        <v>2799</v>
      </c>
      <c r="D320" s="3"/>
      <c r="E320" s="1"/>
      <c r="F320" s="1" t="s">
        <v>2398</v>
      </c>
      <c r="G320" s="1" t="s">
        <v>42</v>
      </c>
      <c r="H320" s="1" t="s">
        <v>192</v>
      </c>
      <c r="I320" s="1" t="s">
        <v>2800</v>
      </c>
      <c r="J320" s="1" t="s">
        <v>2801</v>
      </c>
      <c r="K320" s="1" t="s">
        <v>2802</v>
      </c>
      <c r="L320" s="1" t="s">
        <v>2803</v>
      </c>
      <c r="M320" s="1" t="s">
        <v>59</v>
      </c>
      <c r="N320" s="1" t="s">
        <v>2804</v>
      </c>
      <c r="O320" s="4"/>
      <c r="P320" s="1"/>
      <c r="Q320" s="1"/>
      <c r="R320" s="1" t="s">
        <v>1346</v>
      </c>
      <c r="S320" s="1"/>
      <c r="T320" s="1" t="s">
        <v>2805</v>
      </c>
      <c r="U320" s="1" t="s">
        <v>2741</v>
      </c>
    </row>
    <row r="321" ht="14.25" customHeight="1">
      <c r="A321" s="1" t="s">
        <v>2383</v>
      </c>
      <c r="B321" s="1" t="s">
        <v>2806</v>
      </c>
      <c r="C321" s="1" t="s">
        <v>2807</v>
      </c>
      <c r="D321" s="3" t="s">
        <v>2808</v>
      </c>
      <c r="E321" s="1" t="s">
        <v>99</v>
      </c>
      <c r="F321" s="1" t="s">
        <v>2398</v>
      </c>
      <c r="G321" s="1" t="s">
        <v>42</v>
      </c>
      <c r="H321" s="1" t="s">
        <v>1857</v>
      </c>
      <c r="I321" s="1" t="s">
        <v>2809</v>
      </c>
      <c r="J321" s="1" t="s">
        <v>2810</v>
      </c>
      <c r="K321" s="1" t="s">
        <v>2811</v>
      </c>
      <c r="L321" s="1" t="s">
        <v>2812</v>
      </c>
      <c r="M321" s="1" t="s">
        <v>59</v>
      </c>
      <c r="N321" s="1" t="s">
        <v>2813</v>
      </c>
      <c r="O321" s="1" t="s">
        <v>2226</v>
      </c>
      <c r="P321" s="1" t="s">
        <v>124</v>
      </c>
      <c r="Q321" s="1"/>
      <c r="R321" s="1" t="s">
        <v>125</v>
      </c>
      <c r="S321" s="1" t="s">
        <v>25</v>
      </c>
      <c r="T321" s="1" t="s">
        <v>2814</v>
      </c>
      <c r="U321" s="1" t="s">
        <v>191</v>
      </c>
    </row>
    <row r="322" ht="14.25" customHeight="1">
      <c r="A322" s="1" t="s">
        <v>2383</v>
      </c>
      <c r="B322" s="1" t="s">
        <v>128</v>
      </c>
      <c r="C322" s="1" t="s">
        <v>129</v>
      </c>
      <c r="D322" s="3" t="s">
        <v>78</v>
      </c>
      <c r="E322" s="1" t="s">
        <v>79</v>
      </c>
      <c r="F322" s="1" t="s">
        <v>41</v>
      </c>
      <c r="G322" s="1" t="s">
        <v>42</v>
      </c>
      <c r="H322" s="1" t="s">
        <v>130</v>
      </c>
      <c r="I322" s="1" t="s">
        <v>131</v>
      </c>
      <c r="J322" s="1"/>
      <c r="K322" s="1" t="s">
        <v>132</v>
      </c>
      <c r="L322" s="1" t="s">
        <v>133</v>
      </c>
      <c r="M322" s="1" t="s">
        <v>31</v>
      </c>
      <c r="N322" s="1"/>
      <c r="O322" s="1" t="s">
        <v>134</v>
      </c>
      <c r="P322" s="1" t="s">
        <v>135</v>
      </c>
      <c r="Q322" s="1"/>
      <c r="R322" s="1" t="s">
        <v>136</v>
      </c>
      <c r="S322" s="1"/>
      <c r="T322" s="1" t="s">
        <v>137</v>
      </c>
      <c r="U322" s="1" t="s">
        <v>138</v>
      </c>
    </row>
    <row r="323" ht="14.25" customHeight="1">
      <c r="A323" s="1" t="s">
        <v>2383</v>
      </c>
      <c r="B323" s="1" t="s">
        <v>2815</v>
      </c>
      <c r="C323" s="1" t="s">
        <v>2816</v>
      </c>
      <c r="D323" s="3" t="s">
        <v>1478</v>
      </c>
      <c r="E323" s="1" t="s">
        <v>54</v>
      </c>
      <c r="F323" s="1" t="s">
        <v>2386</v>
      </c>
      <c r="G323" s="1" t="s">
        <v>42</v>
      </c>
      <c r="H323" s="1" t="s">
        <v>475</v>
      </c>
      <c r="I323" s="1" t="s">
        <v>2817</v>
      </c>
      <c r="J323" s="1"/>
      <c r="K323" s="1" t="s">
        <v>2818</v>
      </c>
      <c r="L323" s="1" t="s">
        <v>2819</v>
      </c>
      <c r="M323" s="1" t="s">
        <v>59</v>
      </c>
      <c r="N323" s="1" t="s">
        <v>2820</v>
      </c>
      <c r="O323" s="1"/>
      <c r="P323" s="1"/>
      <c r="Q323" s="1"/>
      <c r="R323" s="1" t="s">
        <v>346</v>
      </c>
      <c r="S323" s="1"/>
      <c r="T323" s="1" t="s">
        <v>2821</v>
      </c>
      <c r="U323" s="1" t="s">
        <v>2509</v>
      </c>
    </row>
    <row r="324" ht="14.25" customHeight="1">
      <c r="A324" s="1" t="s">
        <v>2383</v>
      </c>
      <c r="B324" s="1" t="s">
        <v>139</v>
      </c>
      <c r="C324" s="1" t="s">
        <v>23</v>
      </c>
      <c r="D324" s="1" t="s">
        <v>140</v>
      </c>
      <c r="E324" s="1" t="s">
        <v>117</v>
      </c>
      <c r="F324" s="1" t="s">
        <v>41</v>
      </c>
      <c r="G324" s="1" t="s">
        <v>42</v>
      </c>
      <c r="H324" s="1" t="s">
        <v>141</v>
      </c>
      <c r="I324" s="1" t="s">
        <v>142</v>
      </c>
      <c r="J324" s="1"/>
      <c r="K324" s="1" t="s">
        <v>143</v>
      </c>
      <c r="L324" s="1" t="s">
        <v>144</v>
      </c>
      <c r="M324" s="1" t="s">
        <v>59</v>
      </c>
      <c r="N324" s="1" t="s">
        <v>145</v>
      </c>
      <c r="O324" s="1" t="s">
        <v>146</v>
      </c>
      <c r="P324" s="1" t="s">
        <v>62</v>
      </c>
      <c r="Q324" s="1"/>
      <c r="R324" s="1" t="s">
        <v>147</v>
      </c>
      <c r="S324" s="1"/>
      <c r="T324" s="1" t="s">
        <v>148</v>
      </c>
      <c r="U324" s="1" t="s">
        <v>110</v>
      </c>
    </row>
    <row r="325" ht="14.25" customHeight="1">
      <c r="A325" s="1" t="s">
        <v>2383</v>
      </c>
      <c r="B325" s="1" t="s">
        <v>149</v>
      </c>
      <c r="C325" s="1" t="s">
        <v>150</v>
      </c>
      <c r="D325" s="3"/>
      <c r="E325" s="1"/>
      <c r="F325" s="1" t="s">
        <v>41</v>
      </c>
      <c r="G325" s="1" t="s">
        <v>42</v>
      </c>
      <c r="H325" s="1" t="s">
        <v>141</v>
      </c>
      <c r="I325" s="1" t="s">
        <v>151</v>
      </c>
      <c r="J325" s="1"/>
      <c r="K325" s="1" t="s">
        <v>152</v>
      </c>
      <c r="L325" s="1" t="s">
        <v>153</v>
      </c>
      <c r="M325" s="1" t="s">
        <v>59</v>
      </c>
      <c r="N325" s="1" t="s">
        <v>154</v>
      </c>
      <c r="O325" s="1" t="s">
        <v>155</v>
      </c>
      <c r="P325" s="1" t="s">
        <v>156</v>
      </c>
      <c r="Q325" s="1"/>
      <c r="R325" s="1" t="s">
        <v>157</v>
      </c>
      <c r="S325" s="1"/>
      <c r="T325" s="1" t="s">
        <v>158</v>
      </c>
      <c r="U325" s="1" t="s">
        <v>159</v>
      </c>
    </row>
    <row r="326" ht="14.25" customHeight="1">
      <c r="A326" s="1" t="s">
        <v>2383</v>
      </c>
      <c r="B326" s="1" t="s">
        <v>2822</v>
      </c>
      <c r="C326" s="1" t="s">
        <v>2823</v>
      </c>
      <c r="D326" s="3" t="s">
        <v>2824</v>
      </c>
      <c r="E326" s="1" t="s">
        <v>352</v>
      </c>
      <c r="F326" s="1" t="s">
        <v>2825</v>
      </c>
      <c r="G326" s="1" t="s">
        <v>42</v>
      </c>
      <c r="H326" s="1" t="s">
        <v>163</v>
      </c>
      <c r="I326" s="1" t="s">
        <v>2826</v>
      </c>
      <c r="J326" s="1"/>
      <c r="K326" s="1" t="s">
        <v>2827</v>
      </c>
      <c r="L326" s="1" t="s">
        <v>2828</v>
      </c>
      <c r="M326" s="1" t="s">
        <v>31</v>
      </c>
      <c r="N326" s="1"/>
      <c r="O326" s="1" t="s">
        <v>2829</v>
      </c>
      <c r="P326" s="1" t="s">
        <v>1266</v>
      </c>
      <c r="Q326" s="1"/>
      <c r="R326" s="1" t="s">
        <v>110</v>
      </c>
      <c r="S326" s="1"/>
      <c r="T326" s="1" t="s">
        <v>2830</v>
      </c>
      <c r="U326" s="1" t="s">
        <v>247</v>
      </c>
    </row>
    <row r="327" ht="14.25" customHeight="1">
      <c r="A327" s="1" t="s">
        <v>2383</v>
      </c>
      <c r="B327" s="1" t="s">
        <v>2831</v>
      </c>
      <c r="C327" s="1" t="s">
        <v>2832</v>
      </c>
      <c r="D327" s="3" t="s">
        <v>2114</v>
      </c>
      <c r="E327" s="1" t="s">
        <v>54</v>
      </c>
      <c r="F327" s="1" t="s">
        <v>2398</v>
      </c>
      <c r="G327" s="1" t="s">
        <v>42</v>
      </c>
      <c r="H327" s="1" t="s">
        <v>163</v>
      </c>
      <c r="I327" s="1" t="s">
        <v>2833</v>
      </c>
      <c r="J327" s="1"/>
      <c r="K327" s="1" t="s">
        <v>2834</v>
      </c>
      <c r="L327" s="1" t="s">
        <v>2835</v>
      </c>
      <c r="M327" s="1" t="s">
        <v>31</v>
      </c>
      <c r="N327" s="1"/>
      <c r="O327" s="1" t="s">
        <v>2836</v>
      </c>
      <c r="P327" s="1" t="s">
        <v>124</v>
      </c>
      <c r="Q327" s="1"/>
      <c r="R327" s="1" t="s">
        <v>192</v>
      </c>
      <c r="S327" s="1"/>
      <c r="T327" s="1" t="s">
        <v>2837</v>
      </c>
      <c r="U327" s="1" t="s">
        <v>2404</v>
      </c>
    </row>
    <row r="328" ht="14.25" customHeight="1">
      <c r="A328" s="1" t="s">
        <v>2383</v>
      </c>
      <c r="B328" s="1" t="s">
        <v>160</v>
      </c>
      <c r="C328" s="1" t="s">
        <v>161</v>
      </c>
      <c r="D328" s="3" t="s">
        <v>162</v>
      </c>
      <c r="E328" s="1" t="s">
        <v>54</v>
      </c>
      <c r="F328" s="1" t="s">
        <v>41</v>
      </c>
      <c r="G328" s="1" t="s">
        <v>42</v>
      </c>
      <c r="H328" s="1" t="s">
        <v>163</v>
      </c>
      <c r="I328" s="1" t="s">
        <v>164</v>
      </c>
      <c r="J328" s="1"/>
      <c r="K328" s="1" t="s">
        <v>165</v>
      </c>
      <c r="L328" s="1" t="s">
        <v>166</v>
      </c>
      <c r="M328" s="1" t="s">
        <v>31</v>
      </c>
      <c r="N328" s="1"/>
      <c r="O328" s="1" t="s">
        <v>167</v>
      </c>
      <c r="P328" s="1" t="s">
        <v>125</v>
      </c>
      <c r="Q328" s="1"/>
      <c r="R328" s="1" t="s">
        <v>168</v>
      </c>
      <c r="S328" s="1"/>
      <c r="T328" s="1" t="s">
        <v>169</v>
      </c>
      <c r="U328" s="1" t="s">
        <v>170</v>
      </c>
    </row>
    <row r="329" ht="14.25" customHeight="1">
      <c r="A329" s="1" t="s">
        <v>2383</v>
      </c>
      <c r="B329" s="1" t="s">
        <v>171</v>
      </c>
      <c r="C329" s="1" t="s">
        <v>172</v>
      </c>
      <c r="D329" s="3" t="s">
        <v>173</v>
      </c>
      <c r="E329" s="1" t="s">
        <v>174</v>
      </c>
      <c r="F329" s="1" t="s">
        <v>41</v>
      </c>
      <c r="G329" s="1" t="s">
        <v>42</v>
      </c>
      <c r="H329" s="1" t="s">
        <v>163</v>
      </c>
      <c r="I329" s="1" t="s">
        <v>175</v>
      </c>
      <c r="J329" s="1" t="s">
        <v>176</v>
      </c>
      <c r="K329" s="1" t="s">
        <v>177</v>
      </c>
      <c r="L329" s="1" t="s">
        <v>178</v>
      </c>
      <c r="M329" s="1" t="s">
        <v>59</v>
      </c>
      <c r="N329" s="1" t="s">
        <v>179</v>
      </c>
      <c r="O329" s="1"/>
      <c r="P329" s="1"/>
      <c r="Q329" s="1"/>
      <c r="R329" s="1" t="s">
        <v>180</v>
      </c>
      <c r="S329" s="1" t="s">
        <v>174</v>
      </c>
      <c r="T329" s="1" t="s">
        <v>181</v>
      </c>
      <c r="U329" s="1" t="s">
        <v>182</v>
      </c>
    </row>
    <row r="330" ht="14.25" customHeight="1">
      <c r="A330" s="1" t="s">
        <v>2383</v>
      </c>
      <c r="B330" s="1" t="s">
        <v>2838</v>
      </c>
      <c r="C330" s="1" t="s">
        <v>2839</v>
      </c>
      <c r="D330" s="3" t="s">
        <v>2840</v>
      </c>
      <c r="E330" s="1" t="s">
        <v>429</v>
      </c>
      <c r="F330" s="1" t="s">
        <v>2386</v>
      </c>
      <c r="G330" s="1" t="s">
        <v>232</v>
      </c>
      <c r="H330" s="1" t="s">
        <v>163</v>
      </c>
      <c r="I330" s="1" t="s">
        <v>2841</v>
      </c>
      <c r="J330" s="1"/>
      <c r="K330" s="1" t="s">
        <v>2842</v>
      </c>
      <c r="L330" s="1" t="s">
        <v>2843</v>
      </c>
      <c r="M330" s="1" t="s">
        <v>31</v>
      </c>
      <c r="N330" s="1"/>
      <c r="O330" s="1" t="s">
        <v>2844</v>
      </c>
      <c r="P330" s="1" t="s">
        <v>182</v>
      </c>
      <c r="Q330" s="1"/>
      <c r="R330" s="1" t="s">
        <v>192</v>
      </c>
      <c r="S330" s="1"/>
      <c r="T330" s="1" t="s">
        <v>2845</v>
      </c>
      <c r="U330" s="1" t="s">
        <v>2846</v>
      </c>
    </row>
    <row r="331" ht="14.25" customHeight="1">
      <c r="A331" s="1" t="s">
        <v>2383</v>
      </c>
      <c r="B331" s="1" t="s">
        <v>2847</v>
      </c>
      <c r="C331" s="1" t="s">
        <v>2848</v>
      </c>
      <c r="D331" s="3" t="s">
        <v>1751</v>
      </c>
      <c r="E331" s="1" t="s">
        <v>384</v>
      </c>
      <c r="F331" s="1" t="s">
        <v>118</v>
      </c>
      <c r="G331" s="1" t="s">
        <v>42</v>
      </c>
      <c r="H331" s="1" t="s">
        <v>731</v>
      </c>
      <c r="I331" s="1" t="s">
        <v>1032</v>
      </c>
      <c r="J331" s="1" t="s">
        <v>2849</v>
      </c>
      <c r="K331" s="1" t="s">
        <v>2850</v>
      </c>
      <c r="L331" s="1" t="s">
        <v>2851</v>
      </c>
      <c r="M331" s="1" t="s">
        <v>59</v>
      </c>
      <c r="N331" s="1" t="s">
        <v>2852</v>
      </c>
      <c r="O331" s="1"/>
      <c r="P331" s="1"/>
      <c r="Q331" s="1"/>
      <c r="R331" s="1" t="s">
        <v>192</v>
      </c>
      <c r="S331" s="1" t="s">
        <v>384</v>
      </c>
      <c r="T331" s="1" t="s">
        <v>2853</v>
      </c>
      <c r="U331" s="1" t="s">
        <v>1780</v>
      </c>
    </row>
    <row r="332" ht="14.25" customHeight="1">
      <c r="A332" s="1" t="s">
        <v>2383</v>
      </c>
      <c r="B332" s="1" t="s">
        <v>2854</v>
      </c>
      <c r="C332" s="1" t="s">
        <v>2855</v>
      </c>
      <c r="D332" s="3" t="s">
        <v>2856</v>
      </c>
      <c r="E332" s="1" t="s">
        <v>637</v>
      </c>
      <c r="F332" s="1" t="s">
        <v>2417</v>
      </c>
      <c r="G332" s="1" t="s">
        <v>42</v>
      </c>
      <c r="H332" s="1" t="s">
        <v>731</v>
      </c>
      <c r="I332" s="1" t="s">
        <v>2857</v>
      </c>
      <c r="J332" s="1" t="s">
        <v>2858</v>
      </c>
      <c r="K332" s="1" t="s">
        <v>2859</v>
      </c>
      <c r="L332" s="1" t="s">
        <v>2860</v>
      </c>
      <c r="M332" s="1" t="s">
        <v>59</v>
      </c>
      <c r="N332" s="1" t="s">
        <v>2861</v>
      </c>
      <c r="O332" s="1"/>
      <c r="P332" s="1"/>
      <c r="Q332" s="1"/>
      <c r="R332" s="1" t="s">
        <v>475</v>
      </c>
      <c r="S332" s="1" t="s">
        <v>637</v>
      </c>
      <c r="T332" s="1" t="s">
        <v>2862</v>
      </c>
      <c r="U332" s="1" t="s">
        <v>2863</v>
      </c>
    </row>
    <row r="333" ht="14.25" customHeight="1">
      <c r="A333" s="1" t="s">
        <v>2383</v>
      </c>
      <c r="B333" s="1" t="s">
        <v>2864</v>
      </c>
      <c r="C333" s="1" t="s">
        <v>2865</v>
      </c>
      <c r="D333" s="3" t="s">
        <v>1197</v>
      </c>
      <c r="E333" s="1" t="s">
        <v>79</v>
      </c>
      <c r="F333" s="1" t="s">
        <v>2386</v>
      </c>
      <c r="G333" s="1" t="s">
        <v>2866</v>
      </c>
      <c r="H333" s="1" t="s">
        <v>84</v>
      </c>
      <c r="I333" s="1" t="s">
        <v>2867</v>
      </c>
      <c r="J333" s="1" t="s">
        <v>2868</v>
      </c>
      <c r="K333" s="1" t="s">
        <v>2869</v>
      </c>
      <c r="L333" s="1" t="s">
        <v>2870</v>
      </c>
      <c r="M333" s="1" t="s">
        <v>59</v>
      </c>
      <c r="N333" s="1" t="s">
        <v>2871</v>
      </c>
      <c r="O333" s="4" t="s">
        <v>2872</v>
      </c>
      <c r="P333" s="1" t="s">
        <v>110</v>
      </c>
      <c r="Q333" s="1"/>
      <c r="R333" s="1" t="s">
        <v>1293</v>
      </c>
      <c r="S333" s="1" t="s">
        <v>40</v>
      </c>
      <c r="T333" s="1" t="s">
        <v>2873</v>
      </c>
      <c r="U333" s="1" t="s">
        <v>505</v>
      </c>
    </row>
    <row r="334" ht="14.25" customHeight="1">
      <c r="A334" s="1" t="s">
        <v>2383</v>
      </c>
      <c r="B334" s="1" t="s">
        <v>183</v>
      </c>
      <c r="C334" s="1" t="s">
        <v>184</v>
      </c>
      <c r="D334" s="3" t="s">
        <v>185</v>
      </c>
      <c r="E334" s="1" t="s">
        <v>117</v>
      </c>
      <c r="F334" s="1" t="s">
        <v>118</v>
      </c>
      <c r="G334" s="1" t="s">
        <v>42</v>
      </c>
      <c r="H334" s="1" t="s">
        <v>84</v>
      </c>
      <c r="I334" s="1" t="s">
        <v>186</v>
      </c>
      <c r="J334" s="1"/>
      <c r="K334" s="1" t="s">
        <v>187</v>
      </c>
      <c r="L334" s="1" t="s">
        <v>188</v>
      </c>
      <c r="M334" s="1" t="s">
        <v>31</v>
      </c>
      <c r="N334" s="1"/>
      <c r="O334" s="1" t="s">
        <v>189</v>
      </c>
      <c r="P334" s="1" t="s">
        <v>190</v>
      </c>
      <c r="Q334" s="1"/>
      <c r="R334" s="1" t="s">
        <v>191</v>
      </c>
      <c r="S334" s="1"/>
      <c r="T334" s="1" t="s">
        <v>192</v>
      </c>
      <c r="U334" s="1" t="s">
        <v>192</v>
      </c>
    </row>
    <row r="335" ht="14.25" customHeight="1">
      <c r="A335" s="1" t="s">
        <v>2383</v>
      </c>
      <c r="B335" s="1" t="s">
        <v>2874</v>
      </c>
      <c r="C335" s="1" t="s">
        <v>2875</v>
      </c>
      <c r="D335" s="3" t="s">
        <v>2876</v>
      </c>
      <c r="E335" s="1" t="s">
        <v>117</v>
      </c>
      <c r="F335" s="1" t="s">
        <v>2398</v>
      </c>
      <c r="G335" s="1" t="s">
        <v>1801</v>
      </c>
      <c r="H335" s="1" t="s">
        <v>196</v>
      </c>
      <c r="I335" s="1" t="s">
        <v>2877</v>
      </c>
      <c r="J335" s="1"/>
      <c r="K335" s="1" t="s">
        <v>2878</v>
      </c>
      <c r="L335" s="1" t="s">
        <v>2879</v>
      </c>
      <c r="M335" s="1" t="s">
        <v>31</v>
      </c>
      <c r="N335" s="1"/>
      <c r="O335" s="1" t="s">
        <v>1867</v>
      </c>
      <c r="P335" s="1"/>
      <c r="Q335" s="1"/>
      <c r="R335" s="1" t="s">
        <v>1336</v>
      </c>
      <c r="S335" s="1"/>
      <c r="T335" s="1" t="s">
        <v>2880</v>
      </c>
      <c r="U335" s="1" t="s">
        <v>2881</v>
      </c>
    </row>
    <row r="336" ht="14.25" customHeight="1">
      <c r="A336" s="1" t="s">
        <v>2383</v>
      </c>
      <c r="B336" s="1" t="s">
        <v>2882</v>
      </c>
      <c r="C336" s="1" t="s">
        <v>2883</v>
      </c>
      <c r="D336" s="3" t="s">
        <v>1197</v>
      </c>
      <c r="E336" s="1" t="s">
        <v>79</v>
      </c>
      <c r="F336" s="1" t="s">
        <v>2386</v>
      </c>
      <c r="G336" s="1" t="s">
        <v>42</v>
      </c>
      <c r="H336" s="1" t="s">
        <v>196</v>
      </c>
      <c r="I336" s="1" t="s">
        <v>747</v>
      </c>
      <c r="J336" s="1"/>
      <c r="K336" s="1" t="s">
        <v>2884</v>
      </c>
      <c r="L336" s="1" t="s">
        <v>2885</v>
      </c>
      <c r="M336" s="1" t="s">
        <v>31</v>
      </c>
      <c r="N336" s="1"/>
      <c r="O336" s="1" t="s">
        <v>2886</v>
      </c>
      <c r="P336" s="1" t="s">
        <v>110</v>
      </c>
      <c r="Q336" s="1"/>
      <c r="R336" s="1" t="s">
        <v>1455</v>
      </c>
      <c r="S336" s="1"/>
      <c r="T336" s="1" t="s">
        <v>2837</v>
      </c>
      <c r="U336" s="1" t="s">
        <v>2404</v>
      </c>
    </row>
    <row r="337" ht="14.25" customHeight="1">
      <c r="A337" s="1" t="s">
        <v>2383</v>
      </c>
      <c r="B337" s="1" t="s">
        <v>2887</v>
      </c>
      <c r="C337" s="1" t="s">
        <v>2888</v>
      </c>
      <c r="D337" s="3" t="s">
        <v>2889</v>
      </c>
      <c r="E337" s="1" t="s">
        <v>429</v>
      </c>
      <c r="F337" s="1" t="s">
        <v>2386</v>
      </c>
      <c r="G337" s="1" t="s">
        <v>42</v>
      </c>
      <c r="H337" s="1" t="s">
        <v>196</v>
      </c>
      <c r="I337" s="1" t="s">
        <v>2890</v>
      </c>
      <c r="J337" s="1"/>
      <c r="K337" s="1" t="s">
        <v>2891</v>
      </c>
      <c r="L337" s="1" t="s">
        <v>2892</v>
      </c>
      <c r="M337" s="1" t="s">
        <v>31</v>
      </c>
      <c r="N337" s="1"/>
      <c r="O337" s="1" t="s">
        <v>2893</v>
      </c>
      <c r="P337" s="1" t="s">
        <v>228</v>
      </c>
      <c r="Q337" s="1"/>
      <c r="R337" s="1" t="s">
        <v>73</v>
      </c>
      <c r="S337" s="1"/>
      <c r="T337" s="1" t="s">
        <v>2894</v>
      </c>
      <c r="U337" s="1" t="s">
        <v>2895</v>
      </c>
    </row>
    <row r="338" ht="14.25" customHeight="1">
      <c r="A338" s="1" t="s">
        <v>2383</v>
      </c>
      <c r="B338" s="1" t="s">
        <v>193</v>
      </c>
      <c r="C338" s="1" t="s">
        <v>194</v>
      </c>
      <c r="D338" s="3" t="s">
        <v>195</v>
      </c>
      <c r="E338" s="1" t="s">
        <v>91</v>
      </c>
      <c r="F338" s="1" t="s">
        <v>41</v>
      </c>
      <c r="G338" s="1" t="s">
        <v>42</v>
      </c>
      <c r="H338" s="1" t="s">
        <v>196</v>
      </c>
      <c r="I338" s="1" t="s">
        <v>197</v>
      </c>
      <c r="J338" s="1"/>
      <c r="K338" s="1" t="s">
        <v>198</v>
      </c>
      <c r="L338" s="1" t="s">
        <v>199</v>
      </c>
      <c r="M338" s="1" t="s">
        <v>59</v>
      </c>
      <c r="N338" s="1" t="s">
        <v>200</v>
      </c>
      <c r="O338" s="1" t="s">
        <v>201</v>
      </c>
      <c r="P338" s="1" t="s">
        <v>202</v>
      </c>
      <c r="Q338" s="1"/>
      <c r="R338" s="1" t="s">
        <v>203</v>
      </c>
      <c r="S338" s="1" t="s">
        <v>91</v>
      </c>
      <c r="T338" s="1" t="s">
        <v>204</v>
      </c>
      <c r="U338" s="1" t="s">
        <v>205</v>
      </c>
    </row>
    <row r="339" ht="14.25" customHeight="1">
      <c r="A339" s="1" t="s">
        <v>2383</v>
      </c>
      <c r="B339" s="1" t="s">
        <v>2896</v>
      </c>
      <c r="C339" s="1" t="s">
        <v>1696</v>
      </c>
      <c r="D339" s="3" t="s">
        <v>116</v>
      </c>
      <c r="E339" s="1" t="s">
        <v>117</v>
      </c>
      <c r="F339" s="1" t="s">
        <v>2386</v>
      </c>
      <c r="G339" s="1" t="s">
        <v>42</v>
      </c>
      <c r="H339" s="1" t="s">
        <v>196</v>
      </c>
      <c r="I339" s="1" t="s">
        <v>2674</v>
      </c>
      <c r="J339" s="1"/>
      <c r="K339" s="1" t="s">
        <v>2897</v>
      </c>
      <c r="L339" s="1" t="s">
        <v>2898</v>
      </c>
      <c r="M339" s="1" t="s">
        <v>59</v>
      </c>
      <c r="N339" s="1" t="s">
        <v>2899</v>
      </c>
      <c r="O339" s="1" t="s">
        <v>2900</v>
      </c>
      <c r="P339" s="1" t="s">
        <v>110</v>
      </c>
      <c r="Q339" s="1"/>
      <c r="R339" s="1" t="s">
        <v>863</v>
      </c>
      <c r="S339" s="1"/>
      <c r="T339" s="1" t="s">
        <v>2901</v>
      </c>
      <c r="U339" s="1" t="s">
        <v>2902</v>
      </c>
    </row>
    <row r="340" ht="14.25" customHeight="1">
      <c r="A340" s="1" t="s">
        <v>2383</v>
      </c>
      <c r="B340" s="1" t="s">
        <v>2903</v>
      </c>
      <c r="C340" s="1" t="s">
        <v>2904</v>
      </c>
      <c r="D340" s="3" t="s">
        <v>2905</v>
      </c>
      <c r="E340" s="1" t="s">
        <v>429</v>
      </c>
      <c r="F340" s="1" t="s">
        <v>2386</v>
      </c>
      <c r="G340" s="1" t="s">
        <v>42</v>
      </c>
      <c r="H340" s="1" t="s">
        <v>196</v>
      </c>
      <c r="I340" s="1" t="s">
        <v>63</v>
      </c>
      <c r="J340" s="1"/>
      <c r="K340" s="1" t="s">
        <v>2906</v>
      </c>
      <c r="L340" s="1" t="s">
        <v>2907</v>
      </c>
      <c r="M340" s="1" t="s">
        <v>59</v>
      </c>
      <c r="N340" s="1" t="s">
        <v>2908</v>
      </c>
      <c r="O340" s="1" t="s">
        <v>209</v>
      </c>
      <c r="P340" s="1"/>
      <c r="Q340" s="1"/>
      <c r="R340" s="1" t="s">
        <v>136</v>
      </c>
      <c r="S340" s="1"/>
      <c r="T340" s="1" t="s">
        <v>2909</v>
      </c>
      <c r="U340" s="1" t="s">
        <v>1177</v>
      </c>
    </row>
    <row r="341" ht="14.25" customHeight="1">
      <c r="A341" s="1" t="s">
        <v>2383</v>
      </c>
      <c r="B341" s="1" t="s">
        <v>2910</v>
      </c>
      <c r="C341" s="1" t="s">
        <v>2911</v>
      </c>
      <c r="D341" s="3" t="s">
        <v>1367</v>
      </c>
      <c r="E341" s="1" t="s">
        <v>174</v>
      </c>
      <c r="F341" s="1" t="s">
        <v>2398</v>
      </c>
      <c r="G341" s="1" t="s">
        <v>42</v>
      </c>
      <c r="H341" s="1" t="s">
        <v>283</v>
      </c>
      <c r="I341" s="1" t="s">
        <v>2912</v>
      </c>
      <c r="J341" s="1" t="s">
        <v>2913</v>
      </c>
      <c r="K341" s="1" t="s">
        <v>2914</v>
      </c>
      <c r="L341" s="1" t="s">
        <v>2915</v>
      </c>
      <c r="M341" s="1" t="s">
        <v>59</v>
      </c>
      <c r="N341" s="1" t="s">
        <v>2916</v>
      </c>
      <c r="O341" s="1" t="s">
        <v>2917</v>
      </c>
      <c r="P341" s="1" t="s">
        <v>517</v>
      </c>
      <c r="Q341" s="1"/>
      <c r="R341" s="1" t="s">
        <v>1149</v>
      </c>
      <c r="S341" s="1" t="s">
        <v>91</v>
      </c>
      <c r="T341" s="1" t="s">
        <v>2918</v>
      </c>
      <c r="U341" s="1" t="s">
        <v>1889</v>
      </c>
    </row>
    <row r="342" ht="14.25" customHeight="1">
      <c r="A342" s="1" t="s">
        <v>2383</v>
      </c>
      <c r="B342" s="1" t="s">
        <v>2919</v>
      </c>
      <c r="C342" s="1" t="s">
        <v>2920</v>
      </c>
      <c r="D342" s="3" t="s">
        <v>2921</v>
      </c>
      <c r="E342" s="1" t="s">
        <v>174</v>
      </c>
      <c r="F342" s="1" t="s">
        <v>2398</v>
      </c>
      <c r="G342" s="1" t="s">
        <v>1801</v>
      </c>
      <c r="H342" s="1" t="s">
        <v>283</v>
      </c>
      <c r="I342" s="1" t="s">
        <v>2922</v>
      </c>
      <c r="J342" s="1" t="s">
        <v>2923</v>
      </c>
      <c r="K342" s="1" t="s">
        <v>2924</v>
      </c>
      <c r="L342" s="1" t="s">
        <v>2925</v>
      </c>
      <c r="M342" s="1" t="s">
        <v>59</v>
      </c>
      <c r="N342" s="1" t="s">
        <v>2926</v>
      </c>
      <c r="O342" s="1" t="s">
        <v>2927</v>
      </c>
      <c r="P342" s="1" t="s">
        <v>1266</v>
      </c>
      <c r="Q342" s="1"/>
      <c r="R342" s="1" t="s">
        <v>125</v>
      </c>
      <c r="S342" s="1" t="s">
        <v>91</v>
      </c>
      <c r="T342" s="1" t="s">
        <v>2928</v>
      </c>
      <c r="U342" s="1" t="s">
        <v>405</v>
      </c>
    </row>
    <row r="343" ht="14.25" customHeight="1">
      <c r="A343" s="1" t="s">
        <v>2383</v>
      </c>
      <c r="B343" s="1" t="s">
        <v>2929</v>
      </c>
      <c r="C343" s="1" t="s">
        <v>2930</v>
      </c>
      <c r="D343" s="3" t="s">
        <v>2931</v>
      </c>
      <c r="E343" s="1" t="s">
        <v>54</v>
      </c>
      <c r="F343" s="1"/>
      <c r="G343" s="1" t="s">
        <v>42</v>
      </c>
      <c r="H343" s="1" t="s">
        <v>283</v>
      </c>
      <c r="I343" s="1" t="s">
        <v>2932</v>
      </c>
      <c r="J343" s="1"/>
      <c r="K343" s="1" t="s">
        <v>2933</v>
      </c>
      <c r="L343" s="1"/>
      <c r="M343" s="1" t="s">
        <v>31</v>
      </c>
      <c r="N343" s="1"/>
      <c r="O343" s="1"/>
      <c r="P343" s="1"/>
      <c r="Q343" s="1"/>
      <c r="R343" s="1" t="s">
        <v>228</v>
      </c>
      <c r="S343" s="1"/>
      <c r="T343" s="1" t="s">
        <v>2934</v>
      </c>
      <c r="U343" s="1" t="s">
        <v>228</v>
      </c>
    </row>
    <row r="344" ht="14.25" customHeight="1">
      <c r="A344" s="1" t="s">
        <v>2383</v>
      </c>
      <c r="B344" s="1" t="s">
        <v>2935</v>
      </c>
      <c r="C344" s="1" t="s">
        <v>2936</v>
      </c>
      <c r="D344" s="3" t="s">
        <v>2937</v>
      </c>
      <c r="E344" s="1" t="s">
        <v>429</v>
      </c>
      <c r="F344" s="1" t="s">
        <v>2386</v>
      </c>
      <c r="G344" s="1" t="s">
        <v>42</v>
      </c>
      <c r="H344" s="1" t="s">
        <v>283</v>
      </c>
      <c r="I344" s="1" t="s">
        <v>881</v>
      </c>
      <c r="J344" s="1"/>
      <c r="K344" s="1" t="s">
        <v>2938</v>
      </c>
      <c r="L344" s="1"/>
      <c r="M344" s="1" t="s">
        <v>31</v>
      </c>
      <c r="N344" s="1"/>
      <c r="O344" s="4" t="s">
        <v>2939</v>
      </c>
      <c r="P344" s="1" t="s">
        <v>156</v>
      </c>
      <c r="Q344" s="1"/>
      <c r="R344" s="1" t="s">
        <v>298</v>
      </c>
      <c r="S344" s="1"/>
      <c r="T344" s="1" t="s">
        <v>2940</v>
      </c>
      <c r="U344" s="1" t="s">
        <v>934</v>
      </c>
    </row>
    <row r="345" ht="14.25" customHeight="1">
      <c r="A345" s="1" t="s">
        <v>2383</v>
      </c>
      <c r="B345" s="1" t="s">
        <v>2941</v>
      </c>
      <c r="C345" s="1" t="s">
        <v>2942</v>
      </c>
      <c r="D345" s="3" t="s">
        <v>2943</v>
      </c>
      <c r="E345" s="1" t="s">
        <v>384</v>
      </c>
      <c r="F345" s="1" t="s">
        <v>2386</v>
      </c>
      <c r="G345" s="1" t="s">
        <v>42</v>
      </c>
      <c r="H345" s="1" t="s">
        <v>258</v>
      </c>
      <c r="I345" s="1" t="s">
        <v>391</v>
      </c>
      <c r="J345" s="1" t="s">
        <v>2944</v>
      </c>
      <c r="K345" s="1" t="s">
        <v>2945</v>
      </c>
      <c r="L345" s="1" t="s">
        <v>2946</v>
      </c>
      <c r="M345" s="1" t="s">
        <v>59</v>
      </c>
      <c r="N345" s="1" t="s">
        <v>2947</v>
      </c>
      <c r="O345" s="1" t="s">
        <v>2948</v>
      </c>
      <c r="P345" s="1" t="s">
        <v>73</v>
      </c>
      <c r="Q345" s="1"/>
      <c r="R345" s="1" t="s">
        <v>84</v>
      </c>
      <c r="S345" s="1" t="s">
        <v>384</v>
      </c>
      <c r="T345" s="1" t="s">
        <v>2949</v>
      </c>
      <c r="U345" s="1" t="s">
        <v>2950</v>
      </c>
    </row>
    <row r="346" ht="14.25" customHeight="1">
      <c r="A346" s="1" t="s">
        <v>2383</v>
      </c>
      <c r="B346" s="1" t="s">
        <v>2951</v>
      </c>
      <c r="C346" s="1" t="s">
        <v>2952</v>
      </c>
      <c r="D346" s="3" t="s">
        <v>2953</v>
      </c>
      <c r="E346" s="1" t="s">
        <v>25</v>
      </c>
      <c r="F346" s="1" t="s">
        <v>2398</v>
      </c>
      <c r="G346" s="1" t="s">
        <v>42</v>
      </c>
      <c r="H346" s="1" t="s">
        <v>258</v>
      </c>
      <c r="I346" s="1" t="s">
        <v>2954</v>
      </c>
      <c r="J346" s="1"/>
      <c r="K346" s="1" t="s">
        <v>2955</v>
      </c>
      <c r="L346" s="1" t="s">
        <v>2956</v>
      </c>
      <c r="M346" s="1" t="s">
        <v>31</v>
      </c>
      <c r="N346" s="1"/>
      <c r="O346" s="1" t="s">
        <v>2957</v>
      </c>
      <c r="P346" s="1" t="s">
        <v>2958</v>
      </c>
      <c r="Q346" s="1"/>
      <c r="R346" s="1" t="s">
        <v>125</v>
      </c>
      <c r="S346" s="1"/>
      <c r="T346" s="1" t="s">
        <v>2959</v>
      </c>
      <c r="U346" s="1" t="s">
        <v>435</v>
      </c>
    </row>
    <row r="347" ht="14.25" customHeight="1">
      <c r="A347" s="1" t="s">
        <v>2383</v>
      </c>
      <c r="B347" s="1" t="s">
        <v>206</v>
      </c>
      <c r="C347" s="1" t="s">
        <v>207</v>
      </c>
      <c r="D347" s="3" t="s">
        <v>208</v>
      </c>
      <c r="E347" s="1" t="s">
        <v>79</v>
      </c>
      <c r="F347" s="1" t="s">
        <v>41</v>
      </c>
      <c r="G347" s="1" t="s">
        <v>42</v>
      </c>
      <c r="H347" s="1" t="s">
        <v>209</v>
      </c>
      <c r="I347" s="1" t="s">
        <v>210</v>
      </c>
      <c r="J347" s="1"/>
      <c r="K347" s="1" t="s">
        <v>211</v>
      </c>
      <c r="L347" s="1" t="s">
        <v>212</v>
      </c>
      <c r="M347" s="1" t="s">
        <v>59</v>
      </c>
      <c r="N347" s="1" t="s">
        <v>213</v>
      </c>
      <c r="O347" s="1" t="s">
        <v>214</v>
      </c>
      <c r="P347" s="1" t="s">
        <v>215</v>
      </c>
      <c r="Q347" s="1"/>
      <c r="R347" s="1" t="s">
        <v>216</v>
      </c>
      <c r="S347" s="1"/>
      <c r="T347" s="1" t="s">
        <v>217</v>
      </c>
      <c r="U347" s="1" t="s">
        <v>215</v>
      </c>
    </row>
    <row r="348" ht="14.25" customHeight="1">
      <c r="A348" s="1" t="s">
        <v>2383</v>
      </c>
      <c r="B348" s="1" t="s">
        <v>218</v>
      </c>
      <c r="C348" s="1" t="s">
        <v>219</v>
      </c>
      <c r="D348" s="1" t="s">
        <v>220</v>
      </c>
      <c r="E348" s="1" t="s">
        <v>91</v>
      </c>
      <c r="F348" s="1" t="s">
        <v>26</v>
      </c>
      <c r="G348" s="1" t="s">
        <v>27</v>
      </c>
      <c r="H348" s="1" t="s">
        <v>209</v>
      </c>
      <c r="I348" s="1" t="s">
        <v>221</v>
      </c>
      <c r="J348" s="1" t="s">
        <v>222</v>
      </c>
      <c r="K348" s="1" t="s">
        <v>223</v>
      </c>
      <c r="L348" s="1" t="s">
        <v>224</v>
      </c>
      <c r="M348" s="1" t="s">
        <v>59</v>
      </c>
      <c r="N348" s="1" t="s">
        <v>225</v>
      </c>
      <c r="O348" s="1"/>
      <c r="P348" s="1"/>
      <c r="Q348" s="1"/>
      <c r="R348" s="1" t="s">
        <v>226</v>
      </c>
      <c r="S348" s="1" t="s">
        <v>91</v>
      </c>
      <c r="T348" s="1" t="s">
        <v>227</v>
      </c>
      <c r="U348" s="1" t="s">
        <v>228</v>
      </c>
    </row>
    <row r="349" ht="14.25" customHeight="1">
      <c r="A349" s="1" t="s">
        <v>2383</v>
      </c>
      <c r="B349" s="1" t="s">
        <v>2960</v>
      </c>
      <c r="C349" s="1" t="s">
        <v>2961</v>
      </c>
      <c r="D349" s="3"/>
      <c r="E349" s="1"/>
      <c r="F349" s="1" t="s">
        <v>2386</v>
      </c>
      <c r="G349" s="1" t="s">
        <v>42</v>
      </c>
      <c r="H349" s="1" t="s">
        <v>209</v>
      </c>
      <c r="I349" s="1" t="s">
        <v>1023</v>
      </c>
      <c r="J349" s="1"/>
      <c r="K349" s="1" t="s">
        <v>2962</v>
      </c>
      <c r="L349" s="1"/>
      <c r="M349" s="1" t="s">
        <v>31</v>
      </c>
      <c r="N349" s="1"/>
      <c r="O349" s="1" t="s">
        <v>2963</v>
      </c>
      <c r="P349" s="1" t="s">
        <v>369</v>
      </c>
      <c r="Q349" s="1"/>
      <c r="R349" s="1" t="s">
        <v>157</v>
      </c>
      <c r="S349" s="1"/>
      <c r="T349" s="1" t="s">
        <v>2964</v>
      </c>
      <c r="U349" s="1" t="s">
        <v>110</v>
      </c>
    </row>
    <row r="350" ht="14.25" customHeight="1">
      <c r="A350" s="1" t="s">
        <v>2383</v>
      </c>
      <c r="B350" s="1" t="s">
        <v>2965</v>
      </c>
      <c r="C350" s="1" t="s">
        <v>2966</v>
      </c>
      <c r="D350" s="1"/>
      <c r="E350" s="1"/>
      <c r="F350" s="1" t="s">
        <v>2386</v>
      </c>
      <c r="G350" s="1" t="s">
        <v>42</v>
      </c>
      <c r="H350" s="1" t="s">
        <v>209</v>
      </c>
      <c r="I350" s="1" t="s">
        <v>48</v>
      </c>
      <c r="J350" s="1"/>
      <c r="K350" s="1" t="s">
        <v>2967</v>
      </c>
      <c r="L350" s="1"/>
      <c r="M350" s="1" t="s">
        <v>31</v>
      </c>
      <c r="N350" s="1"/>
      <c r="O350" s="1" t="s">
        <v>2968</v>
      </c>
      <c r="P350" s="1" t="s">
        <v>369</v>
      </c>
      <c r="Q350" s="1"/>
      <c r="R350" s="1" t="s">
        <v>1697</v>
      </c>
      <c r="S350" s="1"/>
      <c r="T350" s="1" t="s">
        <v>2969</v>
      </c>
      <c r="U350" s="1" t="s">
        <v>2970</v>
      </c>
    </row>
    <row r="351" ht="14.25" customHeight="1">
      <c r="A351" s="1" t="s">
        <v>2383</v>
      </c>
      <c r="B351" s="1" t="s">
        <v>229</v>
      </c>
      <c r="C351" s="1" t="s">
        <v>230</v>
      </c>
      <c r="D351" s="3" t="s">
        <v>231</v>
      </c>
      <c r="E351" s="1" t="s">
        <v>40</v>
      </c>
      <c r="F351" s="1" t="s">
        <v>41</v>
      </c>
      <c r="G351" s="1" t="s">
        <v>232</v>
      </c>
      <c r="H351" s="1" t="s">
        <v>209</v>
      </c>
      <c r="I351" s="1" t="s">
        <v>233</v>
      </c>
      <c r="J351" s="1"/>
      <c r="K351" s="1" t="s">
        <v>234</v>
      </c>
      <c r="L351" s="1" t="s">
        <v>235</v>
      </c>
      <c r="M351" s="1" t="s">
        <v>59</v>
      </c>
      <c r="N351" s="1" t="s">
        <v>236</v>
      </c>
      <c r="O351" s="1" t="s">
        <v>237</v>
      </c>
      <c r="P351" s="1" t="s">
        <v>202</v>
      </c>
      <c r="Q351" s="1"/>
      <c r="R351" s="1" t="s">
        <v>238</v>
      </c>
      <c r="S351" s="1"/>
      <c r="T351" s="1" t="s">
        <v>239</v>
      </c>
      <c r="U351" s="1" t="s">
        <v>84</v>
      </c>
    </row>
    <row r="352" ht="14.25" customHeight="1">
      <c r="A352" s="1" t="s">
        <v>2383</v>
      </c>
      <c r="B352" s="1" t="s">
        <v>2971</v>
      </c>
      <c r="C352" s="1" t="s">
        <v>2972</v>
      </c>
      <c r="D352" s="3"/>
      <c r="E352" s="1"/>
      <c r="F352" s="1" t="s">
        <v>2386</v>
      </c>
      <c r="G352" s="1" t="s">
        <v>42</v>
      </c>
      <c r="H352" s="1" t="s">
        <v>215</v>
      </c>
      <c r="I352" s="1" t="s">
        <v>2954</v>
      </c>
      <c r="J352" s="1" t="s">
        <v>2973</v>
      </c>
      <c r="K352" s="1" t="s">
        <v>2974</v>
      </c>
      <c r="L352" s="1" t="s">
        <v>2975</v>
      </c>
      <c r="M352" s="1" t="s">
        <v>59</v>
      </c>
      <c r="N352" s="1" t="s">
        <v>2976</v>
      </c>
      <c r="O352" s="1" t="s">
        <v>2977</v>
      </c>
      <c r="P352" s="1" t="s">
        <v>110</v>
      </c>
      <c r="Q352" s="1"/>
      <c r="R352" s="1" t="s">
        <v>163</v>
      </c>
      <c r="S352" s="1" t="s">
        <v>174</v>
      </c>
      <c r="T352" s="1" t="s">
        <v>2978</v>
      </c>
      <c r="U352" s="1" t="s">
        <v>1107</v>
      </c>
    </row>
    <row r="353" ht="14.25" customHeight="1">
      <c r="A353" s="1" t="s">
        <v>2383</v>
      </c>
      <c r="B353" s="1" t="s">
        <v>2979</v>
      </c>
      <c r="C353" s="1" t="s">
        <v>2980</v>
      </c>
      <c r="D353" s="1" t="s">
        <v>2981</v>
      </c>
      <c r="E353" s="1" t="s">
        <v>384</v>
      </c>
      <c r="F353" s="1" t="s">
        <v>2386</v>
      </c>
      <c r="G353" s="1" t="s">
        <v>42</v>
      </c>
      <c r="H353" s="1" t="s">
        <v>215</v>
      </c>
      <c r="I353" s="1" t="s">
        <v>540</v>
      </c>
      <c r="J353" s="1" t="s">
        <v>2982</v>
      </c>
      <c r="K353" s="1" t="s">
        <v>2983</v>
      </c>
      <c r="L353" s="1" t="s">
        <v>2984</v>
      </c>
      <c r="M353" s="1" t="s">
        <v>59</v>
      </c>
      <c r="N353" s="1" t="s">
        <v>2985</v>
      </c>
      <c r="O353" s="1" t="s">
        <v>2986</v>
      </c>
      <c r="P353" s="1" t="s">
        <v>135</v>
      </c>
      <c r="Q353" s="1"/>
      <c r="R353" s="1" t="s">
        <v>2987</v>
      </c>
      <c r="S353" s="1" t="s">
        <v>384</v>
      </c>
      <c r="T353" s="1" t="s">
        <v>2988</v>
      </c>
      <c r="U353" s="1" t="s">
        <v>2137</v>
      </c>
    </row>
    <row r="354" ht="14.25" customHeight="1">
      <c r="A354" s="1" t="s">
        <v>2383</v>
      </c>
      <c r="B354" s="1" t="s">
        <v>2989</v>
      </c>
      <c r="C354" s="1" t="s">
        <v>2990</v>
      </c>
      <c r="D354" s="3" t="s">
        <v>2530</v>
      </c>
      <c r="E354" s="1" t="s">
        <v>99</v>
      </c>
      <c r="F354" s="1" t="s">
        <v>2386</v>
      </c>
      <c r="G354" s="1" t="s">
        <v>42</v>
      </c>
      <c r="H354" s="1" t="s">
        <v>215</v>
      </c>
      <c r="I354" s="1" t="s">
        <v>2991</v>
      </c>
      <c r="J354" s="1" t="s">
        <v>2992</v>
      </c>
      <c r="K354" s="1" t="s">
        <v>2993</v>
      </c>
      <c r="L354" s="1" t="s">
        <v>2994</v>
      </c>
      <c r="M354" s="1" t="s">
        <v>31</v>
      </c>
      <c r="N354" s="1"/>
      <c r="O354" s="1" t="s">
        <v>2995</v>
      </c>
      <c r="P354" s="1" t="s">
        <v>247</v>
      </c>
      <c r="Q354" s="1"/>
      <c r="R354" s="1" t="s">
        <v>2599</v>
      </c>
      <c r="S354" s="1"/>
      <c r="T354" s="1" t="s">
        <v>2996</v>
      </c>
      <c r="U354" s="1" t="s">
        <v>2997</v>
      </c>
    </row>
    <row r="355" ht="14.25" customHeight="1">
      <c r="A355" s="1" t="s">
        <v>2383</v>
      </c>
      <c r="B355" s="1" t="s">
        <v>2998</v>
      </c>
      <c r="C355" s="1" t="s">
        <v>2999</v>
      </c>
      <c r="D355" s="3" t="s">
        <v>3000</v>
      </c>
      <c r="E355" s="1" t="s">
        <v>91</v>
      </c>
      <c r="F355" s="1" t="s">
        <v>2417</v>
      </c>
      <c r="G355" s="1" t="s">
        <v>42</v>
      </c>
      <c r="H355" s="1" t="s">
        <v>215</v>
      </c>
      <c r="I355" s="1" t="s">
        <v>357</v>
      </c>
      <c r="J355" s="1" t="s">
        <v>3001</v>
      </c>
      <c r="K355" s="1" t="s">
        <v>3002</v>
      </c>
      <c r="L355" s="1" t="s">
        <v>3003</v>
      </c>
      <c r="M355" s="1" t="s">
        <v>31</v>
      </c>
      <c r="N355" s="1"/>
      <c r="O355" s="1"/>
      <c r="P355" s="1"/>
      <c r="Q355" s="1"/>
      <c r="R355" s="1" t="s">
        <v>817</v>
      </c>
      <c r="S355" s="1"/>
      <c r="T355" s="1" t="s">
        <v>3004</v>
      </c>
      <c r="U355" s="1" t="s">
        <v>3005</v>
      </c>
    </row>
    <row r="356" ht="14.25" customHeight="1">
      <c r="A356" s="1" t="s">
        <v>2383</v>
      </c>
      <c r="B356" s="1" t="s">
        <v>3006</v>
      </c>
      <c r="C356" s="1" t="s">
        <v>3007</v>
      </c>
      <c r="D356" s="3" t="s">
        <v>1638</v>
      </c>
      <c r="E356" s="1" t="s">
        <v>54</v>
      </c>
      <c r="F356" s="1" t="s">
        <v>2386</v>
      </c>
      <c r="G356" s="1" t="s">
        <v>42</v>
      </c>
      <c r="H356" s="1" t="s">
        <v>932</v>
      </c>
      <c r="I356" s="1" t="s">
        <v>3008</v>
      </c>
      <c r="J356" s="1"/>
      <c r="K356" s="1" t="s">
        <v>3009</v>
      </c>
      <c r="L356" s="1" t="s">
        <v>3010</v>
      </c>
      <c r="M356" s="1" t="s">
        <v>31</v>
      </c>
      <c r="N356" s="1"/>
      <c r="O356" s="1" t="s">
        <v>3011</v>
      </c>
      <c r="P356" s="1" t="s">
        <v>34</v>
      </c>
      <c r="Q356" s="1"/>
      <c r="R356" s="1" t="s">
        <v>1293</v>
      </c>
      <c r="S356" s="1"/>
      <c r="T356" s="1" t="s">
        <v>3012</v>
      </c>
      <c r="U356" s="1" t="s">
        <v>3013</v>
      </c>
    </row>
    <row r="357" ht="14.25" customHeight="1">
      <c r="A357" s="1" t="s">
        <v>2383</v>
      </c>
      <c r="B357" s="1" t="s">
        <v>3014</v>
      </c>
      <c r="C357" s="1" t="s">
        <v>3015</v>
      </c>
      <c r="D357" s="3" t="s">
        <v>3016</v>
      </c>
      <c r="E357" s="1" t="s">
        <v>117</v>
      </c>
      <c r="F357" s="1" t="s">
        <v>2398</v>
      </c>
      <c r="G357" s="1" t="s">
        <v>1801</v>
      </c>
      <c r="H357" s="1" t="s">
        <v>932</v>
      </c>
      <c r="I357" s="1" t="s">
        <v>3017</v>
      </c>
      <c r="J357" s="1" t="s">
        <v>3018</v>
      </c>
      <c r="K357" s="1" t="s">
        <v>3019</v>
      </c>
      <c r="L357" s="1"/>
      <c r="M357" s="1" t="s">
        <v>31</v>
      </c>
      <c r="N357" s="1"/>
      <c r="O357" s="1"/>
      <c r="P357" s="1"/>
      <c r="Q357" s="1"/>
      <c r="R357" s="1" t="s">
        <v>283</v>
      </c>
      <c r="S357" s="1" t="s">
        <v>117</v>
      </c>
      <c r="T357" s="1" t="s">
        <v>3020</v>
      </c>
      <c r="U357" s="1" t="s">
        <v>191</v>
      </c>
    </row>
    <row r="358" ht="14.25" customHeight="1">
      <c r="A358" s="1" t="s">
        <v>2383</v>
      </c>
      <c r="B358" s="1" t="s">
        <v>3021</v>
      </c>
      <c r="C358" s="1" t="s">
        <v>3022</v>
      </c>
      <c r="D358" s="3" t="s">
        <v>3023</v>
      </c>
      <c r="E358" s="1" t="s">
        <v>99</v>
      </c>
      <c r="F358" s="1" t="s">
        <v>2398</v>
      </c>
      <c r="G358" s="1" t="s">
        <v>42</v>
      </c>
      <c r="H358" s="1" t="s">
        <v>932</v>
      </c>
      <c r="I358" s="1" t="s">
        <v>1057</v>
      </c>
      <c r="J358" s="1" t="s">
        <v>3024</v>
      </c>
      <c r="K358" s="1" t="s">
        <v>3025</v>
      </c>
      <c r="L358" s="1" t="s">
        <v>3026</v>
      </c>
      <c r="M358" s="1" t="s">
        <v>31</v>
      </c>
      <c r="N358" s="1"/>
      <c r="O358" s="1"/>
      <c r="P358" s="1"/>
      <c r="Q358" s="1"/>
      <c r="R358" s="1" t="s">
        <v>196</v>
      </c>
      <c r="S358" s="1" t="s">
        <v>99</v>
      </c>
      <c r="T358" s="1" t="s">
        <v>3027</v>
      </c>
      <c r="U358" s="1" t="s">
        <v>3028</v>
      </c>
    </row>
    <row r="359" ht="14.25" customHeight="1">
      <c r="A359" s="1" t="s">
        <v>2383</v>
      </c>
      <c r="B359" s="1" t="s">
        <v>3029</v>
      </c>
      <c r="C359" s="1" t="s">
        <v>3030</v>
      </c>
      <c r="D359" s="3" t="s">
        <v>2653</v>
      </c>
      <c r="E359" s="1" t="s">
        <v>91</v>
      </c>
      <c r="F359" s="1" t="s">
        <v>2386</v>
      </c>
      <c r="G359" s="1" t="s">
        <v>42</v>
      </c>
      <c r="H359" s="1" t="s">
        <v>932</v>
      </c>
      <c r="I359" s="1" t="s">
        <v>3031</v>
      </c>
      <c r="J359" s="1" t="s">
        <v>3032</v>
      </c>
      <c r="K359" s="1" t="s">
        <v>3033</v>
      </c>
      <c r="L359" s="1" t="s">
        <v>3034</v>
      </c>
      <c r="M359" s="1" t="s">
        <v>31</v>
      </c>
      <c r="N359" s="1"/>
      <c r="O359" s="1" t="s">
        <v>3035</v>
      </c>
      <c r="P359" s="1" t="s">
        <v>156</v>
      </c>
      <c r="Q359" s="1"/>
      <c r="R359" s="1" t="s">
        <v>731</v>
      </c>
      <c r="S359" s="1"/>
      <c r="T359" s="1" t="s">
        <v>3036</v>
      </c>
      <c r="U359" s="1" t="s">
        <v>3037</v>
      </c>
    </row>
    <row r="360" ht="14.25" customHeight="1">
      <c r="A360" s="1" t="s">
        <v>2383</v>
      </c>
      <c r="B360" s="1" t="s">
        <v>3038</v>
      </c>
      <c r="C360" s="1" t="s">
        <v>3039</v>
      </c>
      <c r="D360" s="3" t="s">
        <v>3040</v>
      </c>
      <c r="E360" s="1" t="s">
        <v>174</v>
      </c>
      <c r="F360" s="1" t="s">
        <v>2386</v>
      </c>
      <c r="G360" s="1" t="s">
        <v>42</v>
      </c>
      <c r="H360" s="1" t="s">
        <v>932</v>
      </c>
      <c r="I360" s="1" t="s">
        <v>3041</v>
      </c>
      <c r="J360" s="1" t="s">
        <v>3042</v>
      </c>
      <c r="K360" s="1" t="s">
        <v>3043</v>
      </c>
      <c r="L360" s="1" t="s">
        <v>3044</v>
      </c>
      <c r="M360" s="1" t="s">
        <v>59</v>
      </c>
      <c r="N360" s="1" t="s">
        <v>3045</v>
      </c>
      <c r="O360" s="1"/>
      <c r="P360" s="1"/>
      <c r="Q360" s="1"/>
      <c r="R360" s="1" t="s">
        <v>1346</v>
      </c>
      <c r="S360" s="1" t="s">
        <v>174</v>
      </c>
      <c r="T360" s="1" t="s">
        <v>3046</v>
      </c>
      <c r="U360" s="1" t="s">
        <v>306</v>
      </c>
    </row>
    <row r="361" ht="14.25" customHeight="1">
      <c r="A361" s="1" t="s">
        <v>2383</v>
      </c>
      <c r="B361" s="1" t="s">
        <v>3047</v>
      </c>
      <c r="C361" s="1" t="s">
        <v>3048</v>
      </c>
      <c r="D361" s="3" t="s">
        <v>1367</v>
      </c>
      <c r="E361" s="1" t="s">
        <v>174</v>
      </c>
      <c r="F361" s="1" t="s">
        <v>2398</v>
      </c>
      <c r="G361" s="1" t="s">
        <v>232</v>
      </c>
      <c r="H361" s="1" t="s">
        <v>932</v>
      </c>
      <c r="I361" s="1" t="s">
        <v>460</v>
      </c>
      <c r="J361" s="1" t="s">
        <v>3049</v>
      </c>
      <c r="K361" s="1" t="s">
        <v>3050</v>
      </c>
      <c r="L361" s="1" t="s">
        <v>3051</v>
      </c>
      <c r="M361" s="1" t="s">
        <v>31</v>
      </c>
      <c r="N361" s="1"/>
      <c r="O361" s="1" t="s">
        <v>3052</v>
      </c>
      <c r="P361" s="1" t="s">
        <v>517</v>
      </c>
      <c r="Q361" s="1"/>
      <c r="R361" s="1" t="s">
        <v>594</v>
      </c>
      <c r="S361" s="1" t="s">
        <v>174</v>
      </c>
      <c r="T361" s="1" t="s">
        <v>3053</v>
      </c>
      <c r="U361" s="1" t="s">
        <v>2628</v>
      </c>
    </row>
    <row r="362" ht="14.25" customHeight="1">
      <c r="A362" s="1" t="s">
        <v>2383</v>
      </c>
      <c r="B362" s="1" t="s">
        <v>3054</v>
      </c>
      <c r="C362" s="1" t="s">
        <v>3055</v>
      </c>
      <c r="D362" s="3" t="s">
        <v>3056</v>
      </c>
      <c r="E362" s="1" t="s">
        <v>79</v>
      </c>
      <c r="F362" s="1" t="s">
        <v>2386</v>
      </c>
      <c r="G362" s="1" t="s">
        <v>42</v>
      </c>
      <c r="H362" s="1" t="s">
        <v>932</v>
      </c>
      <c r="I362" s="1" t="s">
        <v>3057</v>
      </c>
      <c r="J362" s="1"/>
      <c r="K362" s="1" t="s">
        <v>3058</v>
      </c>
      <c r="L362" s="1" t="s">
        <v>3059</v>
      </c>
      <c r="M362" s="1" t="s">
        <v>31</v>
      </c>
      <c r="N362" s="1"/>
      <c r="O362" s="1" t="s">
        <v>3060</v>
      </c>
      <c r="P362" s="1" t="s">
        <v>33</v>
      </c>
      <c r="Q362" s="1"/>
      <c r="R362" s="1" t="s">
        <v>215</v>
      </c>
      <c r="S362" s="1"/>
      <c r="T362" s="1" t="s">
        <v>3061</v>
      </c>
      <c r="U362" s="1" t="s">
        <v>228</v>
      </c>
    </row>
    <row r="363" ht="14.25" customHeight="1">
      <c r="A363" s="1" t="s">
        <v>2383</v>
      </c>
      <c r="B363" s="1" t="s">
        <v>3062</v>
      </c>
      <c r="C363" s="1" t="s">
        <v>3063</v>
      </c>
      <c r="D363" s="1" t="s">
        <v>3064</v>
      </c>
      <c r="E363" s="1" t="s">
        <v>25</v>
      </c>
      <c r="F363" s="1" t="s">
        <v>2386</v>
      </c>
      <c r="G363" s="1" t="s">
        <v>42</v>
      </c>
      <c r="H363" s="1" t="s">
        <v>932</v>
      </c>
      <c r="I363" s="1" t="s">
        <v>685</v>
      </c>
      <c r="J363" s="1"/>
      <c r="K363" s="1" t="s">
        <v>3065</v>
      </c>
      <c r="L363" s="1" t="s">
        <v>3066</v>
      </c>
      <c r="M363" s="1" t="s">
        <v>31</v>
      </c>
      <c r="N363" s="1"/>
      <c r="O363" s="1" t="s">
        <v>3067</v>
      </c>
      <c r="P363" s="1" t="s">
        <v>298</v>
      </c>
      <c r="Q363" s="1"/>
      <c r="R363" s="1" t="s">
        <v>1293</v>
      </c>
      <c r="S363" s="1"/>
      <c r="T363" s="1" t="s">
        <v>3068</v>
      </c>
      <c r="U363" s="1" t="s">
        <v>2093</v>
      </c>
    </row>
    <row r="364" ht="14.25" customHeight="1">
      <c r="A364" s="1" t="s">
        <v>2383</v>
      </c>
      <c r="B364" s="1" t="s">
        <v>3069</v>
      </c>
      <c r="C364" s="1" t="s">
        <v>3070</v>
      </c>
      <c r="D364" s="3" t="s">
        <v>3071</v>
      </c>
      <c r="E364" s="1" t="s">
        <v>616</v>
      </c>
      <c r="F364" s="1" t="s">
        <v>2398</v>
      </c>
      <c r="G364" s="1" t="s">
        <v>42</v>
      </c>
      <c r="H364" s="1" t="s">
        <v>932</v>
      </c>
      <c r="I364" s="1" t="s">
        <v>385</v>
      </c>
      <c r="J364" s="1" t="s">
        <v>3072</v>
      </c>
      <c r="K364" s="1" t="s">
        <v>3073</v>
      </c>
      <c r="L364" s="1" t="s">
        <v>3074</v>
      </c>
      <c r="M364" s="1" t="s">
        <v>59</v>
      </c>
      <c r="N364" s="1" t="s">
        <v>3075</v>
      </c>
      <c r="O364" s="1" t="s">
        <v>3076</v>
      </c>
      <c r="P364" s="1" t="s">
        <v>34</v>
      </c>
      <c r="Q364" s="1"/>
      <c r="R364" s="1" t="s">
        <v>1455</v>
      </c>
      <c r="S364" s="1" t="s">
        <v>616</v>
      </c>
      <c r="T364" s="1" t="s">
        <v>3077</v>
      </c>
      <c r="U364" s="1" t="s">
        <v>135</v>
      </c>
    </row>
    <row r="365" ht="14.25" customHeight="1">
      <c r="A365" s="1" t="s">
        <v>2383</v>
      </c>
      <c r="B365" s="1" t="s">
        <v>3078</v>
      </c>
      <c r="C365" s="1" t="s">
        <v>3079</v>
      </c>
      <c r="D365" s="3"/>
      <c r="E365" s="1"/>
      <c r="F365" s="1" t="s">
        <v>2386</v>
      </c>
      <c r="G365" s="1" t="s">
        <v>42</v>
      </c>
      <c r="H365" s="1" t="s">
        <v>932</v>
      </c>
      <c r="I365" s="1" t="s">
        <v>3080</v>
      </c>
      <c r="J365" s="1" t="s">
        <v>3081</v>
      </c>
      <c r="K365" s="1" t="s">
        <v>3082</v>
      </c>
      <c r="L365" s="1" t="s">
        <v>3083</v>
      </c>
      <c r="M365" s="1" t="s">
        <v>59</v>
      </c>
      <c r="N365" s="1" t="s">
        <v>3084</v>
      </c>
      <c r="O365" s="1" t="s">
        <v>3085</v>
      </c>
      <c r="P365" s="1" t="s">
        <v>247</v>
      </c>
      <c r="Q365" s="1"/>
      <c r="R365" s="1" t="s">
        <v>1149</v>
      </c>
      <c r="S365" s="1" t="s">
        <v>91</v>
      </c>
      <c r="T365" s="1" t="s">
        <v>3086</v>
      </c>
      <c r="U365" s="1" t="s">
        <v>3087</v>
      </c>
    </row>
    <row r="366" ht="14.25" customHeight="1">
      <c r="A366" s="1" t="s">
        <v>2383</v>
      </c>
      <c r="B366" s="1" t="s">
        <v>3088</v>
      </c>
      <c r="C366" s="1" t="s">
        <v>3089</v>
      </c>
      <c r="D366" s="3" t="s">
        <v>3090</v>
      </c>
      <c r="E366" s="1" t="s">
        <v>174</v>
      </c>
      <c r="F366" s="1" t="s">
        <v>2386</v>
      </c>
      <c r="G366" s="1" t="s">
        <v>42</v>
      </c>
      <c r="H366" s="1" t="s">
        <v>932</v>
      </c>
      <c r="I366" s="1" t="s">
        <v>663</v>
      </c>
      <c r="J366" s="1" t="s">
        <v>3091</v>
      </c>
      <c r="K366" s="1" t="s">
        <v>3092</v>
      </c>
      <c r="L366" s="1" t="s">
        <v>3093</v>
      </c>
      <c r="M366" s="1" t="s">
        <v>59</v>
      </c>
      <c r="N366" s="1" t="s">
        <v>3094</v>
      </c>
      <c r="O366" s="1" t="s">
        <v>3095</v>
      </c>
      <c r="P366" s="1" t="s">
        <v>110</v>
      </c>
      <c r="Q366" s="1"/>
      <c r="R366" s="1" t="s">
        <v>817</v>
      </c>
      <c r="S366" s="1"/>
      <c r="T366" s="1" t="s">
        <v>3096</v>
      </c>
      <c r="U366" s="1" t="s">
        <v>3097</v>
      </c>
    </row>
    <row r="367" ht="14.25" customHeight="1">
      <c r="A367" s="1" t="s">
        <v>2383</v>
      </c>
      <c r="B367" s="1" t="s">
        <v>3098</v>
      </c>
      <c r="C367" s="1" t="s">
        <v>3099</v>
      </c>
      <c r="D367" s="3" t="s">
        <v>909</v>
      </c>
      <c r="E367" s="1" t="s">
        <v>429</v>
      </c>
      <c r="F367" s="1" t="s">
        <v>2386</v>
      </c>
      <c r="G367" s="1" t="s">
        <v>3100</v>
      </c>
      <c r="H367" s="1" t="s">
        <v>932</v>
      </c>
      <c r="I367" s="1" t="s">
        <v>523</v>
      </c>
      <c r="J367" s="1"/>
      <c r="K367" s="1" t="s">
        <v>3101</v>
      </c>
      <c r="L367" s="1" t="s">
        <v>3102</v>
      </c>
      <c r="M367" s="1" t="s">
        <v>59</v>
      </c>
      <c r="N367" s="1" t="s">
        <v>3103</v>
      </c>
      <c r="O367" s="1" t="s">
        <v>3104</v>
      </c>
      <c r="P367" s="1" t="s">
        <v>34</v>
      </c>
      <c r="Q367" s="1"/>
      <c r="R367" s="1" t="s">
        <v>136</v>
      </c>
      <c r="S367" s="1"/>
      <c r="T367" s="1" t="s">
        <v>3105</v>
      </c>
      <c r="U367" s="1" t="s">
        <v>3106</v>
      </c>
    </row>
    <row r="368" ht="14.25" customHeight="1">
      <c r="A368" s="1" t="s">
        <v>2383</v>
      </c>
      <c r="B368" s="1" t="s">
        <v>3107</v>
      </c>
      <c r="C368" s="1" t="s">
        <v>3108</v>
      </c>
      <c r="D368" s="3"/>
      <c r="E368" s="1"/>
      <c r="F368" s="1"/>
      <c r="G368" s="1" t="s">
        <v>42</v>
      </c>
      <c r="H368" s="1" t="s">
        <v>65</v>
      </c>
      <c r="I368" s="1" t="s">
        <v>747</v>
      </c>
      <c r="J368" s="1"/>
      <c r="K368" s="1" t="s">
        <v>3109</v>
      </c>
      <c r="L368" s="1" t="s">
        <v>3110</v>
      </c>
      <c r="M368" s="1" t="s">
        <v>59</v>
      </c>
      <c r="N368" s="1" t="s">
        <v>3111</v>
      </c>
      <c r="O368" s="1"/>
      <c r="P368" s="1"/>
      <c r="Q368" s="1"/>
      <c r="R368" s="1" t="s">
        <v>646</v>
      </c>
      <c r="S368" s="1"/>
      <c r="T368" s="1" t="s">
        <v>2443</v>
      </c>
      <c r="U368" s="1" t="s">
        <v>1442</v>
      </c>
    </row>
    <row r="369" ht="14.25" customHeight="1">
      <c r="A369" s="1" t="s">
        <v>2383</v>
      </c>
      <c r="B369" s="1" t="s">
        <v>3112</v>
      </c>
      <c r="C369" s="1" t="s">
        <v>3113</v>
      </c>
      <c r="D369" s="3" t="s">
        <v>3114</v>
      </c>
      <c r="E369" s="1" t="s">
        <v>54</v>
      </c>
      <c r="F369" s="1" t="s">
        <v>2386</v>
      </c>
      <c r="G369" s="1" t="s">
        <v>232</v>
      </c>
      <c r="H369" s="1" t="s">
        <v>65</v>
      </c>
      <c r="I369" s="1" t="s">
        <v>2592</v>
      </c>
      <c r="J369" s="1"/>
      <c r="K369" s="1" t="s">
        <v>3115</v>
      </c>
      <c r="L369" s="1" t="s">
        <v>3116</v>
      </c>
      <c r="M369" s="1" t="s">
        <v>31</v>
      </c>
      <c r="N369" s="1"/>
      <c r="O369" s="1" t="s">
        <v>3117</v>
      </c>
      <c r="P369" s="1" t="s">
        <v>517</v>
      </c>
      <c r="Q369" s="1"/>
      <c r="R369" s="1" t="s">
        <v>1306</v>
      </c>
      <c r="S369" s="1"/>
      <c r="T369" s="1" t="s">
        <v>3118</v>
      </c>
      <c r="U369" s="1" t="s">
        <v>1881</v>
      </c>
    </row>
    <row r="370" ht="14.25" customHeight="1">
      <c r="A370" s="1" t="s">
        <v>2383</v>
      </c>
      <c r="B370" s="1" t="s">
        <v>240</v>
      </c>
      <c r="C370" s="1" t="s">
        <v>241</v>
      </c>
      <c r="D370" s="1" t="s">
        <v>242</v>
      </c>
      <c r="E370" s="1" t="s">
        <v>174</v>
      </c>
      <c r="F370" s="1" t="s">
        <v>118</v>
      </c>
      <c r="G370" s="1" t="s">
        <v>42</v>
      </c>
      <c r="H370" s="1" t="s">
        <v>65</v>
      </c>
      <c r="I370" s="1" t="s">
        <v>243</v>
      </c>
      <c r="J370" s="1"/>
      <c r="K370" s="1" t="s">
        <v>244</v>
      </c>
      <c r="L370" s="1" t="s">
        <v>245</v>
      </c>
      <c r="M370" s="1" t="s">
        <v>31</v>
      </c>
      <c r="N370" s="1"/>
      <c r="O370" s="1" t="s">
        <v>246</v>
      </c>
      <c r="P370" s="1" t="s">
        <v>110</v>
      </c>
      <c r="Q370" s="1"/>
      <c r="R370" s="1" t="s">
        <v>247</v>
      </c>
      <c r="S370" s="1"/>
      <c r="T370" s="1" t="s">
        <v>248</v>
      </c>
      <c r="U370" s="1" t="s">
        <v>249</v>
      </c>
    </row>
    <row r="371" ht="14.25" customHeight="1">
      <c r="A371" s="1" t="s">
        <v>2383</v>
      </c>
      <c r="B371" s="1" t="s">
        <v>3119</v>
      </c>
      <c r="C371" s="1" t="s">
        <v>3120</v>
      </c>
      <c r="D371" s="3" t="s">
        <v>3121</v>
      </c>
      <c r="E371" s="1" t="s">
        <v>616</v>
      </c>
      <c r="F371" s="1" t="s">
        <v>2386</v>
      </c>
      <c r="G371" s="1" t="s">
        <v>42</v>
      </c>
      <c r="H371" s="1" t="s">
        <v>65</v>
      </c>
      <c r="I371" s="1" t="s">
        <v>3122</v>
      </c>
      <c r="J371" s="1" t="s">
        <v>3123</v>
      </c>
      <c r="K371" s="1" t="s">
        <v>3124</v>
      </c>
      <c r="L371" s="1" t="s">
        <v>3125</v>
      </c>
      <c r="M371" s="1" t="s">
        <v>59</v>
      </c>
      <c r="N371" s="1" t="s">
        <v>3126</v>
      </c>
      <c r="O371" s="1"/>
      <c r="P371" s="1"/>
      <c r="Q371" s="1"/>
      <c r="R371" s="1" t="s">
        <v>209</v>
      </c>
      <c r="S371" s="1" t="s">
        <v>616</v>
      </c>
      <c r="T371" s="1" t="s">
        <v>3127</v>
      </c>
      <c r="U371" s="1" t="s">
        <v>475</v>
      </c>
    </row>
    <row r="372" ht="14.25" customHeight="1">
      <c r="A372" s="1" t="s">
        <v>2383</v>
      </c>
      <c r="B372" s="1" t="s">
        <v>3128</v>
      </c>
      <c r="C372" s="1" t="s">
        <v>3129</v>
      </c>
      <c r="D372" s="1"/>
      <c r="E372" s="1"/>
      <c r="F372" s="1" t="s">
        <v>2398</v>
      </c>
      <c r="G372" s="1" t="s">
        <v>42</v>
      </c>
      <c r="H372" s="1" t="s">
        <v>65</v>
      </c>
      <c r="I372" s="1" t="s">
        <v>3130</v>
      </c>
      <c r="J372" s="1"/>
      <c r="K372" s="1" t="s">
        <v>3131</v>
      </c>
      <c r="L372" s="1" t="s">
        <v>3132</v>
      </c>
      <c r="M372" s="1" t="s">
        <v>31</v>
      </c>
      <c r="N372" s="1"/>
      <c r="O372" s="1" t="s">
        <v>3133</v>
      </c>
      <c r="P372" s="1" t="s">
        <v>73</v>
      </c>
      <c r="Q372" s="1"/>
      <c r="R372" s="1" t="s">
        <v>361</v>
      </c>
      <c r="S372" s="1"/>
      <c r="T372" s="1" t="s">
        <v>3134</v>
      </c>
      <c r="U372" s="1" t="s">
        <v>3135</v>
      </c>
    </row>
    <row r="373" ht="14.25" customHeight="1">
      <c r="A373" s="1" t="s">
        <v>2383</v>
      </c>
      <c r="B373" s="1" t="s">
        <v>250</v>
      </c>
      <c r="C373" s="1" t="s">
        <v>251</v>
      </c>
      <c r="D373" s="3" t="s">
        <v>252</v>
      </c>
      <c r="E373" s="1" t="s">
        <v>91</v>
      </c>
      <c r="F373" s="1" t="s">
        <v>41</v>
      </c>
      <c r="G373" s="1" t="s">
        <v>42</v>
      </c>
      <c r="H373" s="1" t="s">
        <v>65</v>
      </c>
      <c r="I373" s="1" t="s">
        <v>253</v>
      </c>
      <c r="J373" s="1" t="s">
        <v>254</v>
      </c>
      <c r="K373" s="1" t="s">
        <v>255</v>
      </c>
      <c r="L373" s="1" t="s">
        <v>256</v>
      </c>
      <c r="M373" s="1" t="s">
        <v>31</v>
      </c>
      <c r="N373" s="1"/>
      <c r="O373" s="1" t="s">
        <v>257</v>
      </c>
      <c r="P373" s="1" t="s">
        <v>258</v>
      </c>
      <c r="Q373" s="1"/>
      <c r="R373" s="1" t="s">
        <v>259</v>
      </c>
      <c r="S373" s="1"/>
      <c r="T373" s="1" t="s">
        <v>260</v>
      </c>
      <c r="U373" s="1" t="s">
        <v>261</v>
      </c>
    </row>
    <row r="374" ht="14.25" customHeight="1">
      <c r="A374" s="1" t="s">
        <v>2383</v>
      </c>
      <c r="B374" s="1" t="s">
        <v>3136</v>
      </c>
      <c r="C374" s="1" t="s">
        <v>3137</v>
      </c>
      <c r="D374" s="3" t="s">
        <v>3138</v>
      </c>
      <c r="E374" s="1" t="s">
        <v>384</v>
      </c>
      <c r="F374" s="1" t="s">
        <v>2386</v>
      </c>
      <c r="G374" s="1" t="s">
        <v>42</v>
      </c>
      <c r="H374" s="1" t="s">
        <v>101</v>
      </c>
      <c r="I374" s="1" t="s">
        <v>3139</v>
      </c>
      <c r="J374" s="1" t="s">
        <v>3140</v>
      </c>
      <c r="K374" s="1" t="s">
        <v>3141</v>
      </c>
      <c r="L374" s="1" t="s">
        <v>3142</v>
      </c>
      <c r="M374" s="1" t="s">
        <v>59</v>
      </c>
      <c r="N374" s="1" t="s">
        <v>3143</v>
      </c>
      <c r="O374" s="1" t="s">
        <v>3144</v>
      </c>
      <c r="P374" s="1" t="s">
        <v>34</v>
      </c>
      <c r="Q374" s="1"/>
      <c r="R374" s="1" t="s">
        <v>361</v>
      </c>
      <c r="S374" s="1" t="s">
        <v>174</v>
      </c>
      <c r="T374" s="1" t="s">
        <v>3145</v>
      </c>
      <c r="U374" s="1" t="s">
        <v>646</v>
      </c>
    </row>
    <row r="375" ht="14.25" customHeight="1">
      <c r="A375" s="1" t="s">
        <v>2383</v>
      </c>
      <c r="B375" s="1" t="s">
        <v>3146</v>
      </c>
      <c r="C375" s="1" t="s">
        <v>3147</v>
      </c>
      <c r="D375" s="3" t="s">
        <v>3148</v>
      </c>
      <c r="E375" s="1" t="s">
        <v>384</v>
      </c>
      <c r="F375" s="1" t="s">
        <v>41</v>
      </c>
      <c r="G375" s="1" t="s">
        <v>42</v>
      </c>
      <c r="H375" s="1" t="s">
        <v>101</v>
      </c>
      <c r="I375" s="1" t="s">
        <v>3149</v>
      </c>
      <c r="J375" s="1" t="s">
        <v>3150</v>
      </c>
      <c r="K375" s="1" t="s">
        <v>3151</v>
      </c>
      <c r="L375" s="1" t="s">
        <v>3152</v>
      </c>
      <c r="M375" s="1" t="s">
        <v>59</v>
      </c>
      <c r="N375" s="1" t="s">
        <v>3153</v>
      </c>
      <c r="O375" s="1" t="s">
        <v>3154</v>
      </c>
      <c r="P375" s="1" t="s">
        <v>65</v>
      </c>
      <c r="Q375" s="1"/>
      <c r="R375" s="1" t="s">
        <v>3155</v>
      </c>
      <c r="S375" s="1" t="s">
        <v>384</v>
      </c>
      <c r="T375" s="1" t="s">
        <v>3156</v>
      </c>
      <c r="U375" s="1" t="s">
        <v>3157</v>
      </c>
    </row>
    <row r="376" ht="14.25" customHeight="1">
      <c r="A376" s="1" t="s">
        <v>2383</v>
      </c>
      <c r="B376" s="1" t="s">
        <v>262</v>
      </c>
      <c r="C376" s="1" t="s">
        <v>263</v>
      </c>
      <c r="D376" s="3" t="s">
        <v>264</v>
      </c>
      <c r="E376" s="1" t="s">
        <v>99</v>
      </c>
      <c r="F376" s="1" t="s">
        <v>41</v>
      </c>
      <c r="G376" s="1" t="s">
        <v>42</v>
      </c>
      <c r="H376" s="1" t="s">
        <v>101</v>
      </c>
      <c r="I376" s="1" t="s">
        <v>265</v>
      </c>
      <c r="J376" s="1" t="s">
        <v>266</v>
      </c>
      <c r="K376" s="1" t="s">
        <v>267</v>
      </c>
      <c r="L376" s="1" t="s">
        <v>268</v>
      </c>
      <c r="M376" s="1" t="s">
        <v>59</v>
      </c>
      <c r="N376" s="1" t="s">
        <v>269</v>
      </c>
      <c r="O376" s="1" t="s">
        <v>270</v>
      </c>
      <c r="P376" s="1" t="s">
        <v>135</v>
      </c>
      <c r="Q376" s="1"/>
      <c r="R376" s="1" t="s">
        <v>271</v>
      </c>
      <c r="S376" s="1" t="s">
        <v>99</v>
      </c>
      <c r="T376" s="1" t="s">
        <v>272</v>
      </c>
      <c r="U376" s="1" t="s">
        <v>273</v>
      </c>
    </row>
    <row r="377" ht="14.25" customHeight="1">
      <c r="A377" s="1" t="s">
        <v>2383</v>
      </c>
      <c r="B377" s="1" t="s">
        <v>274</v>
      </c>
      <c r="C377" s="1" t="s">
        <v>275</v>
      </c>
      <c r="D377" s="3" t="s">
        <v>276</v>
      </c>
      <c r="E377" s="1" t="s">
        <v>91</v>
      </c>
      <c r="F377" s="1" t="s">
        <v>41</v>
      </c>
      <c r="G377" s="1" t="s">
        <v>42</v>
      </c>
      <c r="H377" s="1" t="s">
        <v>101</v>
      </c>
      <c r="I377" s="1" t="s">
        <v>277</v>
      </c>
      <c r="J377" s="1" t="s">
        <v>278</v>
      </c>
      <c r="K377" s="1" t="s">
        <v>279</v>
      </c>
      <c r="L377" s="1" t="s">
        <v>280</v>
      </c>
      <c r="M377" s="1" t="s">
        <v>59</v>
      </c>
      <c r="N377" s="1" t="s">
        <v>281</v>
      </c>
      <c r="O377" s="1" t="s">
        <v>282</v>
      </c>
      <c r="P377" s="1" t="s">
        <v>283</v>
      </c>
      <c r="Q377" s="1"/>
      <c r="R377" s="1" t="s">
        <v>284</v>
      </c>
      <c r="S377" s="1"/>
      <c r="T377" s="1" t="s">
        <v>285</v>
      </c>
      <c r="U377" s="1" t="s">
        <v>286</v>
      </c>
    </row>
    <row r="378" ht="14.25" customHeight="1">
      <c r="A378" s="1" t="s">
        <v>2383</v>
      </c>
      <c r="B378" s="1" t="s">
        <v>3158</v>
      </c>
      <c r="C378" s="1" t="s">
        <v>3159</v>
      </c>
      <c r="D378" s="3" t="s">
        <v>2202</v>
      </c>
      <c r="E378" s="1" t="s">
        <v>384</v>
      </c>
      <c r="F378" s="1" t="s">
        <v>2398</v>
      </c>
      <c r="G378" s="1" t="s">
        <v>42</v>
      </c>
      <c r="H378" s="1" t="s">
        <v>101</v>
      </c>
      <c r="I378" s="1" t="s">
        <v>615</v>
      </c>
      <c r="J378" s="1" t="s">
        <v>3160</v>
      </c>
      <c r="K378" s="1" t="s">
        <v>3161</v>
      </c>
      <c r="L378" s="1" t="s">
        <v>3162</v>
      </c>
      <c r="M378" s="1" t="s">
        <v>59</v>
      </c>
      <c r="N378" s="1" t="s">
        <v>3163</v>
      </c>
      <c r="O378" s="1" t="s">
        <v>3164</v>
      </c>
      <c r="P378" s="1" t="s">
        <v>517</v>
      </c>
      <c r="Q378" s="1"/>
      <c r="R378" s="1" t="s">
        <v>1431</v>
      </c>
      <c r="S378" s="1" t="s">
        <v>384</v>
      </c>
      <c r="T378" s="1" t="s">
        <v>3165</v>
      </c>
      <c r="U378" s="1" t="s">
        <v>3166</v>
      </c>
    </row>
    <row r="379" ht="14.25" customHeight="1">
      <c r="A379" s="1" t="s">
        <v>2383</v>
      </c>
      <c r="B379" s="1" t="s">
        <v>3167</v>
      </c>
      <c r="C379" s="1" t="s">
        <v>3168</v>
      </c>
      <c r="D379" s="3" t="s">
        <v>3169</v>
      </c>
      <c r="E379" s="1" t="s">
        <v>616</v>
      </c>
      <c r="F379" s="1" t="s">
        <v>2386</v>
      </c>
      <c r="G379" s="1" t="s">
        <v>42</v>
      </c>
      <c r="H379" s="1" t="s">
        <v>101</v>
      </c>
      <c r="I379" s="1" t="s">
        <v>1867</v>
      </c>
      <c r="J379" s="1" t="s">
        <v>3170</v>
      </c>
      <c r="K379" s="1" t="s">
        <v>3171</v>
      </c>
      <c r="L379" s="1" t="s">
        <v>3172</v>
      </c>
      <c r="M379" s="1" t="s">
        <v>59</v>
      </c>
      <c r="N379" s="1" t="s">
        <v>3173</v>
      </c>
      <c r="O379" s="1"/>
      <c r="P379" s="1"/>
      <c r="Q379" s="1"/>
      <c r="R379" s="1" t="s">
        <v>535</v>
      </c>
      <c r="S379" s="1" t="s">
        <v>616</v>
      </c>
      <c r="T379" s="1" t="s">
        <v>3174</v>
      </c>
      <c r="U379" s="1" t="s">
        <v>3175</v>
      </c>
    </row>
    <row r="380" ht="14.25" customHeight="1">
      <c r="A380" s="1" t="s">
        <v>2383</v>
      </c>
      <c r="B380" s="1" t="s">
        <v>3176</v>
      </c>
      <c r="C380" s="1" t="s">
        <v>3177</v>
      </c>
      <c r="D380" s="3" t="s">
        <v>3178</v>
      </c>
      <c r="E380" s="1" t="s">
        <v>25</v>
      </c>
      <c r="F380" s="1" t="s">
        <v>2386</v>
      </c>
      <c r="G380" s="1" t="s">
        <v>42</v>
      </c>
      <c r="H380" s="1" t="s">
        <v>101</v>
      </c>
      <c r="I380" s="1" t="s">
        <v>3179</v>
      </c>
      <c r="J380" s="1" t="s">
        <v>3180</v>
      </c>
      <c r="K380" s="1" t="s">
        <v>3181</v>
      </c>
      <c r="L380" s="1"/>
      <c r="M380" s="1" t="s">
        <v>31</v>
      </c>
      <c r="N380" s="1"/>
      <c r="O380" s="1"/>
      <c r="P380" s="1"/>
      <c r="Q380" s="1"/>
      <c r="R380" s="1" t="s">
        <v>817</v>
      </c>
      <c r="S380" s="1" t="s">
        <v>117</v>
      </c>
      <c r="T380" s="1" t="s">
        <v>3182</v>
      </c>
      <c r="U380" s="1" t="s">
        <v>380</v>
      </c>
    </row>
    <row r="381" ht="14.25" customHeight="1">
      <c r="A381" s="1" t="s">
        <v>2383</v>
      </c>
      <c r="B381" s="1" t="s">
        <v>3183</v>
      </c>
      <c r="C381" s="1" t="s">
        <v>3184</v>
      </c>
      <c r="D381" s="3" t="s">
        <v>3185</v>
      </c>
      <c r="E381" s="1" t="s">
        <v>117</v>
      </c>
      <c r="F381" s="1" t="s">
        <v>2417</v>
      </c>
      <c r="G381" s="1" t="s">
        <v>42</v>
      </c>
      <c r="H381" s="1" t="s">
        <v>101</v>
      </c>
      <c r="I381" s="1" t="s">
        <v>1634</v>
      </c>
      <c r="J381" s="1"/>
      <c r="K381" s="1" t="s">
        <v>3186</v>
      </c>
      <c r="L381" s="1" t="s">
        <v>3187</v>
      </c>
      <c r="M381" s="1" t="s">
        <v>59</v>
      </c>
      <c r="N381" s="1" t="s">
        <v>3188</v>
      </c>
      <c r="O381" s="1"/>
      <c r="P381" s="1"/>
      <c r="Q381" s="1"/>
      <c r="R381" s="1" t="s">
        <v>1857</v>
      </c>
      <c r="S381" s="1"/>
      <c r="T381" s="1" t="s">
        <v>3189</v>
      </c>
      <c r="U381" s="1" t="s">
        <v>3190</v>
      </c>
    </row>
    <row r="382" ht="14.25" customHeight="1">
      <c r="A382" s="1" t="s">
        <v>2383</v>
      </c>
      <c r="B382" s="1" t="s">
        <v>3191</v>
      </c>
      <c r="C382" s="1" t="s">
        <v>3192</v>
      </c>
      <c r="D382" s="3" t="s">
        <v>3193</v>
      </c>
      <c r="E382" s="1" t="s">
        <v>352</v>
      </c>
      <c r="F382" s="1" t="s">
        <v>2386</v>
      </c>
      <c r="G382" s="1" t="s">
        <v>42</v>
      </c>
      <c r="H382" s="1" t="s">
        <v>101</v>
      </c>
      <c r="I382" s="1" t="s">
        <v>3194</v>
      </c>
      <c r="J382" s="1"/>
      <c r="K382" s="1" t="s">
        <v>3195</v>
      </c>
      <c r="L382" s="1" t="s">
        <v>3196</v>
      </c>
      <c r="M382" s="1" t="s">
        <v>31</v>
      </c>
      <c r="N382" s="1"/>
      <c r="O382" s="1" t="s">
        <v>3197</v>
      </c>
      <c r="P382" s="1" t="s">
        <v>124</v>
      </c>
      <c r="Q382" s="1"/>
      <c r="R382" s="1" t="s">
        <v>62</v>
      </c>
      <c r="S382" s="1"/>
      <c r="T382" s="1" t="s">
        <v>3198</v>
      </c>
      <c r="U382" s="1" t="s">
        <v>3199</v>
      </c>
    </row>
    <row r="383" ht="14.25" customHeight="1">
      <c r="A383" s="1" t="s">
        <v>2383</v>
      </c>
      <c r="B383" s="1" t="s">
        <v>3200</v>
      </c>
      <c r="C383" s="1" t="s">
        <v>3201</v>
      </c>
      <c r="D383" s="3" t="s">
        <v>3202</v>
      </c>
      <c r="E383" s="1" t="s">
        <v>54</v>
      </c>
      <c r="F383" s="1" t="s">
        <v>2386</v>
      </c>
      <c r="G383" s="1" t="s">
        <v>3203</v>
      </c>
      <c r="H383" s="1" t="s">
        <v>346</v>
      </c>
      <c r="I383" s="1" t="s">
        <v>3204</v>
      </c>
      <c r="J383" s="1" t="s">
        <v>3205</v>
      </c>
      <c r="K383" s="1" t="s">
        <v>3206</v>
      </c>
      <c r="L383" s="1" t="s">
        <v>3207</v>
      </c>
      <c r="M383" s="1" t="s">
        <v>59</v>
      </c>
      <c r="N383" s="1" t="s">
        <v>3208</v>
      </c>
      <c r="O383" s="1"/>
      <c r="P383" s="1"/>
      <c r="Q383" s="1"/>
      <c r="R383" s="1" t="s">
        <v>1857</v>
      </c>
      <c r="S383" s="1" t="s">
        <v>54</v>
      </c>
      <c r="T383" s="1" t="s">
        <v>3209</v>
      </c>
      <c r="U383" s="1" t="s">
        <v>3210</v>
      </c>
    </row>
    <row r="384" ht="14.25" customHeight="1">
      <c r="A384" s="1" t="s">
        <v>2383</v>
      </c>
      <c r="B384" s="1" t="s">
        <v>3211</v>
      </c>
      <c r="C384" s="1" t="s">
        <v>3212</v>
      </c>
      <c r="D384" s="3" t="s">
        <v>3213</v>
      </c>
      <c r="E384" s="1" t="s">
        <v>91</v>
      </c>
      <c r="F384" s="1" t="s">
        <v>2417</v>
      </c>
      <c r="G384" s="1" t="s">
        <v>1801</v>
      </c>
      <c r="H384" s="1" t="s">
        <v>346</v>
      </c>
      <c r="I384" s="1" t="s">
        <v>1470</v>
      </c>
      <c r="J384" s="1" t="s">
        <v>3214</v>
      </c>
      <c r="K384" s="1" t="s">
        <v>3215</v>
      </c>
      <c r="L384" s="1" t="s">
        <v>3216</v>
      </c>
      <c r="M384" s="1" t="s">
        <v>31</v>
      </c>
      <c r="N384" s="1"/>
      <c r="O384" s="1"/>
      <c r="P384" s="1"/>
      <c r="Q384" s="1"/>
      <c r="R384" s="1" t="s">
        <v>1791</v>
      </c>
      <c r="S384" s="1" t="s">
        <v>99</v>
      </c>
      <c r="T384" s="1" t="s">
        <v>3217</v>
      </c>
      <c r="U384" s="1" t="s">
        <v>3218</v>
      </c>
    </row>
    <row r="385" ht="14.25" customHeight="1">
      <c r="A385" s="1" t="s">
        <v>2383</v>
      </c>
      <c r="B385" s="1" t="s">
        <v>3219</v>
      </c>
      <c r="C385" s="1" t="s">
        <v>3220</v>
      </c>
      <c r="D385" s="3" t="s">
        <v>2921</v>
      </c>
      <c r="E385" s="1" t="s">
        <v>174</v>
      </c>
      <c r="F385" s="1" t="s">
        <v>2386</v>
      </c>
      <c r="G385" s="1" t="s">
        <v>42</v>
      </c>
      <c r="H385" s="1" t="s">
        <v>346</v>
      </c>
      <c r="I385" s="1" t="s">
        <v>3221</v>
      </c>
      <c r="J385" s="1" t="s">
        <v>3222</v>
      </c>
      <c r="K385" s="1" t="s">
        <v>3223</v>
      </c>
      <c r="L385" s="1" t="s">
        <v>3224</v>
      </c>
      <c r="M385" s="1" t="s">
        <v>59</v>
      </c>
      <c r="N385" s="1" t="s">
        <v>3225</v>
      </c>
      <c r="O385" s="1" t="s">
        <v>3226</v>
      </c>
      <c r="P385" s="1" t="s">
        <v>182</v>
      </c>
      <c r="Q385" s="1"/>
      <c r="R385" s="1" t="s">
        <v>1306</v>
      </c>
      <c r="S385" s="1" t="s">
        <v>99</v>
      </c>
      <c r="T385" s="1" t="s">
        <v>3227</v>
      </c>
      <c r="U385" s="1" t="s">
        <v>3228</v>
      </c>
    </row>
    <row r="386" ht="14.25" customHeight="1">
      <c r="A386" s="1" t="s">
        <v>2383</v>
      </c>
      <c r="B386" s="1" t="s">
        <v>3229</v>
      </c>
      <c r="C386" s="1" t="s">
        <v>3230</v>
      </c>
      <c r="D386" s="3" t="s">
        <v>3231</v>
      </c>
      <c r="E386" s="1" t="s">
        <v>384</v>
      </c>
      <c r="F386" s="1" t="s">
        <v>2386</v>
      </c>
      <c r="G386" s="1" t="s">
        <v>42</v>
      </c>
      <c r="H386" s="1" t="s">
        <v>346</v>
      </c>
      <c r="I386" s="1" t="s">
        <v>216</v>
      </c>
      <c r="J386" s="1" t="s">
        <v>3232</v>
      </c>
      <c r="K386" s="1" t="s">
        <v>3233</v>
      </c>
      <c r="L386" s="1" t="s">
        <v>3234</v>
      </c>
      <c r="M386" s="1" t="s">
        <v>59</v>
      </c>
      <c r="N386" s="1" t="s">
        <v>3235</v>
      </c>
      <c r="O386" s="1" t="s">
        <v>3236</v>
      </c>
      <c r="P386" s="1" t="s">
        <v>156</v>
      </c>
      <c r="Q386" s="1"/>
      <c r="R386" s="1" t="s">
        <v>1431</v>
      </c>
      <c r="S386" s="1" t="s">
        <v>384</v>
      </c>
      <c r="T386" s="1" t="s">
        <v>3237</v>
      </c>
      <c r="U386" s="1" t="s">
        <v>1263</v>
      </c>
    </row>
    <row r="387" ht="14.25" customHeight="1">
      <c r="A387" s="1" t="s">
        <v>2383</v>
      </c>
      <c r="B387" s="1" t="s">
        <v>3238</v>
      </c>
      <c r="C387" s="1" t="s">
        <v>3239</v>
      </c>
      <c r="D387" s="3" t="s">
        <v>3240</v>
      </c>
      <c r="E387" s="1" t="s">
        <v>91</v>
      </c>
      <c r="F387" s="1" t="s">
        <v>2386</v>
      </c>
      <c r="G387" s="1" t="s">
        <v>42</v>
      </c>
      <c r="H387" s="1" t="s">
        <v>346</v>
      </c>
      <c r="I387" s="1" t="s">
        <v>3241</v>
      </c>
      <c r="J387" s="1"/>
      <c r="K387" s="1" t="s">
        <v>3242</v>
      </c>
      <c r="L387" s="1" t="s">
        <v>3243</v>
      </c>
      <c r="M387" s="1" t="s">
        <v>59</v>
      </c>
      <c r="N387" s="1" t="s">
        <v>3244</v>
      </c>
      <c r="O387" s="1" t="s">
        <v>3245</v>
      </c>
      <c r="P387" s="1"/>
      <c r="Q387" s="1"/>
      <c r="R387" s="1" t="s">
        <v>663</v>
      </c>
      <c r="S387" s="1" t="s">
        <v>91</v>
      </c>
      <c r="T387" s="1" t="s">
        <v>3246</v>
      </c>
      <c r="U387" s="1" t="s">
        <v>3247</v>
      </c>
    </row>
    <row r="388" ht="14.25" customHeight="1">
      <c r="A388" s="1" t="s">
        <v>2383</v>
      </c>
      <c r="B388" s="1" t="s">
        <v>3248</v>
      </c>
      <c r="C388" s="1" t="s">
        <v>3249</v>
      </c>
      <c r="D388" s="3" t="s">
        <v>3250</v>
      </c>
      <c r="E388" s="1" t="s">
        <v>91</v>
      </c>
      <c r="F388" s="1" t="s">
        <v>2398</v>
      </c>
      <c r="G388" s="1" t="s">
        <v>42</v>
      </c>
      <c r="H388" s="1" t="s">
        <v>346</v>
      </c>
      <c r="I388" s="1" t="s">
        <v>913</v>
      </c>
      <c r="J388" s="1" t="s">
        <v>3251</v>
      </c>
      <c r="K388" s="1" t="s">
        <v>3252</v>
      </c>
      <c r="L388" s="1" t="s">
        <v>3253</v>
      </c>
      <c r="M388" s="1" t="s">
        <v>59</v>
      </c>
      <c r="N388" s="1" t="s">
        <v>3254</v>
      </c>
      <c r="O388" s="1"/>
      <c r="P388" s="1"/>
      <c r="Q388" s="1"/>
      <c r="R388" s="1" t="s">
        <v>141</v>
      </c>
      <c r="S388" s="1" t="s">
        <v>91</v>
      </c>
      <c r="T388" s="1" t="s">
        <v>3255</v>
      </c>
      <c r="U388" s="1" t="s">
        <v>3256</v>
      </c>
    </row>
    <row r="389" ht="14.25" customHeight="1">
      <c r="A389" s="1" t="s">
        <v>2383</v>
      </c>
      <c r="B389" s="1" t="s">
        <v>3257</v>
      </c>
      <c r="C389" s="1" t="s">
        <v>3258</v>
      </c>
      <c r="D389" s="3" t="s">
        <v>3259</v>
      </c>
      <c r="E389" s="1" t="s">
        <v>40</v>
      </c>
      <c r="F389" s="1" t="s">
        <v>2398</v>
      </c>
      <c r="G389" s="1" t="s">
        <v>42</v>
      </c>
      <c r="H389" s="1" t="s">
        <v>346</v>
      </c>
      <c r="I389" s="1" t="s">
        <v>1783</v>
      </c>
      <c r="J389" s="1"/>
      <c r="K389" s="1" t="s">
        <v>3260</v>
      </c>
      <c r="L389" s="1" t="s">
        <v>3261</v>
      </c>
      <c r="M389" s="1" t="s">
        <v>31</v>
      </c>
      <c r="N389" s="1"/>
      <c r="O389" s="1" t="s">
        <v>3262</v>
      </c>
      <c r="P389" s="1" t="s">
        <v>124</v>
      </c>
      <c r="Q389" s="1"/>
      <c r="R389" s="1" t="s">
        <v>361</v>
      </c>
      <c r="S389" s="1"/>
      <c r="T389" s="1" t="s">
        <v>3263</v>
      </c>
      <c r="U389" s="1" t="s">
        <v>3264</v>
      </c>
    </row>
    <row r="390" ht="14.25" customHeight="1">
      <c r="A390" s="1" t="s">
        <v>2383</v>
      </c>
      <c r="B390" s="1" t="s">
        <v>3265</v>
      </c>
      <c r="C390" s="1" t="s">
        <v>3266</v>
      </c>
      <c r="D390" s="3" t="s">
        <v>3267</v>
      </c>
      <c r="E390" s="1" t="s">
        <v>79</v>
      </c>
      <c r="F390" s="1" t="s">
        <v>2386</v>
      </c>
      <c r="G390" s="1" t="s">
        <v>1119</v>
      </c>
      <c r="H390" s="1" t="s">
        <v>346</v>
      </c>
      <c r="I390" s="1" t="s">
        <v>3268</v>
      </c>
      <c r="J390" s="1"/>
      <c r="K390" s="1" t="s">
        <v>3269</v>
      </c>
      <c r="L390" s="1" t="s">
        <v>3270</v>
      </c>
      <c r="M390" s="1" t="s">
        <v>59</v>
      </c>
      <c r="N390" s="1" t="s">
        <v>3271</v>
      </c>
      <c r="O390" s="1" t="s">
        <v>3272</v>
      </c>
      <c r="P390" s="1" t="s">
        <v>517</v>
      </c>
      <c r="Q390" s="1"/>
      <c r="R390" s="1" t="s">
        <v>1004</v>
      </c>
      <c r="S390" s="1"/>
      <c r="T390" s="1" t="s">
        <v>3273</v>
      </c>
      <c r="U390" s="1" t="s">
        <v>3274</v>
      </c>
    </row>
    <row r="391" ht="14.25" customHeight="1">
      <c r="A391" s="1" t="s">
        <v>2383</v>
      </c>
      <c r="B391" s="1" t="s">
        <v>3275</v>
      </c>
      <c r="C391" s="1" t="s">
        <v>3276</v>
      </c>
      <c r="D391" s="3" t="s">
        <v>3277</v>
      </c>
      <c r="E391" s="1" t="s">
        <v>99</v>
      </c>
      <c r="F391" s="1" t="s">
        <v>2417</v>
      </c>
      <c r="G391" s="1" t="s">
        <v>42</v>
      </c>
      <c r="H391" s="1" t="s">
        <v>62</v>
      </c>
      <c r="I391" s="1" t="s">
        <v>3278</v>
      </c>
      <c r="J391" s="1" t="s">
        <v>3279</v>
      </c>
      <c r="K391" s="1" t="s">
        <v>3280</v>
      </c>
      <c r="L391" s="1" t="s">
        <v>3281</v>
      </c>
      <c r="M391" s="1" t="s">
        <v>59</v>
      </c>
      <c r="N391" s="1" t="s">
        <v>3282</v>
      </c>
      <c r="O391" s="1" t="s">
        <v>3283</v>
      </c>
      <c r="P391" s="1" t="s">
        <v>228</v>
      </c>
      <c r="Q391" s="1"/>
      <c r="R391" s="1" t="s">
        <v>135</v>
      </c>
      <c r="S391" s="1"/>
      <c r="T391" s="1" t="s">
        <v>3284</v>
      </c>
      <c r="U391" s="1" t="s">
        <v>127</v>
      </c>
    </row>
    <row r="392" ht="14.25" customHeight="1">
      <c r="A392" s="1" t="s">
        <v>2383</v>
      </c>
      <c r="B392" s="1" t="s">
        <v>3285</v>
      </c>
      <c r="C392" s="1" t="s">
        <v>3286</v>
      </c>
      <c r="D392" s="3" t="s">
        <v>3287</v>
      </c>
      <c r="E392" s="1" t="s">
        <v>25</v>
      </c>
      <c r="F392" s="1" t="s">
        <v>2386</v>
      </c>
      <c r="G392" s="1" t="s">
        <v>42</v>
      </c>
      <c r="H392" s="1" t="s">
        <v>62</v>
      </c>
      <c r="I392" s="1" t="s">
        <v>2674</v>
      </c>
      <c r="J392" s="1"/>
      <c r="K392" s="1" t="s">
        <v>3288</v>
      </c>
      <c r="L392" s="1" t="s">
        <v>3289</v>
      </c>
      <c r="M392" s="1" t="s">
        <v>31</v>
      </c>
      <c r="N392" s="1"/>
      <c r="O392" s="1" t="s">
        <v>3290</v>
      </c>
      <c r="P392" s="1" t="s">
        <v>34</v>
      </c>
      <c r="Q392" s="1"/>
      <c r="R392" s="1" t="s">
        <v>1455</v>
      </c>
      <c r="S392" s="1"/>
      <c r="T392" s="1" t="s">
        <v>3291</v>
      </c>
      <c r="U392" s="1" t="s">
        <v>586</v>
      </c>
    </row>
    <row r="393" ht="14.25" customHeight="1">
      <c r="A393" s="1" t="s">
        <v>2383</v>
      </c>
      <c r="B393" s="1" t="s">
        <v>3292</v>
      </c>
      <c r="C393" s="1" t="s">
        <v>3293</v>
      </c>
      <c r="D393" s="3" t="s">
        <v>3294</v>
      </c>
      <c r="E393" s="1" t="s">
        <v>117</v>
      </c>
      <c r="F393" s="1" t="s">
        <v>2386</v>
      </c>
      <c r="G393" s="1" t="s">
        <v>1119</v>
      </c>
      <c r="H393" s="1" t="s">
        <v>62</v>
      </c>
      <c r="I393" s="1" t="s">
        <v>3295</v>
      </c>
      <c r="J393" s="1" t="s">
        <v>3296</v>
      </c>
      <c r="K393" s="1" t="s">
        <v>3297</v>
      </c>
      <c r="L393" s="1" t="s">
        <v>3298</v>
      </c>
      <c r="M393" s="1" t="s">
        <v>59</v>
      </c>
      <c r="N393" s="1" t="s">
        <v>3299</v>
      </c>
      <c r="O393" s="1"/>
      <c r="P393" s="1"/>
      <c r="Q393" s="1"/>
      <c r="R393" s="1" t="s">
        <v>505</v>
      </c>
      <c r="S393" s="1" t="s">
        <v>352</v>
      </c>
      <c r="T393" s="1" t="s">
        <v>3300</v>
      </c>
      <c r="U393" s="1" t="s">
        <v>1126</v>
      </c>
    </row>
    <row r="394" ht="14.25" customHeight="1">
      <c r="A394" s="1" t="s">
        <v>2383</v>
      </c>
      <c r="B394" s="1" t="s">
        <v>3301</v>
      </c>
      <c r="C394" s="1" t="s">
        <v>3302</v>
      </c>
      <c r="D394" s="1" t="s">
        <v>2707</v>
      </c>
      <c r="E394" s="1" t="s">
        <v>117</v>
      </c>
      <c r="F394" s="1" t="s">
        <v>2417</v>
      </c>
      <c r="G394" s="1" t="s">
        <v>42</v>
      </c>
      <c r="H394" s="1" t="s">
        <v>62</v>
      </c>
      <c r="I394" s="1" t="s">
        <v>705</v>
      </c>
      <c r="J394" s="1" t="s">
        <v>3303</v>
      </c>
      <c r="K394" s="1" t="s">
        <v>3304</v>
      </c>
      <c r="L394" s="1" t="s">
        <v>3305</v>
      </c>
      <c r="M394" s="1" t="s">
        <v>59</v>
      </c>
      <c r="N394" s="1" t="s">
        <v>3306</v>
      </c>
      <c r="O394" s="1"/>
      <c r="P394" s="1"/>
      <c r="Q394" s="1"/>
      <c r="R394" s="1" t="s">
        <v>1362</v>
      </c>
      <c r="S394" s="1" t="s">
        <v>352</v>
      </c>
      <c r="T394" s="1" t="s">
        <v>3307</v>
      </c>
      <c r="U394" s="1" t="s">
        <v>196</v>
      </c>
    </row>
    <row r="395" ht="14.25" customHeight="1">
      <c r="A395" s="1" t="s">
        <v>2383</v>
      </c>
      <c r="B395" s="1" t="s">
        <v>3308</v>
      </c>
      <c r="C395" s="1" t="s">
        <v>3309</v>
      </c>
      <c r="D395" s="3" t="s">
        <v>3310</v>
      </c>
      <c r="E395" s="1" t="s">
        <v>637</v>
      </c>
      <c r="F395" s="1" t="s">
        <v>2386</v>
      </c>
      <c r="G395" s="1" t="s">
        <v>42</v>
      </c>
      <c r="H395" s="1" t="s">
        <v>62</v>
      </c>
      <c r="I395" s="1" t="s">
        <v>641</v>
      </c>
      <c r="J395" s="1" t="s">
        <v>3311</v>
      </c>
      <c r="K395" s="1" t="s">
        <v>3312</v>
      </c>
      <c r="L395" s="1" t="s">
        <v>3313</v>
      </c>
      <c r="M395" s="1" t="s">
        <v>59</v>
      </c>
      <c r="N395" s="1" t="s">
        <v>3314</v>
      </c>
      <c r="O395" s="1" t="s">
        <v>1650</v>
      </c>
      <c r="P395" s="1" t="s">
        <v>101</v>
      </c>
      <c r="Q395" s="1"/>
      <c r="R395" s="1" t="s">
        <v>1529</v>
      </c>
      <c r="S395" s="1" t="s">
        <v>637</v>
      </c>
      <c r="T395" s="1" t="s">
        <v>2853</v>
      </c>
      <c r="U395" s="1" t="s">
        <v>1780</v>
      </c>
    </row>
    <row r="396" ht="14.25" customHeight="1">
      <c r="A396" s="1" t="s">
        <v>2383</v>
      </c>
      <c r="B396" s="1" t="s">
        <v>3315</v>
      </c>
      <c r="C396" s="1" t="s">
        <v>3316</v>
      </c>
      <c r="D396" s="3"/>
      <c r="E396" s="1"/>
      <c r="F396" s="1" t="s">
        <v>2386</v>
      </c>
      <c r="G396" s="1" t="s">
        <v>42</v>
      </c>
      <c r="H396" s="1" t="s">
        <v>62</v>
      </c>
      <c r="I396" s="1" t="s">
        <v>3317</v>
      </c>
      <c r="J396" s="1" t="s">
        <v>3318</v>
      </c>
      <c r="K396" s="1" t="s">
        <v>3319</v>
      </c>
      <c r="L396" s="1" t="s">
        <v>3320</v>
      </c>
      <c r="M396" s="1" t="s">
        <v>59</v>
      </c>
      <c r="N396" s="1" t="s">
        <v>3321</v>
      </c>
      <c r="O396" s="1" t="s">
        <v>3322</v>
      </c>
      <c r="P396" s="1" t="s">
        <v>517</v>
      </c>
      <c r="Q396" s="1"/>
      <c r="R396" s="1" t="s">
        <v>215</v>
      </c>
      <c r="S396" s="1" t="s">
        <v>91</v>
      </c>
      <c r="T396" s="1" t="s">
        <v>3323</v>
      </c>
      <c r="U396" s="1" t="s">
        <v>3324</v>
      </c>
    </row>
    <row r="397" ht="14.25" customHeight="1">
      <c r="A397" s="1" t="s">
        <v>2383</v>
      </c>
      <c r="B397" s="1" t="s">
        <v>3325</v>
      </c>
      <c r="C397" s="1" t="s">
        <v>3326</v>
      </c>
      <c r="D397" s="1" t="s">
        <v>3327</v>
      </c>
      <c r="E397" s="1" t="s">
        <v>40</v>
      </c>
      <c r="F397" s="1" t="s">
        <v>2398</v>
      </c>
      <c r="G397" s="1" t="s">
        <v>42</v>
      </c>
      <c r="H397" s="1" t="s">
        <v>62</v>
      </c>
      <c r="I397" s="1" t="s">
        <v>615</v>
      </c>
      <c r="J397" s="1"/>
      <c r="K397" s="1" t="s">
        <v>3328</v>
      </c>
      <c r="L397" s="1" t="s">
        <v>3329</v>
      </c>
      <c r="M397" s="1" t="s">
        <v>59</v>
      </c>
      <c r="N397" s="1" t="s">
        <v>3330</v>
      </c>
      <c r="O397" s="1" t="s">
        <v>3331</v>
      </c>
      <c r="P397" s="1" t="s">
        <v>33</v>
      </c>
      <c r="Q397" s="1"/>
      <c r="R397" s="1" t="s">
        <v>65</v>
      </c>
      <c r="S397" s="1"/>
      <c r="T397" s="1" t="s">
        <v>3332</v>
      </c>
      <c r="U397" s="1" t="s">
        <v>3333</v>
      </c>
    </row>
    <row r="398" ht="14.25" customHeight="1">
      <c r="A398" s="1" t="s">
        <v>2383</v>
      </c>
      <c r="B398" s="1" t="s">
        <v>3334</v>
      </c>
      <c r="C398" s="1" t="s">
        <v>3335</v>
      </c>
      <c r="D398" s="3" t="s">
        <v>3336</v>
      </c>
      <c r="E398" s="1" t="s">
        <v>616</v>
      </c>
      <c r="F398" s="1" t="s">
        <v>2417</v>
      </c>
      <c r="G398" s="1" t="s">
        <v>42</v>
      </c>
      <c r="H398" s="1" t="s">
        <v>62</v>
      </c>
      <c r="I398" s="1" t="s">
        <v>802</v>
      </c>
      <c r="J398" s="1" t="s">
        <v>3337</v>
      </c>
      <c r="K398" s="1" t="s">
        <v>3338</v>
      </c>
      <c r="L398" s="1" t="s">
        <v>3339</v>
      </c>
      <c r="M398" s="1" t="s">
        <v>59</v>
      </c>
      <c r="N398" s="1" t="s">
        <v>3340</v>
      </c>
      <c r="O398" s="1"/>
      <c r="P398" s="1"/>
      <c r="Q398" s="1"/>
      <c r="R398" s="1" t="s">
        <v>130</v>
      </c>
      <c r="S398" s="1" t="s">
        <v>637</v>
      </c>
      <c r="T398" s="1" t="s">
        <v>3341</v>
      </c>
      <c r="U398" s="1" t="s">
        <v>3342</v>
      </c>
    </row>
    <row r="399" ht="14.25" customHeight="1">
      <c r="A399" s="1" t="s">
        <v>2383</v>
      </c>
      <c r="B399" s="1" t="s">
        <v>287</v>
      </c>
      <c r="C399" s="1" t="s">
        <v>288</v>
      </c>
      <c r="D399" s="1"/>
      <c r="E399" s="1"/>
      <c r="F399" s="1" t="s">
        <v>41</v>
      </c>
      <c r="G399" s="1" t="s">
        <v>42</v>
      </c>
      <c r="H399" s="1" t="s">
        <v>62</v>
      </c>
      <c r="I399" s="1" t="s">
        <v>289</v>
      </c>
      <c r="J399" s="1"/>
      <c r="K399" s="1" t="s">
        <v>290</v>
      </c>
      <c r="L399" s="1" t="s">
        <v>291</v>
      </c>
      <c r="M399" s="1" t="s">
        <v>31</v>
      </c>
      <c r="N399" s="1"/>
      <c r="O399" s="1" t="s">
        <v>292</v>
      </c>
      <c r="P399" s="1" t="s">
        <v>135</v>
      </c>
      <c r="Q399" s="1"/>
      <c r="R399" s="1" t="s">
        <v>111</v>
      </c>
      <c r="S399" s="1"/>
      <c r="T399" s="1" t="s">
        <v>293</v>
      </c>
      <c r="U399" s="1" t="s">
        <v>294</v>
      </c>
    </row>
    <row r="400" ht="14.25" customHeight="1">
      <c r="A400" s="1" t="s">
        <v>2383</v>
      </c>
      <c r="B400" s="1" t="s">
        <v>3343</v>
      </c>
      <c r="C400" s="1" t="s">
        <v>3344</v>
      </c>
      <c r="D400" s="3" t="s">
        <v>3345</v>
      </c>
      <c r="E400" s="1" t="s">
        <v>616</v>
      </c>
      <c r="F400" s="1" t="s">
        <v>2632</v>
      </c>
      <c r="G400" s="1" t="s">
        <v>42</v>
      </c>
      <c r="H400" s="1" t="s">
        <v>62</v>
      </c>
      <c r="I400" s="1" t="s">
        <v>1286</v>
      </c>
      <c r="J400" s="1" t="s">
        <v>3346</v>
      </c>
      <c r="K400" s="1" t="s">
        <v>3347</v>
      </c>
      <c r="L400" s="1" t="s">
        <v>3348</v>
      </c>
      <c r="M400" s="1" t="s">
        <v>59</v>
      </c>
      <c r="N400" s="1" t="s">
        <v>3349</v>
      </c>
      <c r="O400" s="1"/>
      <c r="P400" s="1"/>
      <c r="Q400" s="1"/>
      <c r="R400" s="1" t="s">
        <v>1293</v>
      </c>
      <c r="S400" s="1" t="s">
        <v>616</v>
      </c>
      <c r="T400" s="1" t="s">
        <v>3350</v>
      </c>
      <c r="U400" s="1" t="s">
        <v>249</v>
      </c>
    </row>
    <row r="401" ht="14.25" customHeight="1">
      <c r="A401" s="1" t="s">
        <v>2383</v>
      </c>
      <c r="B401" s="1" t="s">
        <v>3351</v>
      </c>
      <c r="C401" s="1" t="s">
        <v>3352</v>
      </c>
      <c r="D401" s="3"/>
      <c r="E401" s="1"/>
      <c r="F401" s="1"/>
      <c r="G401" s="1" t="s">
        <v>42</v>
      </c>
      <c r="H401" s="1" t="s">
        <v>62</v>
      </c>
      <c r="I401" s="1" t="s">
        <v>584</v>
      </c>
      <c r="J401" s="1"/>
      <c r="K401" s="1" t="s">
        <v>3353</v>
      </c>
      <c r="L401" s="1"/>
      <c r="M401" s="1" t="s">
        <v>31</v>
      </c>
      <c r="N401" s="1"/>
      <c r="O401" s="4"/>
      <c r="P401" s="1"/>
      <c r="Q401" s="1"/>
      <c r="R401" s="1" t="s">
        <v>247</v>
      </c>
      <c r="S401" s="1"/>
      <c r="T401" s="1" t="s">
        <v>3354</v>
      </c>
      <c r="U401" s="1" t="s">
        <v>369</v>
      </c>
    </row>
    <row r="402" ht="14.25" customHeight="1">
      <c r="A402" s="1" t="s">
        <v>2383</v>
      </c>
      <c r="B402" s="1" t="s">
        <v>3355</v>
      </c>
      <c r="C402" s="1" t="s">
        <v>3356</v>
      </c>
      <c r="D402" s="3" t="s">
        <v>3357</v>
      </c>
      <c r="E402" s="1" t="s">
        <v>79</v>
      </c>
      <c r="F402" s="1" t="s">
        <v>2417</v>
      </c>
      <c r="G402" s="1" t="s">
        <v>42</v>
      </c>
      <c r="H402" s="1" t="s">
        <v>298</v>
      </c>
      <c r="I402" s="1" t="s">
        <v>3358</v>
      </c>
      <c r="J402" s="1"/>
      <c r="K402" s="1" t="s">
        <v>3359</v>
      </c>
      <c r="L402" s="1" t="s">
        <v>3360</v>
      </c>
      <c r="M402" s="1" t="s">
        <v>31</v>
      </c>
      <c r="N402" s="1"/>
      <c r="O402" s="1"/>
      <c r="P402" s="1"/>
      <c r="Q402" s="1"/>
      <c r="R402" s="1" t="s">
        <v>209</v>
      </c>
      <c r="S402" s="1"/>
      <c r="T402" s="1" t="s">
        <v>3361</v>
      </c>
      <c r="U402" s="1" t="s">
        <v>1157</v>
      </c>
    </row>
    <row r="403" ht="14.25" customHeight="1">
      <c r="A403" s="1" t="s">
        <v>2383</v>
      </c>
      <c r="B403" s="1" t="s">
        <v>295</v>
      </c>
      <c r="C403" s="1" t="s">
        <v>296</v>
      </c>
      <c r="D403" s="3" t="s">
        <v>297</v>
      </c>
      <c r="E403" s="1" t="s">
        <v>117</v>
      </c>
      <c r="F403" s="1" t="s">
        <v>41</v>
      </c>
      <c r="G403" s="1" t="s">
        <v>42</v>
      </c>
      <c r="H403" s="1" t="s">
        <v>298</v>
      </c>
      <c r="I403" s="1" t="s">
        <v>243</v>
      </c>
      <c r="J403" s="1" t="s">
        <v>299</v>
      </c>
      <c r="K403" s="1" t="s">
        <v>300</v>
      </c>
      <c r="L403" s="1" t="s">
        <v>301</v>
      </c>
      <c r="M403" s="1" t="s">
        <v>59</v>
      </c>
      <c r="N403" s="1" t="s">
        <v>302</v>
      </c>
      <c r="O403" s="1" t="s">
        <v>303</v>
      </c>
      <c r="P403" s="1" t="s">
        <v>196</v>
      </c>
      <c r="Q403" s="1"/>
      <c r="R403" s="1" t="s">
        <v>304</v>
      </c>
      <c r="S403" s="1" t="s">
        <v>117</v>
      </c>
      <c r="T403" s="1" t="s">
        <v>305</v>
      </c>
      <c r="U403" s="1" t="s">
        <v>306</v>
      </c>
    </row>
    <row r="404" ht="14.25" customHeight="1">
      <c r="A404" s="1" t="s">
        <v>2383</v>
      </c>
      <c r="B404" s="1" t="s">
        <v>3362</v>
      </c>
      <c r="C404" s="1" t="s">
        <v>3363</v>
      </c>
      <c r="D404" s="3" t="s">
        <v>3364</v>
      </c>
      <c r="E404" s="1" t="s">
        <v>99</v>
      </c>
      <c r="F404" s="1" t="s">
        <v>2632</v>
      </c>
      <c r="G404" s="1" t="s">
        <v>42</v>
      </c>
      <c r="H404" s="1" t="s">
        <v>298</v>
      </c>
      <c r="I404" s="1" t="s">
        <v>1188</v>
      </c>
      <c r="J404" s="1" t="s">
        <v>3365</v>
      </c>
      <c r="K404" s="1" t="s">
        <v>3366</v>
      </c>
      <c r="L404" s="1" t="s">
        <v>3367</v>
      </c>
      <c r="M404" s="1" t="s">
        <v>59</v>
      </c>
      <c r="N404" s="1" t="s">
        <v>3368</v>
      </c>
      <c r="O404" s="1"/>
      <c r="P404" s="1"/>
      <c r="Q404" s="1"/>
      <c r="R404" s="1" t="s">
        <v>283</v>
      </c>
      <c r="S404" s="1"/>
      <c r="T404" s="1" t="s">
        <v>3369</v>
      </c>
      <c r="U404" s="1" t="s">
        <v>3370</v>
      </c>
    </row>
    <row r="405" ht="14.25" customHeight="1">
      <c r="A405" s="1" t="s">
        <v>2383</v>
      </c>
      <c r="B405" s="1" t="s">
        <v>307</v>
      </c>
      <c r="C405" s="1" t="s">
        <v>308</v>
      </c>
      <c r="D405" s="3" t="s">
        <v>309</v>
      </c>
      <c r="E405" s="1" t="s">
        <v>99</v>
      </c>
      <c r="F405" s="1" t="s">
        <v>41</v>
      </c>
      <c r="G405" s="1" t="s">
        <v>42</v>
      </c>
      <c r="H405" s="1" t="s">
        <v>298</v>
      </c>
      <c r="I405" s="1" t="s">
        <v>310</v>
      </c>
      <c r="J405" s="1" t="s">
        <v>311</v>
      </c>
      <c r="K405" s="1" t="s">
        <v>312</v>
      </c>
      <c r="L405" s="1" t="s">
        <v>313</v>
      </c>
      <c r="M405" s="1" t="s">
        <v>59</v>
      </c>
      <c r="N405" s="1" t="s">
        <v>314</v>
      </c>
      <c r="O405" s="1" t="s">
        <v>315</v>
      </c>
      <c r="P405" s="1" t="s">
        <v>247</v>
      </c>
      <c r="Q405" s="1"/>
      <c r="R405" s="1" t="s">
        <v>28</v>
      </c>
      <c r="S405" s="1" t="s">
        <v>99</v>
      </c>
      <c r="T405" s="1" t="s">
        <v>316</v>
      </c>
      <c r="U405" s="1" t="s">
        <v>317</v>
      </c>
    </row>
    <row r="406" ht="14.25" customHeight="1">
      <c r="A406" s="1" t="s">
        <v>2383</v>
      </c>
      <c r="B406" s="1" t="s">
        <v>3371</v>
      </c>
      <c r="C406" s="1" t="s">
        <v>3372</v>
      </c>
      <c r="D406" s="1" t="s">
        <v>3373</v>
      </c>
      <c r="E406" s="1" t="s">
        <v>637</v>
      </c>
      <c r="F406" s="1" t="s">
        <v>2386</v>
      </c>
      <c r="G406" s="1" t="s">
        <v>42</v>
      </c>
      <c r="H406" s="1" t="s">
        <v>298</v>
      </c>
      <c r="I406" s="1" t="s">
        <v>2244</v>
      </c>
      <c r="J406" s="1" t="s">
        <v>3374</v>
      </c>
      <c r="K406" s="1" t="s">
        <v>3375</v>
      </c>
      <c r="L406" s="1" t="s">
        <v>3376</v>
      </c>
      <c r="M406" s="1" t="s">
        <v>31</v>
      </c>
      <c r="N406" s="1"/>
      <c r="O406" s="1" t="s">
        <v>3377</v>
      </c>
      <c r="P406" s="1" t="s">
        <v>247</v>
      </c>
      <c r="Q406" s="1"/>
      <c r="R406" s="1" t="s">
        <v>1004</v>
      </c>
      <c r="S406" s="1"/>
      <c r="T406" s="1" t="s">
        <v>3378</v>
      </c>
      <c r="U406" s="1" t="s">
        <v>605</v>
      </c>
    </row>
    <row r="407" ht="14.25" customHeight="1">
      <c r="A407" s="1" t="s">
        <v>2383</v>
      </c>
      <c r="B407" s="1" t="s">
        <v>3379</v>
      </c>
      <c r="C407" s="1" t="s">
        <v>3380</v>
      </c>
      <c r="D407" s="3"/>
      <c r="E407" s="1"/>
      <c r="F407" s="1" t="s">
        <v>2386</v>
      </c>
      <c r="G407" s="1" t="s">
        <v>42</v>
      </c>
      <c r="H407" s="1" t="s">
        <v>298</v>
      </c>
      <c r="I407" s="1" t="s">
        <v>1286</v>
      </c>
      <c r="J407" s="1"/>
      <c r="K407" s="1" t="s">
        <v>3381</v>
      </c>
      <c r="L407" s="1"/>
      <c r="M407" s="1" t="s">
        <v>31</v>
      </c>
      <c r="N407" s="1"/>
      <c r="O407" s="1" t="s">
        <v>3382</v>
      </c>
      <c r="P407" s="1" t="s">
        <v>135</v>
      </c>
      <c r="Q407" s="1"/>
      <c r="R407" s="1" t="s">
        <v>191</v>
      </c>
      <c r="S407" s="1"/>
      <c r="T407" s="1" t="s">
        <v>3383</v>
      </c>
      <c r="U407" s="1" t="s">
        <v>34</v>
      </c>
    </row>
    <row r="408" ht="14.25" customHeight="1">
      <c r="A408" s="1" t="s">
        <v>2383</v>
      </c>
      <c r="B408" s="1" t="s">
        <v>318</v>
      </c>
      <c r="C408" s="1" t="s">
        <v>319</v>
      </c>
      <c r="D408" s="3" t="s">
        <v>320</v>
      </c>
      <c r="E408" s="1" t="s">
        <v>54</v>
      </c>
      <c r="F408" s="1" t="s">
        <v>41</v>
      </c>
      <c r="G408" s="1" t="s">
        <v>42</v>
      </c>
      <c r="H408" s="1" t="s">
        <v>298</v>
      </c>
      <c r="I408" s="1" t="s">
        <v>321</v>
      </c>
      <c r="J408" s="1"/>
      <c r="K408" s="1" t="s">
        <v>322</v>
      </c>
      <c r="L408" s="1" t="s">
        <v>323</v>
      </c>
      <c r="M408" s="1" t="s">
        <v>59</v>
      </c>
      <c r="N408" s="1" t="s">
        <v>324</v>
      </c>
      <c r="O408" s="1" t="s">
        <v>325</v>
      </c>
      <c r="P408" s="1"/>
      <c r="Q408" s="1"/>
      <c r="R408" s="1" t="s">
        <v>326</v>
      </c>
      <c r="S408" s="1"/>
      <c r="T408" s="1" t="s">
        <v>327</v>
      </c>
      <c r="U408" s="1" t="s">
        <v>328</v>
      </c>
    </row>
    <row r="409" ht="14.25" customHeight="1">
      <c r="A409" s="1" t="s">
        <v>2383</v>
      </c>
      <c r="B409" s="1" t="s">
        <v>3384</v>
      </c>
      <c r="C409" s="1" t="s">
        <v>3385</v>
      </c>
      <c r="D409" s="1" t="s">
        <v>3386</v>
      </c>
      <c r="E409" s="1" t="s">
        <v>25</v>
      </c>
      <c r="F409" s="1" t="s">
        <v>2386</v>
      </c>
      <c r="G409" s="1" t="s">
        <v>1801</v>
      </c>
      <c r="H409" s="1" t="s">
        <v>298</v>
      </c>
      <c r="I409" s="1" t="s">
        <v>1161</v>
      </c>
      <c r="J409" s="1" t="s">
        <v>3387</v>
      </c>
      <c r="K409" s="1" t="s">
        <v>3388</v>
      </c>
      <c r="L409" s="1" t="s">
        <v>3389</v>
      </c>
      <c r="M409" s="1" t="s">
        <v>59</v>
      </c>
      <c r="N409" s="1" t="s">
        <v>3390</v>
      </c>
      <c r="O409" s="1" t="s">
        <v>3391</v>
      </c>
      <c r="P409" s="1" t="s">
        <v>487</v>
      </c>
      <c r="Q409" s="1"/>
      <c r="R409" s="1" t="s">
        <v>1368</v>
      </c>
      <c r="S409" s="1" t="s">
        <v>25</v>
      </c>
      <c r="T409" s="1" t="s">
        <v>3392</v>
      </c>
      <c r="U409" s="1" t="s">
        <v>209</v>
      </c>
    </row>
    <row r="410" ht="14.25" customHeight="1">
      <c r="A410" s="1" t="s">
        <v>2383</v>
      </c>
      <c r="B410" s="1" t="s">
        <v>3393</v>
      </c>
      <c r="C410" s="1" t="s">
        <v>3394</v>
      </c>
      <c r="D410" s="3"/>
      <c r="E410" s="1"/>
      <c r="F410" s="1" t="s">
        <v>2386</v>
      </c>
      <c r="G410" s="1" t="s">
        <v>42</v>
      </c>
      <c r="H410" s="1" t="s">
        <v>298</v>
      </c>
      <c r="I410" s="1" t="s">
        <v>3395</v>
      </c>
      <c r="J410" s="1" t="s">
        <v>3396</v>
      </c>
      <c r="K410" s="1" t="s">
        <v>3397</v>
      </c>
      <c r="L410" s="1" t="s">
        <v>3398</v>
      </c>
      <c r="M410" s="1" t="s">
        <v>59</v>
      </c>
      <c r="N410" s="1" t="s">
        <v>3399</v>
      </c>
      <c r="O410" s="1" t="s">
        <v>3400</v>
      </c>
      <c r="P410" s="1" t="s">
        <v>182</v>
      </c>
      <c r="Q410" s="1"/>
      <c r="R410" s="1" t="s">
        <v>594</v>
      </c>
      <c r="S410" s="1" t="s">
        <v>174</v>
      </c>
      <c r="T410" s="1" t="s">
        <v>3401</v>
      </c>
      <c r="U410" s="1" t="s">
        <v>1374</v>
      </c>
    </row>
    <row r="411" ht="14.25" customHeight="1">
      <c r="A411" s="1" t="s">
        <v>2383</v>
      </c>
      <c r="B411" s="1" t="s">
        <v>3402</v>
      </c>
      <c r="C411" s="1" t="s">
        <v>3403</v>
      </c>
      <c r="D411" s="3" t="s">
        <v>813</v>
      </c>
      <c r="E411" s="1" t="s">
        <v>117</v>
      </c>
      <c r="F411" s="1" t="s">
        <v>2386</v>
      </c>
      <c r="G411" s="1" t="s">
        <v>232</v>
      </c>
      <c r="H411" s="1" t="s">
        <v>298</v>
      </c>
      <c r="I411" s="1" t="s">
        <v>828</v>
      </c>
      <c r="J411" s="1"/>
      <c r="K411" s="1" t="s">
        <v>3404</v>
      </c>
      <c r="L411" s="1" t="s">
        <v>3405</v>
      </c>
      <c r="M411" s="1" t="s">
        <v>59</v>
      </c>
      <c r="N411" s="1" t="s">
        <v>3406</v>
      </c>
      <c r="O411" s="1" t="s">
        <v>3407</v>
      </c>
      <c r="P411" s="1" t="s">
        <v>487</v>
      </c>
      <c r="Q411" s="1"/>
      <c r="R411" s="1" t="s">
        <v>209</v>
      </c>
      <c r="S411" s="1"/>
      <c r="T411" s="1" t="s">
        <v>3408</v>
      </c>
      <c r="U411" s="1" t="s">
        <v>3409</v>
      </c>
    </row>
    <row r="412" ht="14.25" customHeight="1">
      <c r="A412" s="1" t="s">
        <v>2383</v>
      </c>
      <c r="B412" s="1" t="s">
        <v>3410</v>
      </c>
      <c r="C412" s="1" t="s">
        <v>3411</v>
      </c>
      <c r="D412" s="3" t="s">
        <v>3412</v>
      </c>
      <c r="E412" s="1" t="s">
        <v>25</v>
      </c>
      <c r="F412" s="1" t="s">
        <v>41</v>
      </c>
      <c r="G412" s="1" t="s">
        <v>42</v>
      </c>
      <c r="H412" s="1" t="s">
        <v>298</v>
      </c>
      <c r="I412" s="1" t="s">
        <v>3413</v>
      </c>
      <c r="J412" s="1" t="s">
        <v>3414</v>
      </c>
      <c r="K412" s="1" t="s">
        <v>3415</v>
      </c>
      <c r="L412" s="1" t="s">
        <v>3416</v>
      </c>
      <c r="M412" s="1" t="s">
        <v>59</v>
      </c>
      <c r="N412" s="1" t="s">
        <v>3417</v>
      </c>
      <c r="O412" s="1" t="s">
        <v>3418</v>
      </c>
      <c r="P412" s="1"/>
      <c r="Q412" s="1"/>
      <c r="R412" s="1" t="s">
        <v>216</v>
      </c>
      <c r="S412" s="1" t="s">
        <v>117</v>
      </c>
      <c r="T412" s="1" t="s">
        <v>3419</v>
      </c>
      <c r="U412" s="1" t="s">
        <v>3420</v>
      </c>
    </row>
    <row r="413" ht="14.25" customHeight="1">
      <c r="A413" s="1" t="s">
        <v>2383</v>
      </c>
      <c r="B413" s="1" t="s">
        <v>3421</v>
      </c>
      <c r="C413" s="1" t="s">
        <v>3422</v>
      </c>
      <c r="D413" s="3" t="s">
        <v>3423</v>
      </c>
      <c r="E413" s="1" t="s">
        <v>117</v>
      </c>
      <c r="F413" s="1" t="s">
        <v>2386</v>
      </c>
      <c r="G413" s="1" t="s">
        <v>232</v>
      </c>
      <c r="H413" s="1" t="s">
        <v>298</v>
      </c>
      <c r="I413" s="1" t="s">
        <v>2381</v>
      </c>
      <c r="J413" s="1" t="s">
        <v>3424</v>
      </c>
      <c r="K413" s="1" t="s">
        <v>3425</v>
      </c>
      <c r="L413" s="1" t="s">
        <v>3426</v>
      </c>
      <c r="M413" s="1" t="s">
        <v>59</v>
      </c>
      <c r="N413" s="1" t="s">
        <v>3427</v>
      </c>
      <c r="O413" s="1" t="s">
        <v>3428</v>
      </c>
      <c r="P413" s="1"/>
      <c r="Q413" s="1"/>
      <c r="R413" s="1" t="s">
        <v>1272</v>
      </c>
      <c r="S413" s="1" t="s">
        <v>352</v>
      </c>
      <c r="T413" s="1" t="s">
        <v>3429</v>
      </c>
      <c r="U413" s="1" t="s">
        <v>3430</v>
      </c>
    </row>
    <row r="414" ht="14.25" customHeight="1">
      <c r="A414" s="1" t="s">
        <v>2383</v>
      </c>
      <c r="B414" s="1" t="s">
        <v>3431</v>
      </c>
      <c r="C414" s="1" t="s">
        <v>3432</v>
      </c>
      <c r="D414" s="3" t="s">
        <v>3433</v>
      </c>
      <c r="E414" s="1" t="s">
        <v>429</v>
      </c>
      <c r="F414" s="1" t="s">
        <v>2554</v>
      </c>
      <c r="G414" s="1" t="s">
        <v>3434</v>
      </c>
      <c r="H414" s="1" t="s">
        <v>298</v>
      </c>
      <c r="I414" s="1" t="s">
        <v>3435</v>
      </c>
      <c r="J414" s="1"/>
      <c r="K414" s="1" t="s">
        <v>3436</v>
      </c>
      <c r="L414" s="1" t="s">
        <v>3437</v>
      </c>
      <c r="M414" s="1" t="s">
        <v>31</v>
      </c>
      <c r="N414" s="1"/>
      <c r="O414" s="1"/>
      <c r="P414" s="1"/>
      <c r="Q414" s="1"/>
      <c r="R414" s="1" t="s">
        <v>156</v>
      </c>
      <c r="S414" s="1"/>
      <c r="T414" s="1" t="s">
        <v>3438</v>
      </c>
      <c r="U414" s="1" t="s">
        <v>3439</v>
      </c>
    </row>
    <row r="415" ht="14.25" customHeight="1">
      <c r="A415" s="1" t="s">
        <v>2383</v>
      </c>
      <c r="B415" s="1" t="s">
        <v>329</v>
      </c>
      <c r="C415" s="1" t="s">
        <v>330</v>
      </c>
      <c r="D415" s="3" t="s">
        <v>331</v>
      </c>
      <c r="E415" s="1" t="s">
        <v>54</v>
      </c>
      <c r="F415" s="1" t="s">
        <v>41</v>
      </c>
      <c r="G415" s="1" t="s">
        <v>42</v>
      </c>
      <c r="H415" s="1" t="s">
        <v>298</v>
      </c>
      <c r="I415" s="1" t="s">
        <v>332</v>
      </c>
      <c r="J415" s="1"/>
      <c r="K415" s="1" t="s">
        <v>333</v>
      </c>
      <c r="L415" s="1" t="s">
        <v>334</v>
      </c>
      <c r="M415" s="1" t="s">
        <v>59</v>
      </c>
      <c r="N415" s="1" t="s">
        <v>335</v>
      </c>
      <c r="O415" s="1" t="s">
        <v>336</v>
      </c>
      <c r="P415" s="1"/>
      <c r="Q415" s="1"/>
      <c r="R415" s="1" t="s">
        <v>259</v>
      </c>
      <c r="S415" s="1"/>
      <c r="T415" s="1" t="s">
        <v>337</v>
      </c>
      <c r="U415" s="1" t="s">
        <v>338</v>
      </c>
    </row>
    <row r="416" ht="14.25" customHeight="1">
      <c r="A416" s="1" t="s">
        <v>2383</v>
      </c>
      <c r="B416" s="1" t="s">
        <v>3440</v>
      </c>
      <c r="C416" s="1" t="s">
        <v>3441</v>
      </c>
      <c r="D416" s="3" t="s">
        <v>3442</v>
      </c>
      <c r="E416" s="1" t="s">
        <v>79</v>
      </c>
      <c r="F416" s="1" t="s">
        <v>2398</v>
      </c>
      <c r="G416" s="1" t="s">
        <v>232</v>
      </c>
      <c r="H416" s="1" t="s">
        <v>298</v>
      </c>
      <c r="I416" s="1" t="s">
        <v>3443</v>
      </c>
      <c r="J416" s="1"/>
      <c r="K416" s="1" t="s">
        <v>3444</v>
      </c>
      <c r="L416" s="1" t="s">
        <v>3445</v>
      </c>
      <c r="M416" s="1" t="s">
        <v>31</v>
      </c>
      <c r="N416" s="1"/>
      <c r="O416" s="1" t="s">
        <v>3446</v>
      </c>
      <c r="P416" s="1" t="s">
        <v>190</v>
      </c>
      <c r="Q416" s="1"/>
      <c r="R416" s="1" t="s">
        <v>33</v>
      </c>
      <c r="S416" s="1"/>
      <c r="T416" s="1" t="s">
        <v>3447</v>
      </c>
      <c r="U416" s="1" t="s">
        <v>3409</v>
      </c>
    </row>
    <row r="417" ht="14.25" customHeight="1">
      <c r="A417" s="1" t="s">
        <v>2383</v>
      </c>
      <c r="B417" s="1" t="s">
        <v>3448</v>
      </c>
      <c r="C417" s="1" t="s">
        <v>3449</v>
      </c>
      <c r="D417" s="3" t="s">
        <v>3450</v>
      </c>
      <c r="E417" s="1" t="s">
        <v>40</v>
      </c>
      <c r="F417" s="1" t="s">
        <v>2386</v>
      </c>
      <c r="G417" s="1" t="s">
        <v>1119</v>
      </c>
      <c r="H417" s="1" t="s">
        <v>298</v>
      </c>
      <c r="I417" s="1" t="s">
        <v>3139</v>
      </c>
      <c r="J417" s="1" t="s">
        <v>3451</v>
      </c>
      <c r="K417" s="1" t="s">
        <v>3452</v>
      </c>
      <c r="L417" s="1" t="s">
        <v>3453</v>
      </c>
      <c r="M417" s="1" t="s">
        <v>59</v>
      </c>
      <c r="N417" s="1" t="s">
        <v>3454</v>
      </c>
      <c r="O417" s="4" t="s">
        <v>3455</v>
      </c>
      <c r="P417" s="1" t="s">
        <v>190</v>
      </c>
      <c r="Q417" s="1"/>
      <c r="R417" s="1" t="s">
        <v>33</v>
      </c>
      <c r="S417" s="1" t="s">
        <v>3456</v>
      </c>
      <c r="T417" s="1" t="s">
        <v>3457</v>
      </c>
      <c r="U417" s="1" t="s">
        <v>3458</v>
      </c>
    </row>
    <row r="418" ht="14.25" customHeight="1">
      <c r="A418" s="1" t="s">
        <v>2383</v>
      </c>
      <c r="B418" s="1" t="s">
        <v>3459</v>
      </c>
      <c r="C418" s="1" t="s">
        <v>3460</v>
      </c>
      <c r="D418" s="3" t="s">
        <v>3461</v>
      </c>
      <c r="E418" s="1" t="s">
        <v>91</v>
      </c>
      <c r="F418" s="1" t="s">
        <v>2386</v>
      </c>
      <c r="G418" s="1" t="s">
        <v>232</v>
      </c>
      <c r="H418" s="1" t="s">
        <v>298</v>
      </c>
      <c r="I418" s="1" t="s">
        <v>1499</v>
      </c>
      <c r="J418" s="1" t="s">
        <v>3462</v>
      </c>
      <c r="K418" s="1" t="s">
        <v>3463</v>
      </c>
      <c r="L418" s="1" t="s">
        <v>3464</v>
      </c>
      <c r="M418" s="1" t="s">
        <v>59</v>
      </c>
      <c r="N418" s="1" t="s">
        <v>3465</v>
      </c>
      <c r="O418" s="1" t="s">
        <v>3466</v>
      </c>
      <c r="P418" s="1" t="s">
        <v>487</v>
      </c>
      <c r="Q418" s="1"/>
      <c r="R418" s="1" t="s">
        <v>731</v>
      </c>
      <c r="S418" s="1" t="s">
        <v>91</v>
      </c>
      <c r="T418" s="1" t="s">
        <v>3467</v>
      </c>
      <c r="U418" s="1" t="s">
        <v>3468</v>
      </c>
    </row>
    <row r="419" ht="14.25" customHeight="1">
      <c r="A419" s="1" t="s">
        <v>2383</v>
      </c>
      <c r="B419" s="1" t="s">
        <v>3469</v>
      </c>
      <c r="C419" s="1" t="s">
        <v>3470</v>
      </c>
      <c r="D419" s="3" t="s">
        <v>3471</v>
      </c>
      <c r="E419" s="1" t="s">
        <v>40</v>
      </c>
      <c r="F419" s="1" t="s">
        <v>2386</v>
      </c>
      <c r="G419" s="1" t="s">
        <v>42</v>
      </c>
      <c r="H419" s="1" t="s">
        <v>646</v>
      </c>
      <c r="I419" s="1" t="s">
        <v>424</v>
      </c>
      <c r="J419" s="1"/>
      <c r="K419" s="1" t="s">
        <v>3472</v>
      </c>
      <c r="L419" s="1" t="s">
        <v>3473</v>
      </c>
      <c r="M419" s="1" t="s">
        <v>59</v>
      </c>
      <c r="N419" s="1" t="s">
        <v>3474</v>
      </c>
      <c r="O419" s="1" t="s">
        <v>3475</v>
      </c>
      <c r="P419" s="1" t="s">
        <v>487</v>
      </c>
      <c r="Q419" s="1"/>
      <c r="R419" s="1" t="s">
        <v>84</v>
      </c>
      <c r="S419" s="1"/>
      <c r="T419" s="1" t="s">
        <v>3476</v>
      </c>
      <c r="U419" s="1" t="s">
        <v>3477</v>
      </c>
    </row>
    <row r="420" ht="14.25" customHeight="1">
      <c r="A420" s="1" t="s">
        <v>2383</v>
      </c>
      <c r="B420" s="1" t="s">
        <v>3478</v>
      </c>
      <c r="C420" s="1" t="s">
        <v>3479</v>
      </c>
      <c r="D420" s="1" t="s">
        <v>3480</v>
      </c>
      <c r="E420" s="1" t="s">
        <v>117</v>
      </c>
      <c r="F420" s="1" t="s">
        <v>2398</v>
      </c>
      <c r="G420" s="1" t="s">
        <v>42</v>
      </c>
      <c r="H420" s="1" t="s">
        <v>646</v>
      </c>
      <c r="I420" s="1" t="s">
        <v>3481</v>
      </c>
      <c r="J420" s="1" t="s">
        <v>3482</v>
      </c>
      <c r="K420" s="1" t="s">
        <v>3483</v>
      </c>
      <c r="L420" s="1" t="s">
        <v>3484</v>
      </c>
      <c r="M420" s="1" t="s">
        <v>31</v>
      </c>
      <c r="N420" s="1"/>
      <c r="O420" s="1"/>
      <c r="P420" s="1"/>
      <c r="Q420" s="1"/>
      <c r="R420" s="1" t="s">
        <v>1368</v>
      </c>
      <c r="S420" s="1" t="s">
        <v>117</v>
      </c>
      <c r="T420" s="1" t="s">
        <v>3485</v>
      </c>
      <c r="U420" s="1" t="s">
        <v>1697</v>
      </c>
    </row>
    <row r="421" ht="14.25" customHeight="1">
      <c r="A421" s="1" t="s">
        <v>2383</v>
      </c>
      <c r="B421" s="1" t="s">
        <v>3486</v>
      </c>
      <c r="C421" s="1" t="s">
        <v>3487</v>
      </c>
      <c r="D421" s="1" t="s">
        <v>3488</v>
      </c>
      <c r="E421" s="1" t="s">
        <v>91</v>
      </c>
      <c r="F421" s="1" t="s">
        <v>2386</v>
      </c>
      <c r="G421" s="1" t="s">
        <v>42</v>
      </c>
      <c r="H421" s="1" t="s">
        <v>646</v>
      </c>
      <c r="I421" s="1" t="s">
        <v>480</v>
      </c>
      <c r="J421" s="1" t="s">
        <v>3489</v>
      </c>
      <c r="K421" s="1" t="s">
        <v>3490</v>
      </c>
      <c r="L421" s="1" t="s">
        <v>3491</v>
      </c>
      <c r="M421" s="1" t="s">
        <v>31</v>
      </c>
      <c r="N421" s="1"/>
      <c r="O421" s="1" t="s">
        <v>3492</v>
      </c>
      <c r="P421" s="1" t="s">
        <v>34</v>
      </c>
      <c r="Q421" s="1"/>
      <c r="R421" s="1" t="s">
        <v>863</v>
      </c>
      <c r="S421" s="1"/>
      <c r="T421" s="1" t="s">
        <v>3493</v>
      </c>
      <c r="U421" s="1" t="s">
        <v>2137</v>
      </c>
    </row>
    <row r="422" ht="14.25" customHeight="1">
      <c r="A422" s="1" t="s">
        <v>2383</v>
      </c>
      <c r="B422" s="1" t="s">
        <v>3494</v>
      </c>
      <c r="C422" s="1" t="s">
        <v>3495</v>
      </c>
      <c r="D422" s="3"/>
      <c r="E422" s="1"/>
      <c r="F422" s="1" t="s">
        <v>2386</v>
      </c>
      <c r="G422" s="1" t="s">
        <v>42</v>
      </c>
      <c r="H422" s="1" t="s">
        <v>646</v>
      </c>
      <c r="I422" s="1" t="s">
        <v>1286</v>
      </c>
      <c r="J422" s="1" t="s">
        <v>3496</v>
      </c>
      <c r="K422" s="1" t="s">
        <v>3497</v>
      </c>
      <c r="L422" s="1" t="s">
        <v>3498</v>
      </c>
      <c r="M422" s="1" t="s">
        <v>59</v>
      </c>
      <c r="N422" s="1" t="s">
        <v>3499</v>
      </c>
      <c r="O422" s="1" t="s">
        <v>3500</v>
      </c>
      <c r="P422" s="1" t="s">
        <v>517</v>
      </c>
      <c r="Q422" s="1"/>
      <c r="R422" s="1" t="s">
        <v>1431</v>
      </c>
      <c r="S422" s="1" t="s">
        <v>174</v>
      </c>
      <c r="T422" s="1" t="s">
        <v>3501</v>
      </c>
      <c r="U422" s="1" t="s">
        <v>124</v>
      </c>
    </row>
    <row r="423" ht="14.25" customHeight="1">
      <c r="A423" s="1" t="s">
        <v>2383</v>
      </c>
      <c r="B423" s="1" t="s">
        <v>3502</v>
      </c>
      <c r="C423" s="1" t="s">
        <v>3503</v>
      </c>
      <c r="D423" s="3"/>
      <c r="E423" s="1"/>
      <c r="F423" s="1"/>
      <c r="G423" s="1"/>
      <c r="H423" s="1" t="s">
        <v>646</v>
      </c>
      <c r="I423" s="1" t="s">
        <v>2381</v>
      </c>
      <c r="J423" s="1"/>
      <c r="K423" s="1" t="s">
        <v>3504</v>
      </c>
      <c r="L423" s="1"/>
      <c r="M423" s="1" t="s">
        <v>31</v>
      </c>
      <c r="N423" s="1"/>
      <c r="O423" s="1"/>
      <c r="P423" s="1"/>
      <c r="Q423" s="1"/>
      <c r="R423" s="1" t="s">
        <v>614</v>
      </c>
      <c r="S423" s="1"/>
      <c r="T423" s="1" t="s">
        <v>614</v>
      </c>
      <c r="U423" s="1" t="s">
        <v>614</v>
      </c>
    </row>
    <row r="424" ht="14.25" customHeight="1">
      <c r="A424" s="1" t="s">
        <v>2383</v>
      </c>
      <c r="B424" s="1" t="s">
        <v>3505</v>
      </c>
      <c r="C424" s="1" t="s">
        <v>3506</v>
      </c>
      <c r="D424" s="3" t="s">
        <v>162</v>
      </c>
      <c r="E424" s="1" t="s">
        <v>54</v>
      </c>
      <c r="F424" s="1" t="s">
        <v>41</v>
      </c>
      <c r="G424" s="1" t="s">
        <v>42</v>
      </c>
      <c r="H424" s="1" t="s">
        <v>646</v>
      </c>
      <c r="I424" s="1" t="s">
        <v>3295</v>
      </c>
      <c r="J424" s="1"/>
      <c r="K424" s="1" t="s">
        <v>3507</v>
      </c>
      <c r="L424" s="1" t="s">
        <v>3508</v>
      </c>
      <c r="M424" s="1" t="s">
        <v>59</v>
      </c>
      <c r="N424" s="1" t="s">
        <v>3509</v>
      </c>
      <c r="O424" s="1" t="s">
        <v>3510</v>
      </c>
      <c r="P424" s="1" t="s">
        <v>101</v>
      </c>
      <c r="Q424" s="1"/>
      <c r="R424" s="1" t="s">
        <v>770</v>
      </c>
      <c r="S424" s="1"/>
      <c r="T424" s="1" t="s">
        <v>3511</v>
      </c>
      <c r="U424" s="1" t="s">
        <v>1501</v>
      </c>
    </row>
    <row r="425" ht="14.25" customHeight="1">
      <c r="A425" s="1" t="s">
        <v>2383</v>
      </c>
      <c r="B425" s="1" t="s">
        <v>3512</v>
      </c>
      <c r="C425" s="1" t="s">
        <v>3513</v>
      </c>
      <c r="D425" s="3" t="s">
        <v>3514</v>
      </c>
      <c r="E425" s="1" t="s">
        <v>117</v>
      </c>
      <c r="F425" s="1" t="s">
        <v>2398</v>
      </c>
      <c r="G425" s="1" t="s">
        <v>42</v>
      </c>
      <c r="H425" s="1" t="s">
        <v>646</v>
      </c>
      <c r="I425" s="1" t="s">
        <v>3515</v>
      </c>
      <c r="J425" s="1"/>
      <c r="K425" s="1" t="s">
        <v>3516</v>
      </c>
      <c r="L425" s="1" t="s">
        <v>3517</v>
      </c>
      <c r="M425" s="1" t="s">
        <v>31</v>
      </c>
      <c r="N425" s="1"/>
      <c r="O425" s="1" t="s">
        <v>3518</v>
      </c>
      <c r="P425" s="1" t="s">
        <v>124</v>
      </c>
      <c r="Q425" s="1"/>
      <c r="R425" s="1" t="s">
        <v>62</v>
      </c>
      <c r="S425" s="1"/>
      <c r="T425" s="1" t="s">
        <v>3519</v>
      </c>
      <c r="U425" s="1" t="s">
        <v>34</v>
      </c>
    </row>
    <row r="426" ht="14.25" customHeight="1">
      <c r="A426" s="1" t="s">
        <v>2383</v>
      </c>
      <c r="B426" s="1" t="s">
        <v>3520</v>
      </c>
      <c r="C426" s="1" t="s">
        <v>3521</v>
      </c>
      <c r="D426" s="3" t="s">
        <v>3522</v>
      </c>
      <c r="E426" s="1" t="s">
        <v>40</v>
      </c>
      <c r="F426" s="1" t="s">
        <v>2386</v>
      </c>
      <c r="G426" s="1" t="s">
        <v>232</v>
      </c>
      <c r="H426" s="1" t="s">
        <v>646</v>
      </c>
      <c r="I426" s="1" t="s">
        <v>3523</v>
      </c>
      <c r="J426" s="1" t="s">
        <v>3524</v>
      </c>
      <c r="K426" s="1" t="s">
        <v>3525</v>
      </c>
      <c r="L426" s="1"/>
      <c r="M426" s="1" t="s">
        <v>31</v>
      </c>
      <c r="N426" s="1"/>
      <c r="O426" s="1" t="s">
        <v>3526</v>
      </c>
      <c r="P426" s="1" t="s">
        <v>247</v>
      </c>
      <c r="Q426" s="1"/>
      <c r="R426" s="1" t="s">
        <v>2599</v>
      </c>
      <c r="S426" s="1" t="s">
        <v>40</v>
      </c>
      <c r="T426" s="1" t="s">
        <v>3527</v>
      </c>
      <c r="U426" s="1" t="s">
        <v>101</v>
      </c>
    </row>
    <row r="427" ht="14.25" customHeight="1">
      <c r="A427" s="1" t="s">
        <v>2383</v>
      </c>
      <c r="B427" s="1" t="s">
        <v>3528</v>
      </c>
      <c r="C427" s="1" t="s">
        <v>3529</v>
      </c>
      <c r="D427" s="3" t="s">
        <v>3530</v>
      </c>
      <c r="E427" s="1" t="s">
        <v>79</v>
      </c>
      <c r="F427" s="1" t="s">
        <v>2386</v>
      </c>
      <c r="G427" s="1" t="s">
        <v>42</v>
      </c>
      <c r="H427" s="1" t="s">
        <v>646</v>
      </c>
      <c r="I427" s="1" t="s">
        <v>491</v>
      </c>
      <c r="J427" s="1"/>
      <c r="K427" s="1" t="s">
        <v>3531</v>
      </c>
      <c r="L427" s="1" t="s">
        <v>3532</v>
      </c>
      <c r="M427" s="1" t="s">
        <v>31</v>
      </c>
      <c r="N427" s="1"/>
      <c r="O427" s="1" t="s">
        <v>3533</v>
      </c>
      <c r="P427" s="1" t="s">
        <v>135</v>
      </c>
      <c r="Q427" s="1"/>
      <c r="R427" s="1" t="s">
        <v>62</v>
      </c>
      <c r="S427" s="1"/>
      <c r="T427" s="1" t="s">
        <v>3534</v>
      </c>
      <c r="U427" s="1" t="s">
        <v>1952</v>
      </c>
    </row>
    <row r="428" ht="14.25" customHeight="1">
      <c r="A428" s="1" t="s">
        <v>2383</v>
      </c>
      <c r="B428" s="1" t="s">
        <v>3535</v>
      </c>
      <c r="C428" s="1" t="s">
        <v>3536</v>
      </c>
      <c r="D428" s="3" t="s">
        <v>3537</v>
      </c>
      <c r="E428" s="1" t="s">
        <v>99</v>
      </c>
      <c r="F428" s="1" t="s">
        <v>2386</v>
      </c>
      <c r="G428" s="1" t="s">
        <v>42</v>
      </c>
      <c r="H428" s="1" t="s">
        <v>646</v>
      </c>
      <c r="I428" s="1" t="s">
        <v>3538</v>
      </c>
      <c r="J428" s="1" t="s">
        <v>3539</v>
      </c>
      <c r="K428" s="1" t="s">
        <v>3540</v>
      </c>
      <c r="L428" s="1" t="s">
        <v>3541</v>
      </c>
      <c r="M428" s="1" t="s">
        <v>59</v>
      </c>
      <c r="N428" s="1" t="s">
        <v>3542</v>
      </c>
      <c r="O428" s="1" t="s">
        <v>3543</v>
      </c>
      <c r="P428" s="1" t="s">
        <v>34</v>
      </c>
      <c r="Q428" s="1"/>
      <c r="R428" s="1" t="s">
        <v>130</v>
      </c>
      <c r="S428" s="1" t="s">
        <v>99</v>
      </c>
      <c r="T428" s="1" t="s">
        <v>3544</v>
      </c>
      <c r="U428" s="1" t="s">
        <v>1736</v>
      </c>
    </row>
    <row r="429" ht="14.25" customHeight="1">
      <c r="A429" s="1" t="s">
        <v>2383</v>
      </c>
      <c r="B429" s="1" t="s">
        <v>3545</v>
      </c>
      <c r="C429" s="1" t="s">
        <v>3546</v>
      </c>
      <c r="D429" s="3" t="s">
        <v>468</v>
      </c>
      <c r="E429" s="1" t="s">
        <v>91</v>
      </c>
      <c r="F429" s="1" t="s">
        <v>2417</v>
      </c>
      <c r="G429" s="1" t="s">
        <v>42</v>
      </c>
      <c r="H429" s="1" t="s">
        <v>202</v>
      </c>
      <c r="I429" s="1" t="s">
        <v>641</v>
      </c>
      <c r="J429" s="1" t="s">
        <v>3547</v>
      </c>
      <c r="K429" s="1" t="s">
        <v>3548</v>
      </c>
      <c r="L429" s="1" t="s">
        <v>3549</v>
      </c>
      <c r="M429" s="1" t="s">
        <v>31</v>
      </c>
      <c r="N429" s="1"/>
      <c r="O429" s="1"/>
      <c r="P429" s="1"/>
      <c r="Q429" s="1"/>
      <c r="R429" s="1" t="s">
        <v>163</v>
      </c>
      <c r="S429" s="1"/>
      <c r="T429" s="1" t="s">
        <v>3550</v>
      </c>
      <c r="U429" s="1" t="s">
        <v>517</v>
      </c>
    </row>
    <row r="430" ht="14.25" customHeight="1">
      <c r="A430" s="1" t="s">
        <v>2383</v>
      </c>
      <c r="B430" s="1" t="s">
        <v>3551</v>
      </c>
      <c r="C430" s="1" t="s">
        <v>3552</v>
      </c>
      <c r="D430" s="3" t="s">
        <v>985</v>
      </c>
      <c r="E430" s="1" t="s">
        <v>174</v>
      </c>
      <c r="F430" s="1" t="s">
        <v>2386</v>
      </c>
      <c r="G430" s="1" t="s">
        <v>42</v>
      </c>
      <c r="H430" s="1" t="s">
        <v>202</v>
      </c>
      <c r="I430" s="1" t="s">
        <v>3179</v>
      </c>
      <c r="J430" s="1" t="s">
        <v>3553</v>
      </c>
      <c r="K430" s="1" t="s">
        <v>3554</v>
      </c>
      <c r="L430" s="1" t="s">
        <v>3555</v>
      </c>
      <c r="M430" s="1" t="s">
        <v>31</v>
      </c>
      <c r="N430" s="1"/>
      <c r="O430" s="1" t="s">
        <v>3556</v>
      </c>
      <c r="P430" s="1" t="s">
        <v>1266</v>
      </c>
      <c r="Q430" s="1"/>
      <c r="R430" s="1" t="s">
        <v>110</v>
      </c>
      <c r="S430" s="1"/>
      <c r="T430" s="1" t="s">
        <v>3557</v>
      </c>
      <c r="U430" s="1" t="s">
        <v>159</v>
      </c>
    </row>
    <row r="431" ht="14.25" customHeight="1">
      <c r="A431" s="1" t="s">
        <v>2383</v>
      </c>
      <c r="B431" s="1" t="s">
        <v>3558</v>
      </c>
      <c r="C431" s="1" t="s">
        <v>3559</v>
      </c>
      <c r="D431" s="3" t="s">
        <v>3560</v>
      </c>
      <c r="E431" s="1" t="s">
        <v>99</v>
      </c>
      <c r="F431" s="1" t="s">
        <v>2398</v>
      </c>
      <c r="G431" s="1" t="s">
        <v>1801</v>
      </c>
      <c r="H431" s="1" t="s">
        <v>202</v>
      </c>
      <c r="I431" s="1" t="s">
        <v>2208</v>
      </c>
      <c r="J431" s="1" t="s">
        <v>3561</v>
      </c>
      <c r="K431" s="1" t="s">
        <v>3562</v>
      </c>
      <c r="L431" s="1" t="s">
        <v>3563</v>
      </c>
      <c r="M431" s="1" t="s">
        <v>31</v>
      </c>
      <c r="N431" s="1"/>
      <c r="O431" s="1" t="s">
        <v>3564</v>
      </c>
      <c r="P431" s="1" t="s">
        <v>65</v>
      </c>
      <c r="Q431" s="1"/>
      <c r="R431" s="1" t="s">
        <v>817</v>
      </c>
      <c r="S431" s="1" t="s">
        <v>25</v>
      </c>
      <c r="T431" s="1" t="s">
        <v>3565</v>
      </c>
      <c r="U431" s="1" t="s">
        <v>3566</v>
      </c>
    </row>
    <row r="432" ht="14.25" customHeight="1">
      <c r="A432" s="1" t="s">
        <v>2383</v>
      </c>
      <c r="B432" s="1" t="s">
        <v>3567</v>
      </c>
      <c r="C432" s="1" t="s">
        <v>3568</v>
      </c>
      <c r="D432" s="3" t="s">
        <v>320</v>
      </c>
      <c r="E432" s="1" t="s">
        <v>54</v>
      </c>
      <c r="F432" s="1" t="s">
        <v>2386</v>
      </c>
      <c r="G432" s="1" t="s">
        <v>232</v>
      </c>
      <c r="H432" s="1" t="s">
        <v>202</v>
      </c>
      <c r="I432" s="1" t="s">
        <v>3569</v>
      </c>
      <c r="J432" s="1"/>
      <c r="K432" s="1" t="s">
        <v>3570</v>
      </c>
      <c r="L432" s="1" t="s">
        <v>3571</v>
      </c>
      <c r="M432" s="1" t="s">
        <v>31</v>
      </c>
      <c r="N432" s="1"/>
      <c r="O432" s="4" t="s">
        <v>3572</v>
      </c>
      <c r="P432" s="1" t="s">
        <v>110</v>
      </c>
      <c r="Q432" s="1"/>
      <c r="R432" s="1" t="s">
        <v>932</v>
      </c>
      <c r="S432" s="1"/>
      <c r="T432" s="1" t="s">
        <v>3573</v>
      </c>
      <c r="U432" s="1" t="s">
        <v>202</v>
      </c>
    </row>
    <row r="433" ht="14.25" customHeight="1">
      <c r="A433" s="1" t="s">
        <v>2383</v>
      </c>
      <c r="B433" s="1" t="s">
        <v>3574</v>
      </c>
      <c r="C433" s="1" t="s">
        <v>3575</v>
      </c>
      <c r="D433" s="1" t="s">
        <v>208</v>
      </c>
      <c r="E433" s="1" t="s">
        <v>79</v>
      </c>
      <c r="F433" s="1" t="s">
        <v>2386</v>
      </c>
      <c r="G433" s="1" t="s">
        <v>42</v>
      </c>
      <c r="H433" s="1" t="s">
        <v>202</v>
      </c>
      <c r="I433" s="1" t="s">
        <v>3576</v>
      </c>
      <c r="J433" s="1"/>
      <c r="K433" s="1" t="s">
        <v>3577</v>
      </c>
      <c r="L433" s="1" t="s">
        <v>3578</v>
      </c>
      <c r="M433" s="1" t="s">
        <v>31</v>
      </c>
      <c r="N433" s="1"/>
      <c r="O433" s="1" t="s">
        <v>3579</v>
      </c>
      <c r="P433" s="1" t="s">
        <v>182</v>
      </c>
      <c r="Q433" s="1"/>
      <c r="R433" s="1" t="s">
        <v>156</v>
      </c>
      <c r="S433" s="1"/>
      <c r="T433" s="1" t="s">
        <v>3580</v>
      </c>
      <c r="U433" s="1" t="s">
        <v>3581</v>
      </c>
    </row>
    <row r="434" ht="14.25" customHeight="1">
      <c r="A434" s="1" t="s">
        <v>2383</v>
      </c>
      <c r="B434" s="1" t="s">
        <v>3582</v>
      </c>
      <c r="C434" s="1" t="s">
        <v>3583</v>
      </c>
      <c r="D434" s="3" t="s">
        <v>3584</v>
      </c>
      <c r="E434" s="1" t="s">
        <v>79</v>
      </c>
      <c r="F434" s="1" t="s">
        <v>2398</v>
      </c>
      <c r="G434" s="1" t="s">
        <v>42</v>
      </c>
      <c r="H434" s="1" t="s">
        <v>202</v>
      </c>
      <c r="I434" s="1" t="s">
        <v>3155</v>
      </c>
      <c r="J434" s="1" t="s">
        <v>3585</v>
      </c>
      <c r="K434" s="1" t="s">
        <v>3586</v>
      </c>
      <c r="L434" s="1" t="s">
        <v>3587</v>
      </c>
      <c r="M434" s="1" t="s">
        <v>59</v>
      </c>
      <c r="N434" s="1" t="s">
        <v>3588</v>
      </c>
      <c r="O434" s="1" t="s">
        <v>3283</v>
      </c>
      <c r="P434" s="1" t="s">
        <v>228</v>
      </c>
      <c r="Q434" s="1"/>
      <c r="R434" s="1" t="s">
        <v>202</v>
      </c>
      <c r="S434" s="1" t="s">
        <v>79</v>
      </c>
      <c r="T434" s="1" t="s">
        <v>3589</v>
      </c>
      <c r="U434" s="1" t="s">
        <v>3590</v>
      </c>
    </row>
    <row r="435" ht="14.25" customHeight="1">
      <c r="A435" s="1" t="s">
        <v>2383</v>
      </c>
      <c r="B435" s="1" t="s">
        <v>3591</v>
      </c>
      <c r="C435" s="1" t="s">
        <v>3592</v>
      </c>
      <c r="D435" s="3"/>
      <c r="E435" s="1"/>
      <c r="F435" s="1"/>
      <c r="G435" s="1" t="s">
        <v>42</v>
      </c>
      <c r="H435" s="1" t="s">
        <v>202</v>
      </c>
      <c r="I435" s="1" t="s">
        <v>2857</v>
      </c>
      <c r="J435" s="1"/>
      <c r="K435" s="1" t="s">
        <v>3593</v>
      </c>
      <c r="L435" s="1" t="s">
        <v>3594</v>
      </c>
      <c r="M435" s="1" t="s">
        <v>31</v>
      </c>
      <c r="N435" s="1"/>
      <c r="O435" s="1" t="s">
        <v>3595</v>
      </c>
      <c r="P435" s="1" t="s">
        <v>228</v>
      </c>
      <c r="Q435" s="1"/>
      <c r="R435" s="1" t="s">
        <v>1087</v>
      </c>
      <c r="S435" s="1"/>
      <c r="T435" s="1" t="s">
        <v>3596</v>
      </c>
      <c r="U435" s="1" t="s">
        <v>1266</v>
      </c>
    </row>
    <row r="436" ht="14.25" customHeight="1">
      <c r="A436" s="1" t="s">
        <v>2383</v>
      </c>
      <c r="B436" s="1" t="s">
        <v>3597</v>
      </c>
      <c r="C436" s="1" t="s">
        <v>3598</v>
      </c>
      <c r="D436" s="1" t="s">
        <v>3599</v>
      </c>
      <c r="E436" s="1" t="s">
        <v>429</v>
      </c>
      <c r="F436" s="1" t="s">
        <v>2386</v>
      </c>
      <c r="G436" s="1" t="s">
        <v>42</v>
      </c>
      <c r="H436" s="1" t="s">
        <v>202</v>
      </c>
      <c r="I436" s="1" t="s">
        <v>3268</v>
      </c>
      <c r="J436" s="1"/>
      <c r="K436" s="1" t="s">
        <v>3600</v>
      </c>
      <c r="L436" s="1" t="s">
        <v>3601</v>
      </c>
      <c r="M436" s="1" t="s">
        <v>31</v>
      </c>
      <c r="N436" s="1"/>
      <c r="O436" s="1" t="s">
        <v>3602</v>
      </c>
      <c r="P436" s="1" t="s">
        <v>156</v>
      </c>
      <c r="Q436" s="1"/>
      <c r="R436" s="1" t="s">
        <v>475</v>
      </c>
      <c r="S436" s="1"/>
      <c r="T436" s="1" t="s">
        <v>3603</v>
      </c>
      <c r="U436" s="1" t="s">
        <v>261</v>
      </c>
    </row>
    <row r="437" ht="14.25" customHeight="1">
      <c r="A437" s="1" t="s">
        <v>2383</v>
      </c>
      <c r="B437" s="1" t="s">
        <v>3604</v>
      </c>
      <c r="C437" s="1" t="s">
        <v>3605</v>
      </c>
      <c r="D437" s="3" t="s">
        <v>3606</v>
      </c>
      <c r="E437" s="1" t="s">
        <v>174</v>
      </c>
      <c r="F437" s="1" t="s">
        <v>2386</v>
      </c>
      <c r="G437" s="1" t="s">
        <v>42</v>
      </c>
      <c r="H437" s="1" t="s">
        <v>202</v>
      </c>
      <c r="I437" s="1" t="s">
        <v>3607</v>
      </c>
      <c r="J437" s="1" t="s">
        <v>3608</v>
      </c>
      <c r="K437" s="1" t="s">
        <v>3609</v>
      </c>
      <c r="L437" s="1" t="s">
        <v>3610</v>
      </c>
      <c r="M437" s="1" t="s">
        <v>59</v>
      </c>
      <c r="N437" s="1" t="s">
        <v>3611</v>
      </c>
      <c r="O437" s="1" t="s">
        <v>3612</v>
      </c>
      <c r="P437" s="1" t="s">
        <v>73</v>
      </c>
      <c r="Q437" s="1"/>
      <c r="R437" s="1" t="s">
        <v>84</v>
      </c>
      <c r="S437" s="1" t="s">
        <v>174</v>
      </c>
      <c r="T437" s="1" t="s">
        <v>3613</v>
      </c>
      <c r="U437" s="1" t="s">
        <v>3218</v>
      </c>
    </row>
    <row r="438" ht="14.25" customHeight="1">
      <c r="A438" s="1" t="s">
        <v>2383</v>
      </c>
      <c r="B438" s="1" t="s">
        <v>3614</v>
      </c>
      <c r="C438" s="1" t="s">
        <v>3615</v>
      </c>
      <c r="D438" s="3"/>
      <c r="E438" s="1"/>
      <c r="F438" s="1" t="s">
        <v>2386</v>
      </c>
      <c r="G438" s="1" t="s">
        <v>42</v>
      </c>
      <c r="H438" s="1" t="s">
        <v>202</v>
      </c>
      <c r="I438" s="1" t="s">
        <v>3616</v>
      </c>
      <c r="J438" s="1" t="s">
        <v>3617</v>
      </c>
      <c r="K438" s="1" t="s">
        <v>3618</v>
      </c>
      <c r="L438" s="1" t="s">
        <v>3619</v>
      </c>
      <c r="M438" s="1" t="s">
        <v>31</v>
      </c>
      <c r="N438" s="1"/>
      <c r="O438" s="1" t="s">
        <v>3620</v>
      </c>
      <c r="P438" s="1" t="s">
        <v>192</v>
      </c>
      <c r="Q438" s="1"/>
      <c r="R438" s="1" t="s">
        <v>48</v>
      </c>
      <c r="S438" s="1"/>
      <c r="T438" s="1" t="s">
        <v>3621</v>
      </c>
      <c r="U438" s="1" t="s">
        <v>966</v>
      </c>
    </row>
    <row r="439" ht="14.25" customHeight="1">
      <c r="A439" s="1" t="s">
        <v>2383</v>
      </c>
      <c r="B439" s="1" t="s">
        <v>3622</v>
      </c>
      <c r="C439" s="1" t="s">
        <v>3623</v>
      </c>
      <c r="D439" s="3" t="s">
        <v>3624</v>
      </c>
      <c r="E439" s="1" t="s">
        <v>25</v>
      </c>
      <c r="F439" s="1" t="s">
        <v>2386</v>
      </c>
      <c r="G439" s="1" t="s">
        <v>42</v>
      </c>
      <c r="H439" s="1" t="s">
        <v>202</v>
      </c>
      <c r="I439" s="1" t="s">
        <v>3625</v>
      </c>
      <c r="J439" s="1"/>
      <c r="K439" s="1" t="s">
        <v>3626</v>
      </c>
      <c r="L439" s="1" t="s">
        <v>3627</v>
      </c>
      <c r="M439" s="1" t="s">
        <v>59</v>
      </c>
      <c r="N439" s="1" t="s">
        <v>3628</v>
      </c>
      <c r="O439" s="1" t="s">
        <v>3629</v>
      </c>
      <c r="P439" s="1" t="s">
        <v>182</v>
      </c>
      <c r="Q439" s="1"/>
      <c r="R439" s="1" t="s">
        <v>163</v>
      </c>
      <c r="S439" s="1" t="s">
        <v>117</v>
      </c>
      <c r="T439" s="1" t="s">
        <v>3630</v>
      </c>
      <c r="U439" s="1" t="s">
        <v>73</v>
      </c>
    </row>
    <row r="440" ht="14.25" customHeight="1">
      <c r="A440" s="1" t="s">
        <v>2383</v>
      </c>
      <c r="B440" s="1" t="s">
        <v>3631</v>
      </c>
      <c r="C440" s="1" t="s">
        <v>3632</v>
      </c>
      <c r="D440" s="1" t="s">
        <v>3633</v>
      </c>
      <c r="E440" s="1" t="s">
        <v>79</v>
      </c>
      <c r="F440" s="1" t="s">
        <v>2386</v>
      </c>
      <c r="G440" s="1" t="s">
        <v>1801</v>
      </c>
      <c r="H440" s="1" t="s">
        <v>202</v>
      </c>
      <c r="I440" s="1" t="s">
        <v>3634</v>
      </c>
      <c r="J440" s="1" t="s">
        <v>3635</v>
      </c>
      <c r="K440" s="1" t="s">
        <v>3636</v>
      </c>
      <c r="L440" s="1" t="s">
        <v>3637</v>
      </c>
      <c r="M440" s="1" t="s">
        <v>59</v>
      </c>
      <c r="N440" s="1" t="s">
        <v>3638</v>
      </c>
      <c r="O440" s="1" t="s">
        <v>3639</v>
      </c>
      <c r="P440" s="1" t="s">
        <v>932</v>
      </c>
      <c r="Q440" s="1"/>
      <c r="R440" s="1" t="s">
        <v>1455</v>
      </c>
      <c r="S440" s="1" t="s">
        <v>40</v>
      </c>
      <c r="T440" s="1" t="s">
        <v>3640</v>
      </c>
      <c r="U440" s="1" t="s">
        <v>3641</v>
      </c>
    </row>
    <row r="441" ht="14.25" customHeight="1">
      <c r="A441" s="1" t="s">
        <v>2383</v>
      </c>
      <c r="B441" s="1" t="s">
        <v>3642</v>
      </c>
      <c r="C441" s="1" t="s">
        <v>3643</v>
      </c>
      <c r="D441" s="3" t="s">
        <v>3644</v>
      </c>
      <c r="E441" s="1" t="s">
        <v>25</v>
      </c>
      <c r="F441" s="1" t="s">
        <v>2386</v>
      </c>
      <c r="G441" s="1" t="s">
        <v>232</v>
      </c>
      <c r="H441" s="1" t="s">
        <v>125</v>
      </c>
      <c r="I441" s="1" t="s">
        <v>1244</v>
      </c>
      <c r="J441" s="1"/>
      <c r="K441" s="1" t="s">
        <v>3645</v>
      </c>
      <c r="L441" s="1" t="s">
        <v>3646</v>
      </c>
      <c r="M441" s="1" t="s">
        <v>59</v>
      </c>
      <c r="N441" s="1" t="s">
        <v>3647</v>
      </c>
      <c r="O441" s="1" t="s">
        <v>3648</v>
      </c>
      <c r="P441" s="1" t="s">
        <v>33</v>
      </c>
      <c r="Q441" s="1"/>
      <c r="R441" s="1" t="s">
        <v>487</v>
      </c>
      <c r="S441" s="1"/>
      <c r="T441" s="1" t="s">
        <v>3649</v>
      </c>
      <c r="U441" s="1" t="s">
        <v>294</v>
      </c>
    </row>
    <row r="442" ht="14.25" customHeight="1">
      <c r="A442" s="1" t="s">
        <v>2383</v>
      </c>
      <c r="B442" s="1" t="s">
        <v>3650</v>
      </c>
      <c r="C442" s="1" t="s">
        <v>3651</v>
      </c>
      <c r="D442" s="1"/>
      <c r="E442" s="1"/>
      <c r="F442" s="1"/>
      <c r="G442" s="1" t="s">
        <v>42</v>
      </c>
      <c r="H442" s="1" t="s">
        <v>125</v>
      </c>
      <c r="I442" s="1" t="s">
        <v>3652</v>
      </c>
      <c r="J442" s="1"/>
      <c r="K442" s="1" t="s">
        <v>3653</v>
      </c>
      <c r="L442" s="1" t="s">
        <v>3654</v>
      </c>
      <c r="M442" s="1" t="s">
        <v>59</v>
      </c>
      <c r="N442" s="1" t="s">
        <v>3655</v>
      </c>
      <c r="O442" s="1" t="s">
        <v>3656</v>
      </c>
      <c r="P442" s="1" t="s">
        <v>517</v>
      </c>
      <c r="Q442" s="1"/>
      <c r="R442" s="1" t="s">
        <v>125</v>
      </c>
      <c r="S442" s="1" t="s">
        <v>3456</v>
      </c>
      <c r="T442" s="1" t="s">
        <v>1006</v>
      </c>
      <c r="U442" s="1" t="s">
        <v>517</v>
      </c>
    </row>
    <row r="443" ht="14.25" customHeight="1">
      <c r="A443" s="1" t="s">
        <v>2383</v>
      </c>
      <c r="B443" s="1" t="s">
        <v>3657</v>
      </c>
      <c r="C443" s="1" t="s">
        <v>3658</v>
      </c>
      <c r="D443" s="3" t="s">
        <v>3659</v>
      </c>
      <c r="E443" s="1" t="s">
        <v>91</v>
      </c>
      <c r="F443" s="1" t="s">
        <v>2386</v>
      </c>
      <c r="G443" s="1" t="s">
        <v>42</v>
      </c>
      <c r="H443" s="1" t="s">
        <v>125</v>
      </c>
      <c r="I443" s="1" t="s">
        <v>3660</v>
      </c>
      <c r="J443" s="1" t="s">
        <v>3661</v>
      </c>
      <c r="K443" s="1" t="s">
        <v>3662</v>
      </c>
      <c r="L443" s="1" t="s">
        <v>3663</v>
      </c>
      <c r="M443" s="1" t="s">
        <v>59</v>
      </c>
      <c r="N443" s="1" t="s">
        <v>3664</v>
      </c>
      <c r="O443" s="1" t="s">
        <v>3665</v>
      </c>
      <c r="P443" s="1" t="s">
        <v>487</v>
      </c>
      <c r="Q443" s="1"/>
      <c r="R443" s="1" t="s">
        <v>505</v>
      </c>
      <c r="S443" s="1"/>
      <c r="T443" s="1" t="s">
        <v>3666</v>
      </c>
      <c r="U443" s="1" t="s">
        <v>3667</v>
      </c>
    </row>
    <row r="444" ht="14.25" customHeight="1">
      <c r="A444" s="1" t="s">
        <v>2383</v>
      </c>
      <c r="B444" s="1" t="s">
        <v>339</v>
      </c>
      <c r="C444" s="1" t="s">
        <v>340</v>
      </c>
      <c r="D444" s="3"/>
      <c r="E444" s="1"/>
      <c r="F444" s="1" t="s">
        <v>41</v>
      </c>
      <c r="G444" s="1" t="s">
        <v>42</v>
      </c>
      <c r="H444" s="1" t="s">
        <v>125</v>
      </c>
      <c r="I444" s="1" t="s">
        <v>341</v>
      </c>
      <c r="J444" s="1" t="s">
        <v>342</v>
      </c>
      <c r="K444" s="1" t="s">
        <v>343</v>
      </c>
      <c r="L444" s="1" t="s">
        <v>344</v>
      </c>
      <c r="M444" s="1" t="s">
        <v>31</v>
      </c>
      <c r="N444" s="1"/>
      <c r="O444" s="1" t="s">
        <v>345</v>
      </c>
      <c r="P444" s="1" t="s">
        <v>346</v>
      </c>
      <c r="Q444" s="1"/>
      <c r="R444" s="1" t="s">
        <v>216</v>
      </c>
      <c r="S444" s="1"/>
      <c r="T444" s="1" t="s">
        <v>347</v>
      </c>
      <c r="U444" s="1" t="s">
        <v>348</v>
      </c>
    </row>
    <row r="445" ht="14.25" customHeight="1">
      <c r="A445" s="1" t="s">
        <v>2383</v>
      </c>
      <c r="B445" s="1" t="s">
        <v>3668</v>
      </c>
      <c r="C445" s="1" t="s">
        <v>3669</v>
      </c>
      <c r="D445" s="3" t="s">
        <v>3064</v>
      </c>
      <c r="E445" s="1" t="s">
        <v>25</v>
      </c>
      <c r="F445" s="1" t="s">
        <v>2398</v>
      </c>
      <c r="G445" s="1" t="s">
        <v>42</v>
      </c>
      <c r="H445" s="1" t="s">
        <v>125</v>
      </c>
      <c r="I445" s="1" t="s">
        <v>3057</v>
      </c>
      <c r="J445" s="1"/>
      <c r="K445" s="1" t="s">
        <v>3670</v>
      </c>
      <c r="L445" s="1" t="s">
        <v>3671</v>
      </c>
      <c r="M445" s="1" t="s">
        <v>31</v>
      </c>
      <c r="N445" s="1"/>
      <c r="O445" s="1" t="s">
        <v>3672</v>
      </c>
      <c r="P445" s="1" t="s">
        <v>33</v>
      </c>
      <c r="Q445" s="1"/>
      <c r="R445" s="1" t="s">
        <v>258</v>
      </c>
      <c r="S445" s="1"/>
      <c r="T445" s="1" t="s">
        <v>3673</v>
      </c>
      <c r="U445" s="1" t="s">
        <v>1881</v>
      </c>
    </row>
    <row r="446" ht="14.25" customHeight="1">
      <c r="A446" s="1" t="s">
        <v>2383</v>
      </c>
      <c r="B446" s="1" t="s">
        <v>3674</v>
      </c>
      <c r="C446" s="1" t="s">
        <v>3675</v>
      </c>
      <c r="D446" s="1" t="s">
        <v>3357</v>
      </c>
      <c r="E446" s="1" t="s">
        <v>79</v>
      </c>
      <c r="F446" s="1" t="s">
        <v>2386</v>
      </c>
      <c r="G446" s="1" t="s">
        <v>42</v>
      </c>
      <c r="H446" s="1" t="s">
        <v>125</v>
      </c>
      <c r="I446" s="1" t="s">
        <v>584</v>
      </c>
      <c r="J446" s="1" t="s">
        <v>3676</v>
      </c>
      <c r="K446" s="1" t="s">
        <v>3677</v>
      </c>
      <c r="L446" s="1" t="s">
        <v>3678</v>
      </c>
      <c r="M446" s="1" t="s">
        <v>59</v>
      </c>
      <c r="N446" s="1" t="s">
        <v>3679</v>
      </c>
      <c r="O446" s="1" t="s">
        <v>3680</v>
      </c>
      <c r="P446" s="1" t="s">
        <v>517</v>
      </c>
      <c r="Q446" s="1"/>
      <c r="R446" s="1" t="s">
        <v>1697</v>
      </c>
      <c r="S446" s="1" t="s">
        <v>79</v>
      </c>
      <c r="T446" s="1" t="s">
        <v>3681</v>
      </c>
      <c r="U446" s="1" t="s">
        <v>3682</v>
      </c>
    </row>
    <row r="447" ht="14.25" customHeight="1">
      <c r="A447" s="1" t="s">
        <v>2383</v>
      </c>
      <c r="B447" s="1" t="s">
        <v>3683</v>
      </c>
      <c r="C447" s="1" t="s">
        <v>3684</v>
      </c>
      <c r="D447" s="3" t="s">
        <v>3685</v>
      </c>
      <c r="E447" s="1" t="s">
        <v>54</v>
      </c>
      <c r="F447" s="1" t="s">
        <v>2398</v>
      </c>
      <c r="G447" s="1" t="s">
        <v>42</v>
      </c>
      <c r="H447" s="1" t="s">
        <v>125</v>
      </c>
      <c r="I447" s="1" t="s">
        <v>676</v>
      </c>
      <c r="J447" s="1"/>
      <c r="K447" s="1" t="s">
        <v>3686</v>
      </c>
      <c r="L447" s="1" t="s">
        <v>3687</v>
      </c>
      <c r="M447" s="1" t="s">
        <v>31</v>
      </c>
      <c r="N447" s="1"/>
      <c r="O447" s="1" t="s">
        <v>3688</v>
      </c>
      <c r="P447" s="1" t="s">
        <v>124</v>
      </c>
      <c r="Q447" s="1"/>
      <c r="R447" s="1" t="s">
        <v>646</v>
      </c>
      <c r="S447" s="1"/>
      <c r="T447" s="1" t="s">
        <v>3689</v>
      </c>
      <c r="U447" s="1" t="s">
        <v>3028</v>
      </c>
    </row>
    <row r="448" ht="14.25" customHeight="1">
      <c r="A448" s="1" t="s">
        <v>2383</v>
      </c>
      <c r="B448" s="1" t="s">
        <v>3690</v>
      </c>
      <c r="C448" s="1" t="s">
        <v>3691</v>
      </c>
      <c r="D448" s="3"/>
      <c r="E448" s="1"/>
      <c r="F448" s="1" t="s">
        <v>2386</v>
      </c>
      <c r="G448" s="1" t="s">
        <v>42</v>
      </c>
      <c r="H448" s="1" t="s">
        <v>125</v>
      </c>
      <c r="I448" s="1" t="s">
        <v>3155</v>
      </c>
      <c r="J448" s="1" t="s">
        <v>3692</v>
      </c>
      <c r="K448" s="1" t="s">
        <v>3693</v>
      </c>
      <c r="L448" s="1" t="s">
        <v>3694</v>
      </c>
      <c r="M448" s="1" t="s">
        <v>59</v>
      </c>
      <c r="N448" s="1" t="s">
        <v>3695</v>
      </c>
      <c r="O448" s="4" t="s">
        <v>3696</v>
      </c>
      <c r="P448" s="1" t="s">
        <v>646</v>
      </c>
      <c r="Q448" s="1"/>
      <c r="R448" s="1" t="s">
        <v>367</v>
      </c>
      <c r="S448" s="1" t="s">
        <v>174</v>
      </c>
      <c r="T448" s="1" t="s">
        <v>3697</v>
      </c>
      <c r="U448" s="1" t="s">
        <v>346</v>
      </c>
    </row>
    <row r="449" ht="14.25" customHeight="1">
      <c r="A449" s="1" t="s">
        <v>2383</v>
      </c>
      <c r="B449" s="1" t="s">
        <v>3698</v>
      </c>
      <c r="C449" s="1" t="s">
        <v>3699</v>
      </c>
      <c r="D449" s="1" t="s">
        <v>3700</v>
      </c>
      <c r="E449" s="1" t="s">
        <v>352</v>
      </c>
      <c r="F449" s="1" t="s">
        <v>2386</v>
      </c>
      <c r="G449" s="1" t="s">
        <v>42</v>
      </c>
      <c r="H449" s="1" t="s">
        <v>125</v>
      </c>
      <c r="I449" s="1" t="s">
        <v>3080</v>
      </c>
      <c r="J449" s="1"/>
      <c r="K449" s="1" t="s">
        <v>3701</v>
      </c>
      <c r="L449" s="1" t="s">
        <v>3702</v>
      </c>
      <c r="M449" s="1" t="s">
        <v>31</v>
      </c>
      <c r="N449" s="1"/>
      <c r="O449" s="1" t="s">
        <v>3703</v>
      </c>
      <c r="P449" s="1" t="s">
        <v>73</v>
      </c>
      <c r="Q449" s="1"/>
      <c r="R449" s="1" t="s">
        <v>475</v>
      </c>
      <c r="S449" s="1"/>
      <c r="T449" s="1" t="s">
        <v>1951</v>
      </c>
      <c r="U449" s="1" t="s">
        <v>1952</v>
      </c>
    </row>
    <row r="450" ht="14.25" customHeight="1">
      <c r="A450" s="1" t="s">
        <v>2383</v>
      </c>
      <c r="B450" s="1" t="s">
        <v>3704</v>
      </c>
      <c r="C450" s="1" t="s">
        <v>3705</v>
      </c>
      <c r="D450" s="3" t="s">
        <v>3706</v>
      </c>
      <c r="E450" s="1" t="s">
        <v>117</v>
      </c>
      <c r="F450" s="1" t="s">
        <v>2825</v>
      </c>
      <c r="G450" s="1" t="s">
        <v>42</v>
      </c>
      <c r="H450" s="1" t="s">
        <v>125</v>
      </c>
      <c r="I450" s="1" t="s">
        <v>3707</v>
      </c>
      <c r="J450" s="1"/>
      <c r="K450" s="1" t="s">
        <v>3708</v>
      </c>
      <c r="L450" s="1" t="s">
        <v>3709</v>
      </c>
      <c r="M450" s="1" t="s">
        <v>31</v>
      </c>
      <c r="N450" s="1"/>
      <c r="O450" s="1" t="s">
        <v>1322</v>
      </c>
      <c r="P450" s="1" t="s">
        <v>1266</v>
      </c>
      <c r="Q450" s="1"/>
      <c r="R450" s="1" t="s">
        <v>298</v>
      </c>
      <c r="S450" s="1"/>
      <c r="T450" s="1" t="s">
        <v>3710</v>
      </c>
      <c r="U450" s="1" t="s">
        <v>1039</v>
      </c>
    </row>
    <row r="451" ht="14.25" customHeight="1">
      <c r="A451" s="1" t="s">
        <v>2383</v>
      </c>
      <c r="B451" s="1" t="s">
        <v>3711</v>
      </c>
      <c r="C451" s="1" t="s">
        <v>3712</v>
      </c>
      <c r="D451" s="3" t="s">
        <v>3713</v>
      </c>
      <c r="E451" s="1" t="s">
        <v>174</v>
      </c>
      <c r="F451" s="1" t="s">
        <v>2386</v>
      </c>
      <c r="G451" s="1" t="s">
        <v>42</v>
      </c>
      <c r="H451" s="1" t="s">
        <v>125</v>
      </c>
      <c r="I451" s="1" t="s">
        <v>2320</v>
      </c>
      <c r="J451" s="1" t="s">
        <v>3714</v>
      </c>
      <c r="K451" s="1" t="s">
        <v>3715</v>
      </c>
      <c r="L451" s="1" t="s">
        <v>3716</v>
      </c>
      <c r="M451" s="1" t="s">
        <v>59</v>
      </c>
      <c r="N451" s="1" t="s">
        <v>3717</v>
      </c>
      <c r="O451" s="4"/>
      <c r="P451" s="1"/>
      <c r="Q451" s="1"/>
      <c r="R451" s="1" t="s">
        <v>247</v>
      </c>
      <c r="S451" s="1" t="s">
        <v>174</v>
      </c>
      <c r="T451" s="1" t="s">
        <v>3718</v>
      </c>
      <c r="U451" s="1" t="s">
        <v>215</v>
      </c>
    </row>
    <row r="452" ht="14.25" customHeight="1">
      <c r="A452" s="1" t="s">
        <v>2383</v>
      </c>
      <c r="B452" s="1" t="s">
        <v>3719</v>
      </c>
      <c r="C452" s="1" t="s">
        <v>3720</v>
      </c>
      <c r="D452" s="1"/>
      <c r="E452" s="1"/>
      <c r="F452" s="1"/>
      <c r="G452" s="1"/>
      <c r="H452" s="1" t="s">
        <v>125</v>
      </c>
      <c r="I452" s="1" t="s">
        <v>3721</v>
      </c>
      <c r="J452" s="1"/>
      <c r="K452" s="1" t="s">
        <v>3722</v>
      </c>
      <c r="L452" s="1"/>
      <c r="M452" s="1" t="s">
        <v>31</v>
      </c>
      <c r="N452" s="1"/>
      <c r="O452" s="1"/>
      <c r="P452" s="1"/>
      <c r="Q452" s="1"/>
      <c r="R452" s="1" t="s">
        <v>663</v>
      </c>
      <c r="S452" s="1"/>
      <c r="T452" s="1" t="s">
        <v>487</v>
      </c>
      <c r="U452" s="1" t="s">
        <v>487</v>
      </c>
    </row>
    <row r="453" ht="14.25" customHeight="1">
      <c r="A453" s="1" t="s">
        <v>2383</v>
      </c>
      <c r="B453" s="1" t="s">
        <v>3723</v>
      </c>
      <c r="C453" s="1" t="s">
        <v>3724</v>
      </c>
      <c r="D453" s="3" t="s">
        <v>2270</v>
      </c>
      <c r="E453" s="1" t="s">
        <v>91</v>
      </c>
      <c r="F453" s="1" t="s">
        <v>2386</v>
      </c>
      <c r="G453" s="1" t="s">
        <v>42</v>
      </c>
      <c r="H453" s="1" t="s">
        <v>125</v>
      </c>
      <c r="I453" s="1" t="s">
        <v>3725</v>
      </c>
      <c r="J453" s="1" t="s">
        <v>3726</v>
      </c>
      <c r="K453" s="1" t="s">
        <v>3727</v>
      </c>
      <c r="L453" s="1" t="s">
        <v>3728</v>
      </c>
      <c r="M453" s="1" t="s">
        <v>31</v>
      </c>
      <c r="N453" s="1"/>
      <c r="O453" s="4" t="s">
        <v>3729</v>
      </c>
      <c r="P453" s="1" t="s">
        <v>517</v>
      </c>
      <c r="Q453" s="1"/>
      <c r="R453" s="1" t="s">
        <v>1455</v>
      </c>
      <c r="S453" s="1"/>
      <c r="T453" s="1" t="s">
        <v>3730</v>
      </c>
      <c r="U453" s="1" t="s">
        <v>3731</v>
      </c>
    </row>
    <row r="454" ht="14.25" customHeight="1">
      <c r="A454" s="1" t="s">
        <v>2383</v>
      </c>
      <c r="B454" s="1" t="s">
        <v>3732</v>
      </c>
      <c r="C454" s="1" t="s">
        <v>3733</v>
      </c>
      <c r="D454" s="3" t="s">
        <v>3734</v>
      </c>
      <c r="E454" s="1" t="s">
        <v>117</v>
      </c>
      <c r="F454" s="1" t="s">
        <v>2386</v>
      </c>
      <c r="G454" s="1" t="s">
        <v>42</v>
      </c>
      <c r="H454" s="1" t="s">
        <v>125</v>
      </c>
      <c r="I454" s="1" t="s">
        <v>3735</v>
      </c>
      <c r="J454" s="1" t="s">
        <v>3736</v>
      </c>
      <c r="K454" s="1" t="s">
        <v>3737</v>
      </c>
      <c r="L454" s="1" t="s">
        <v>3738</v>
      </c>
      <c r="M454" s="1" t="s">
        <v>59</v>
      </c>
      <c r="N454" s="1" t="s">
        <v>3739</v>
      </c>
      <c r="O454" s="1" t="s">
        <v>2226</v>
      </c>
      <c r="P454" s="1" t="s">
        <v>124</v>
      </c>
      <c r="Q454" s="1"/>
      <c r="R454" s="1" t="s">
        <v>202</v>
      </c>
      <c r="S454" s="1" t="s">
        <v>117</v>
      </c>
      <c r="T454" s="1" t="s">
        <v>3740</v>
      </c>
      <c r="U454" s="1" t="s">
        <v>2220</v>
      </c>
    </row>
    <row r="455" ht="14.25" customHeight="1">
      <c r="A455" s="1" t="s">
        <v>2383</v>
      </c>
      <c r="B455" s="1" t="s">
        <v>3741</v>
      </c>
      <c r="C455" s="1" t="s">
        <v>3742</v>
      </c>
      <c r="D455" s="3"/>
      <c r="E455" s="1"/>
      <c r="F455" s="1" t="s">
        <v>2386</v>
      </c>
      <c r="G455" s="1" t="s">
        <v>42</v>
      </c>
      <c r="H455" s="1" t="s">
        <v>125</v>
      </c>
      <c r="I455" s="1" t="s">
        <v>1693</v>
      </c>
      <c r="J455" s="1"/>
      <c r="K455" s="1" t="s">
        <v>3743</v>
      </c>
      <c r="L455" s="1"/>
      <c r="M455" s="1" t="s">
        <v>31</v>
      </c>
      <c r="N455" s="1"/>
      <c r="O455" s="1"/>
      <c r="P455" s="1"/>
      <c r="Q455" s="1"/>
      <c r="R455" s="1" t="s">
        <v>228</v>
      </c>
      <c r="S455" s="1"/>
      <c r="T455" s="1" t="s">
        <v>3744</v>
      </c>
      <c r="U455" s="1" t="s">
        <v>192</v>
      </c>
    </row>
    <row r="456" ht="14.25" customHeight="1">
      <c r="A456" s="1" t="s">
        <v>2383</v>
      </c>
      <c r="B456" s="1" t="s">
        <v>3745</v>
      </c>
      <c r="C456" s="1" t="s">
        <v>3746</v>
      </c>
      <c r="D456" s="3" t="s">
        <v>3584</v>
      </c>
      <c r="E456" s="1" t="s">
        <v>79</v>
      </c>
      <c r="F456" s="1" t="s">
        <v>2825</v>
      </c>
      <c r="G456" s="1" t="s">
        <v>42</v>
      </c>
      <c r="H456" s="1" t="s">
        <v>125</v>
      </c>
      <c r="I456" s="1" t="s">
        <v>557</v>
      </c>
      <c r="J456" s="1"/>
      <c r="K456" s="1" t="s">
        <v>3747</v>
      </c>
      <c r="L456" s="1" t="s">
        <v>3748</v>
      </c>
      <c r="M456" s="1" t="s">
        <v>31</v>
      </c>
      <c r="N456" s="1"/>
      <c r="O456" s="1" t="s">
        <v>2226</v>
      </c>
      <c r="P456" s="1" t="s">
        <v>124</v>
      </c>
      <c r="Q456" s="1"/>
      <c r="R456" s="1" t="s">
        <v>361</v>
      </c>
      <c r="S456" s="1"/>
      <c r="T456" s="1" t="s">
        <v>3749</v>
      </c>
      <c r="U456" s="1" t="s">
        <v>1087</v>
      </c>
    </row>
    <row r="457" ht="14.25" customHeight="1">
      <c r="A457" s="1" t="s">
        <v>2383</v>
      </c>
      <c r="B457" s="1" t="s">
        <v>3750</v>
      </c>
      <c r="C457" s="1" t="s">
        <v>3751</v>
      </c>
      <c r="D457" s="3" t="s">
        <v>562</v>
      </c>
      <c r="E457" s="1" t="s">
        <v>174</v>
      </c>
      <c r="F457" s="1" t="s">
        <v>2386</v>
      </c>
      <c r="G457" s="1" t="s">
        <v>42</v>
      </c>
      <c r="H457" s="1" t="s">
        <v>125</v>
      </c>
      <c r="I457" s="1" t="s">
        <v>3752</v>
      </c>
      <c r="J457" s="1" t="s">
        <v>3753</v>
      </c>
      <c r="K457" s="1" t="s">
        <v>3754</v>
      </c>
      <c r="L457" s="1" t="s">
        <v>3755</v>
      </c>
      <c r="M457" s="1" t="s">
        <v>31</v>
      </c>
      <c r="N457" s="1"/>
      <c r="O457" s="1" t="s">
        <v>3756</v>
      </c>
      <c r="P457" s="1" t="s">
        <v>110</v>
      </c>
      <c r="Q457" s="1"/>
      <c r="R457" s="1" t="s">
        <v>2583</v>
      </c>
      <c r="S457" s="1"/>
      <c r="T457" s="1" t="s">
        <v>3757</v>
      </c>
      <c r="U457" s="1" t="s">
        <v>130</v>
      </c>
    </row>
    <row r="458" ht="14.25" customHeight="1">
      <c r="A458" s="1" t="s">
        <v>2383</v>
      </c>
      <c r="B458" s="1" t="s">
        <v>3758</v>
      </c>
      <c r="C458" s="1" t="s">
        <v>3759</v>
      </c>
      <c r="D458" s="3" t="s">
        <v>3760</v>
      </c>
      <c r="E458" s="1" t="s">
        <v>616</v>
      </c>
      <c r="F458" s="1" t="s">
        <v>2386</v>
      </c>
      <c r="G458" s="1" t="s">
        <v>42</v>
      </c>
      <c r="H458" s="1" t="s">
        <v>125</v>
      </c>
      <c r="I458" s="1" t="s">
        <v>535</v>
      </c>
      <c r="J458" s="1" t="s">
        <v>3761</v>
      </c>
      <c r="K458" s="1" t="s">
        <v>3762</v>
      </c>
      <c r="L458" s="1" t="s">
        <v>3763</v>
      </c>
      <c r="M458" s="1" t="s">
        <v>59</v>
      </c>
      <c r="N458" s="1" t="s">
        <v>3764</v>
      </c>
      <c r="O458" s="1" t="s">
        <v>3765</v>
      </c>
      <c r="P458" s="1" t="s">
        <v>361</v>
      </c>
      <c r="Q458" s="1"/>
      <c r="R458" s="1" t="s">
        <v>2234</v>
      </c>
      <c r="S458" s="1" t="s">
        <v>616</v>
      </c>
      <c r="T458" s="1" t="s">
        <v>3766</v>
      </c>
      <c r="U458" s="1" t="s">
        <v>3767</v>
      </c>
    </row>
    <row r="459" ht="14.25" customHeight="1">
      <c r="A459" s="1" t="s">
        <v>2383</v>
      </c>
      <c r="B459" s="1" t="s">
        <v>349</v>
      </c>
      <c r="C459" s="1" t="s">
        <v>350</v>
      </c>
      <c r="D459" s="3" t="s">
        <v>351</v>
      </c>
      <c r="E459" s="1" t="s">
        <v>352</v>
      </c>
      <c r="F459" s="1" t="s">
        <v>41</v>
      </c>
      <c r="G459" s="1" t="s">
        <v>42</v>
      </c>
      <c r="H459" s="1" t="s">
        <v>125</v>
      </c>
      <c r="I459" s="1" t="s">
        <v>353</v>
      </c>
      <c r="J459" s="1"/>
      <c r="K459" s="1" t="s">
        <v>354</v>
      </c>
      <c r="L459" s="1" t="s">
        <v>355</v>
      </c>
      <c r="M459" s="1" t="s">
        <v>31</v>
      </c>
      <c r="N459" s="1"/>
      <c r="O459" s="1" t="s">
        <v>356</v>
      </c>
      <c r="P459" s="1" t="s">
        <v>196</v>
      </c>
      <c r="Q459" s="1"/>
      <c r="R459" s="1" t="s">
        <v>357</v>
      </c>
      <c r="S459" s="1"/>
      <c r="T459" s="1" t="s">
        <v>358</v>
      </c>
      <c r="U459" s="1" t="s">
        <v>346</v>
      </c>
    </row>
    <row r="460" ht="14.25" customHeight="1">
      <c r="A460" s="1" t="s">
        <v>2383</v>
      </c>
      <c r="B460" s="1" t="s">
        <v>3768</v>
      </c>
      <c r="C460" s="1" t="s">
        <v>3769</v>
      </c>
      <c r="D460" s="3" t="s">
        <v>3770</v>
      </c>
      <c r="E460" s="1" t="s">
        <v>91</v>
      </c>
      <c r="F460" s="1" t="s">
        <v>2398</v>
      </c>
      <c r="G460" s="1" t="s">
        <v>42</v>
      </c>
      <c r="H460" s="1" t="s">
        <v>361</v>
      </c>
      <c r="I460" s="1" t="s">
        <v>3443</v>
      </c>
      <c r="J460" s="1" t="s">
        <v>3771</v>
      </c>
      <c r="K460" s="1" t="s">
        <v>3772</v>
      </c>
      <c r="L460" s="1" t="s">
        <v>3773</v>
      </c>
      <c r="M460" s="1" t="s">
        <v>59</v>
      </c>
      <c r="N460" s="1" t="s">
        <v>3774</v>
      </c>
      <c r="O460" s="1" t="s">
        <v>3775</v>
      </c>
      <c r="P460" s="1" t="s">
        <v>228</v>
      </c>
      <c r="Q460" s="1"/>
      <c r="R460" s="1" t="s">
        <v>731</v>
      </c>
      <c r="S460" s="1" t="s">
        <v>91</v>
      </c>
      <c r="T460" s="1" t="s">
        <v>3776</v>
      </c>
      <c r="U460" s="1" t="s">
        <v>1797</v>
      </c>
    </row>
    <row r="461" ht="14.25" customHeight="1">
      <c r="A461" s="1" t="s">
        <v>2383</v>
      </c>
      <c r="B461" s="1" t="s">
        <v>3777</v>
      </c>
      <c r="C461" s="1" t="s">
        <v>3778</v>
      </c>
      <c r="D461" s="3" t="s">
        <v>3779</v>
      </c>
      <c r="E461" s="1" t="s">
        <v>616</v>
      </c>
      <c r="F461" s="1" t="s">
        <v>2417</v>
      </c>
      <c r="G461" s="1" t="s">
        <v>42</v>
      </c>
      <c r="H461" s="1" t="s">
        <v>361</v>
      </c>
      <c r="I461" s="1" t="s">
        <v>3780</v>
      </c>
      <c r="J461" s="1" t="s">
        <v>3781</v>
      </c>
      <c r="K461" s="1" t="s">
        <v>3782</v>
      </c>
      <c r="L461" s="1" t="s">
        <v>3783</v>
      </c>
      <c r="M461" s="1" t="s">
        <v>59</v>
      </c>
      <c r="N461" s="1" t="s">
        <v>3784</v>
      </c>
      <c r="O461" s="1"/>
      <c r="P461" s="1"/>
      <c r="Q461" s="1"/>
      <c r="R461" s="1" t="s">
        <v>1067</v>
      </c>
      <c r="S461" s="1" t="s">
        <v>637</v>
      </c>
      <c r="T461" s="1" t="s">
        <v>3785</v>
      </c>
      <c r="U461" s="1" t="s">
        <v>3786</v>
      </c>
    </row>
    <row r="462" ht="14.25" customHeight="1">
      <c r="A462" s="1" t="s">
        <v>2383</v>
      </c>
      <c r="B462" s="1" t="s">
        <v>3787</v>
      </c>
      <c r="C462" s="1" t="s">
        <v>3788</v>
      </c>
      <c r="D462" s="3" t="s">
        <v>1923</v>
      </c>
      <c r="E462" s="1" t="s">
        <v>91</v>
      </c>
      <c r="F462" s="1" t="s">
        <v>2417</v>
      </c>
      <c r="G462" s="1" t="s">
        <v>42</v>
      </c>
      <c r="H462" s="1" t="s">
        <v>361</v>
      </c>
      <c r="I462" s="1" t="s">
        <v>545</v>
      </c>
      <c r="J462" s="1" t="s">
        <v>3789</v>
      </c>
      <c r="K462" s="1" t="s">
        <v>3790</v>
      </c>
      <c r="L462" s="1" t="s">
        <v>3791</v>
      </c>
      <c r="M462" s="1" t="s">
        <v>31</v>
      </c>
      <c r="N462" s="1"/>
      <c r="O462" s="1" t="s">
        <v>3792</v>
      </c>
      <c r="P462" s="1" t="s">
        <v>487</v>
      </c>
      <c r="Q462" s="1"/>
      <c r="R462" s="1" t="s">
        <v>2234</v>
      </c>
      <c r="S462" s="1"/>
      <c r="T462" s="1" t="s">
        <v>3793</v>
      </c>
      <c r="U462" s="1" t="s">
        <v>1080</v>
      </c>
    </row>
    <row r="463" ht="14.25" customHeight="1">
      <c r="A463" s="1" t="s">
        <v>2383</v>
      </c>
      <c r="B463" s="1" t="s">
        <v>359</v>
      </c>
      <c r="C463" s="1" t="s">
        <v>360</v>
      </c>
      <c r="D463" s="1" t="s">
        <v>53</v>
      </c>
      <c r="E463" s="1" t="s">
        <v>54</v>
      </c>
      <c r="F463" s="1" t="s">
        <v>41</v>
      </c>
      <c r="G463" s="1" t="s">
        <v>42</v>
      </c>
      <c r="H463" s="1" t="s">
        <v>361</v>
      </c>
      <c r="I463" s="1" t="s">
        <v>362</v>
      </c>
      <c r="J463" s="1"/>
      <c r="K463" s="1" t="s">
        <v>363</v>
      </c>
      <c r="L463" s="1" t="s">
        <v>364</v>
      </c>
      <c r="M463" s="1" t="s">
        <v>59</v>
      </c>
      <c r="N463" s="1" t="s">
        <v>365</v>
      </c>
      <c r="O463" s="1" t="s">
        <v>366</v>
      </c>
      <c r="P463" s="1" t="s">
        <v>361</v>
      </c>
      <c r="Q463" s="1"/>
      <c r="R463" s="1" t="s">
        <v>367</v>
      </c>
      <c r="S463" s="1"/>
      <c r="T463" s="1" t="s">
        <v>368</v>
      </c>
      <c r="U463" s="1" t="s">
        <v>369</v>
      </c>
    </row>
    <row r="464" ht="14.25" customHeight="1">
      <c r="A464" s="1" t="s">
        <v>2383</v>
      </c>
      <c r="B464" s="1" t="s">
        <v>3794</v>
      </c>
      <c r="C464" s="1" t="s">
        <v>3795</v>
      </c>
      <c r="D464" s="3" t="s">
        <v>3796</v>
      </c>
      <c r="E464" s="1" t="s">
        <v>117</v>
      </c>
      <c r="F464" s="1" t="s">
        <v>2398</v>
      </c>
      <c r="G464" s="1" t="s">
        <v>42</v>
      </c>
      <c r="H464" s="1" t="s">
        <v>361</v>
      </c>
      <c r="I464" s="1" t="s">
        <v>870</v>
      </c>
      <c r="J464" s="1"/>
      <c r="K464" s="1" t="s">
        <v>3797</v>
      </c>
      <c r="L464" s="1" t="s">
        <v>3798</v>
      </c>
      <c r="M464" s="1" t="s">
        <v>31</v>
      </c>
      <c r="N464" s="1"/>
      <c r="O464" s="1" t="s">
        <v>3799</v>
      </c>
      <c r="P464" s="1" t="s">
        <v>124</v>
      </c>
      <c r="Q464" s="1"/>
      <c r="R464" s="1" t="s">
        <v>202</v>
      </c>
      <c r="S464" s="1"/>
      <c r="T464" s="1" t="s">
        <v>3800</v>
      </c>
      <c r="U464" s="1" t="s">
        <v>1039</v>
      </c>
    </row>
    <row r="465" ht="14.25" customHeight="1">
      <c r="A465" s="1" t="s">
        <v>2383</v>
      </c>
      <c r="B465" s="1" t="s">
        <v>370</v>
      </c>
      <c r="C465" s="1" t="s">
        <v>371</v>
      </c>
      <c r="D465" s="3" t="s">
        <v>372</v>
      </c>
      <c r="E465" s="1" t="s">
        <v>99</v>
      </c>
      <c r="F465" s="1" t="s">
        <v>41</v>
      </c>
      <c r="G465" s="1" t="s">
        <v>42</v>
      </c>
      <c r="H465" s="1" t="s">
        <v>361</v>
      </c>
      <c r="I465" s="1" t="s">
        <v>373</v>
      </c>
      <c r="J465" s="1" t="s">
        <v>374</v>
      </c>
      <c r="K465" s="1" t="s">
        <v>375</v>
      </c>
      <c r="L465" s="1" t="s">
        <v>376</v>
      </c>
      <c r="M465" s="1" t="s">
        <v>59</v>
      </c>
      <c r="N465" s="1" t="s">
        <v>377</v>
      </c>
      <c r="O465" s="1" t="s">
        <v>378</v>
      </c>
      <c r="P465" s="1" t="s">
        <v>124</v>
      </c>
      <c r="Q465" s="1"/>
      <c r="R465" s="1" t="s">
        <v>202</v>
      </c>
      <c r="S465" s="1" t="s">
        <v>99</v>
      </c>
      <c r="T465" s="1" t="s">
        <v>379</v>
      </c>
      <c r="U465" s="1" t="s">
        <v>380</v>
      </c>
    </row>
    <row r="466" ht="14.25" customHeight="1">
      <c r="A466" s="1" t="s">
        <v>2383</v>
      </c>
      <c r="B466" s="1" t="s">
        <v>3801</v>
      </c>
      <c r="C466" s="1" t="s">
        <v>3802</v>
      </c>
      <c r="D466" s="3"/>
      <c r="E466" s="1"/>
      <c r="F466" s="1"/>
      <c r="G466" s="1"/>
      <c r="H466" s="1" t="s">
        <v>361</v>
      </c>
      <c r="I466" s="1" t="s">
        <v>2735</v>
      </c>
      <c r="J466" s="1"/>
      <c r="K466" s="1" t="s">
        <v>3803</v>
      </c>
      <c r="L466" s="1"/>
      <c r="M466" s="1" t="s">
        <v>31</v>
      </c>
      <c r="N466" s="1"/>
      <c r="O466" s="1"/>
      <c r="P466" s="1"/>
      <c r="Q466" s="1"/>
      <c r="R466" s="1" t="s">
        <v>125</v>
      </c>
      <c r="S466" s="1"/>
      <c r="T466" s="1" t="s">
        <v>3804</v>
      </c>
      <c r="U466" s="1" t="s">
        <v>487</v>
      </c>
    </row>
    <row r="467" ht="14.25" customHeight="1">
      <c r="A467" s="1" t="s">
        <v>2383</v>
      </c>
      <c r="B467" s="1" t="s">
        <v>3805</v>
      </c>
      <c r="C467" s="1" t="s">
        <v>3806</v>
      </c>
      <c r="D467" s="3" t="s">
        <v>3807</v>
      </c>
      <c r="E467" s="1" t="s">
        <v>25</v>
      </c>
      <c r="F467" s="1" t="s">
        <v>41</v>
      </c>
      <c r="G467" s="1" t="s">
        <v>42</v>
      </c>
      <c r="H467" s="1" t="s">
        <v>361</v>
      </c>
      <c r="I467" s="1" t="s">
        <v>3808</v>
      </c>
      <c r="J467" s="1"/>
      <c r="K467" s="1" t="s">
        <v>3809</v>
      </c>
      <c r="L467" s="1" t="s">
        <v>3810</v>
      </c>
      <c r="M467" s="1" t="s">
        <v>31</v>
      </c>
      <c r="N467" s="1"/>
      <c r="O467" s="4" t="s">
        <v>3811</v>
      </c>
      <c r="P467" s="1" t="s">
        <v>298</v>
      </c>
      <c r="Q467" s="1"/>
      <c r="R467" s="1" t="s">
        <v>1124</v>
      </c>
      <c r="S467" s="1"/>
      <c r="T467" s="1" t="s">
        <v>3812</v>
      </c>
      <c r="U467" s="1" t="s">
        <v>62</v>
      </c>
    </row>
    <row r="468" ht="14.25" customHeight="1">
      <c r="A468" s="1" t="s">
        <v>2383</v>
      </c>
      <c r="B468" s="1" t="s">
        <v>3813</v>
      </c>
      <c r="C468" s="1" t="s">
        <v>3814</v>
      </c>
      <c r="D468" s="3" t="s">
        <v>3815</v>
      </c>
      <c r="E468" s="1" t="s">
        <v>174</v>
      </c>
      <c r="F468" s="1" t="s">
        <v>2386</v>
      </c>
      <c r="G468" s="1" t="s">
        <v>42</v>
      </c>
      <c r="H468" s="1" t="s">
        <v>361</v>
      </c>
      <c r="I468" s="1" t="s">
        <v>659</v>
      </c>
      <c r="J468" s="1" t="s">
        <v>3816</v>
      </c>
      <c r="K468" s="1" t="s">
        <v>3817</v>
      </c>
      <c r="L468" s="1" t="s">
        <v>3818</v>
      </c>
      <c r="M468" s="1" t="s">
        <v>31</v>
      </c>
      <c r="N468" s="1"/>
      <c r="O468" s="1" t="s">
        <v>3819</v>
      </c>
      <c r="P468" s="1" t="s">
        <v>110</v>
      </c>
      <c r="Q468" s="1"/>
      <c r="R468" s="1" t="s">
        <v>191</v>
      </c>
      <c r="S468" s="1"/>
      <c r="T468" s="1" t="s">
        <v>3820</v>
      </c>
      <c r="U468" s="1" t="s">
        <v>2129</v>
      </c>
    </row>
    <row r="469" ht="14.25" customHeight="1">
      <c r="A469" s="1" t="s">
        <v>2383</v>
      </c>
      <c r="B469" s="1" t="s">
        <v>3821</v>
      </c>
      <c r="C469" s="1" t="s">
        <v>3822</v>
      </c>
      <c r="D469" s="3" t="s">
        <v>1751</v>
      </c>
      <c r="E469" s="1" t="s">
        <v>384</v>
      </c>
      <c r="F469" s="1"/>
      <c r="G469" s="1" t="s">
        <v>42</v>
      </c>
      <c r="H469" s="1" t="s">
        <v>361</v>
      </c>
      <c r="I469" s="1" t="s">
        <v>1760</v>
      </c>
      <c r="J469" s="1" t="s">
        <v>3823</v>
      </c>
      <c r="K469" s="1" t="s">
        <v>3824</v>
      </c>
      <c r="L469" s="1" t="s">
        <v>3825</v>
      </c>
      <c r="M469" s="1" t="s">
        <v>59</v>
      </c>
      <c r="N469" s="1" t="s">
        <v>3826</v>
      </c>
      <c r="O469" s="1" t="s">
        <v>3827</v>
      </c>
      <c r="P469" s="1"/>
      <c r="Q469" s="1"/>
      <c r="R469" s="1" t="s">
        <v>1306</v>
      </c>
      <c r="S469" s="1" t="s">
        <v>384</v>
      </c>
      <c r="T469" s="1" t="s">
        <v>3828</v>
      </c>
      <c r="U469" s="1" t="s">
        <v>3829</v>
      </c>
    </row>
    <row r="470" ht="14.25" customHeight="1">
      <c r="A470" s="1" t="s">
        <v>2383</v>
      </c>
      <c r="B470" s="1" t="s">
        <v>3830</v>
      </c>
      <c r="C470" s="1" t="s">
        <v>3831</v>
      </c>
      <c r="D470" s="3" t="s">
        <v>746</v>
      </c>
      <c r="E470" s="1" t="s">
        <v>174</v>
      </c>
      <c r="F470" s="1" t="s">
        <v>2398</v>
      </c>
      <c r="G470" s="1" t="s">
        <v>42</v>
      </c>
      <c r="H470" s="1" t="s">
        <v>361</v>
      </c>
      <c r="I470" s="1" t="s">
        <v>1193</v>
      </c>
      <c r="J470" s="1" t="s">
        <v>3832</v>
      </c>
      <c r="K470" s="1" t="s">
        <v>3833</v>
      </c>
      <c r="L470" s="1" t="s">
        <v>3834</v>
      </c>
      <c r="M470" s="1" t="s">
        <v>31</v>
      </c>
      <c r="N470" s="1"/>
      <c r="O470" s="1" t="s">
        <v>2226</v>
      </c>
      <c r="P470" s="1" t="s">
        <v>124</v>
      </c>
      <c r="Q470" s="1"/>
      <c r="R470" s="1" t="s">
        <v>202</v>
      </c>
      <c r="S470" s="1"/>
      <c r="T470" s="1" t="s">
        <v>3835</v>
      </c>
      <c r="U470" s="1" t="s">
        <v>2093</v>
      </c>
    </row>
    <row r="471" ht="14.25" customHeight="1">
      <c r="A471" s="1" t="s">
        <v>2383</v>
      </c>
      <c r="B471" s="1" t="s">
        <v>3836</v>
      </c>
      <c r="C471" s="1" t="s">
        <v>3837</v>
      </c>
      <c r="D471" s="3" t="s">
        <v>3838</v>
      </c>
      <c r="E471" s="1" t="s">
        <v>117</v>
      </c>
      <c r="F471" s="1" t="s">
        <v>2386</v>
      </c>
      <c r="G471" s="1" t="s">
        <v>42</v>
      </c>
      <c r="H471" s="1" t="s">
        <v>361</v>
      </c>
      <c r="I471" s="1" t="s">
        <v>3839</v>
      </c>
      <c r="J471" s="1" t="s">
        <v>3840</v>
      </c>
      <c r="K471" s="1" t="s">
        <v>3841</v>
      </c>
      <c r="L471" s="1" t="s">
        <v>3842</v>
      </c>
      <c r="M471" s="1" t="s">
        <v>59</v>
      </c>
      <c r="N471" s="1" t="s">
        <v>3843</v>
      </c>
      <c r="O471" s="1"/>
      <c r="P471" s="1"/>
      <c r="Q471" s="1"/>
      <c r="R471" s="1" t="s">
        <v>1378</v>
      </c>
      <c r="S471" s="1" t="s">
        <v>117</v>
      </c>
      <c r="T471" s="1" t="s">
        <v>3844</v>
      </c>
      <c r="U471" s="1" t="s">
        <v>317</v>
      </c>
    </row>
    <row r="472" ht="14.25" customHeight="1">
      <c r="A472" s="1" t="s">
        <v>2383</v>
      </c>
      <c r="B472" s="1" t="s">
        <v>3845</v>
      </c>
      <c r="C472" s="1" t="s">
        <v>3846</v>
      </c>
      <c r="D472" s="3" t="s">
        <v>3847</v>
      </c>
      <c r="E472" s="1" t="s">
        <v>40</v>
      </c>
      <c r="F472" s="1" t="s">
        <v>2386</v>
      </c>
      <c r="G472" s="1" t="s">
        <v>42</v>
      </c>
      <c r="H472" s="1" t="s">
        <v>361</v>
      </c>
      <c r="I472" s="1" t="s">
        <v>584</v>
      </c>
      <c r="J472" s="1" t="s">
        <v>3848</v>
      </c>
      <c r="K472" s="1" t="s">
        <v>3849</v>
      </c>
      <c r="L472" s="1" t="s">
        <v>3850</v>
      </c>
      <c r="M472" s="1" t="s">
        <v>31</v>
      </c>
      <c r="N472" s="1"/>
      <c r="O472" s="1"/>
      <c r="P472" s="1"/>
      <c r="Q472" s="1"/>
      <c r="R472" s="1" t="s">
        <v>817</v>
      </c>
      <c r="S472" s="1" t="s">
        <v>40</v>
      </c>
      <c r="T472" s="1" t="s">
        <v>3851</v>
      </c>
      <c r="U472" s="1" t="s">
        <v>3852</v>
      </c>
    </row>
    <row r="473" ht="14.25" customHeight="1">
      <c r="A473" s="1" t="s">
        <v>2383</v>
      </c>
      <c r="B473" s="1" t="s">
        <v>3853</v>
      </c>
      <c r="C473" s="1" t="s">
        <v>3854</v>
      </c>
      <c r="D473" s="3" t="s">
        <v>3700</v>
      </c>
      <c r="E473" s="1" t="s">
        <v>352</v>
      </c>
      <c r="F473" s="1" t="s">
        <v>2386</v>
      </c>
      <c r="G473" s="1" t="s">
        <v>42</v>
      </c>
      <c r="H473" s="1" t="s">
        <v>361</v>
      </c>
      <c r="I473" s="1" t="s">
        <v>3139</v>
      </c>
      <c r="J473" s="1"/>
      <c r="K473" s="1" t="s">
        <v>3855</v>
      </c>
      <c r="L473" s="1" t="s">
        <v>3856</v>
      </c>
      <c r="M473" s="1" t="s">
        <v>31</v>
      </c>
      <c r="N473" s="1"/>
      <c r="O473" s="1" t="s">
        <v>3857</v>
      </c>
      <c r="P473" s="1" t="s">
        <v>182</v>
      </c>
      <c r="Q473" s="1"/>
      <c r="R473" s="1" t="s">
        <v>192</v>
      </c>
      <c r="S473" s="1"/>
      <c r="T473" s="1" t="s">
        <v>3858</v>
      </c>
      <c r="U473" s="1" t="s">
        <v>3859</v>
      </c>
    </row>
    <row r="474" ht="14.25" customHeight="1">
      <c r="A474" s="1" t="s">
        <v>2383</v>
      </c>
      <c r="B474" s="1" t="s">
        <v>3860</v>
      </c>
      <c r="C474" s="1" t="s">
        <v>3861</v>
      </c>
      <c r="D474" s="1" t="s">
        <v>3862</v>
      </c>
      <c r="E474" s="1" t="s">
        <v>91</v>
      </c>
      <c r="F474" s="1" t="s">
        <v>2386</v>
      </c>
      <c r="G474" s="1" t="s">
        <v>42</v>
      </c>
      <c r="H474" s="1" t="s">
        <v>361</v>
      </c>
      <c r="I474" s="1" t="s">
        <v>3863</v>
      </c>
      <c r="J474" s="1" t="s">
        <v>3864</v>
      </c>
      <c r="K474" s="1" t="s">
        <v>3865</v>
      </c>
      <c r="L474" s="1" t="s">
        <v>3866</v>
      </c>
      <c r="M474" s="1" t="s">
        <v>31</v>
      </c>
      <c r="N474" s="1"/>
      <c r="O474" s="1" t="s">
        <v>3867</v>
      </c>
      <c r="P474" s="1" t="s">
        <v>62</v>
      </c>
      <c r="Q474" s="1"/>
      <c r="R474" s="1" t="s">
        <v>136</v>
      </c>
      <c r="S474" s="1" t="s">
        <v>91</v>
      </c>
      <c r="T474" s="1" t="s">
        <v>3868</v>
      </c>
      <c r="U474" s="1" t="s">
        <v>3869</v>
      </c>
    </row>
    <row r="475" ht="14.25" customHeight="1">
      <c r="A475" s="1" t="s">
        <v>2383</v>
      </c>
      <c r="B475" s="1" t="s">
        <v>381</v>
      </c>
      <c r="C475" s="1" t="s">
        <v>382</v>
      </c>
      <c r="D475" s="3" t="s">
        <v>383</v>
      </c>
      <c r="E475" s="1" t="s">
        <v>384</v>
      </c>
      <c r="F475" s="1" t="s">
        <v>41</v>
      </c>
      <c r="G475" s="1" t="s">
        <v>42</v>
      </c>
      <c r="H475" s="1" t="s">
        <v>361</v>
      </c>
      <c r="I475" s="1" t="s">
        <v>385</v>
      </c>
      <c r="J475" s="1" t="s">
        <v>386</v>
      </c>
      <c r="K475" s="1" t="s">
        <v>387</v>
      </c>
      <c r="L475" s="1" t="s">
        <v>388</v>
      </c>
      <c r="M475" s="1" t="s">
        <v>59</v>
      </c>
      <c r="N475" s="1" t="s">
        <v>389</v>
      </c>
      <c r="O475" s="1" t="s">
        <v>390</v>
      </c>
      <c r="P475" s="1" t="s">
        <v>105</v>
      </c>
      <c r="Q475" s="1"/>
      <c r="R475" s="1" t="s">
        <v>391</v>
      </c>
      <c r="S475" s="1" t="s">
        <v>174</v>
      </c>
      <c r="T475" s="1" t="s">
        <v>392</v>
      </c>
      <c r="U475" s="1" t="s">
        <v>393</v>
      </c>
    </row>
    <row r="476" ht="14.25" customHeight="1">
      <c r="A476" s="1" t="s">
        <v>2383</v>
      </c>
      <c r="B476" s="1" t="s">
        <v>3870</v>
      </c>
      <c r="C476" s="1" t="s">
        <v>3871</v>
      </c>
      <c r="D476" s="3"/>
      <c r="E476" s="1"/>
      <c r="F476" s="1" t="s">
        <v>2386</v>
      </c>
      <c r="G476" s="1" t="s">
        <v>42</v>
      </c>
      <c r="H476" s="1" t="s">
        <v>361</v>
      </c>
      <c r="I476" s="1" t="s">
        <v>412</v>
      </c>
      <c r="J476" s="1" t="s">
        <v>3872</v>
      </c>
      <c r="K476" s="1" t="s">
        <v>3873</v>
      </c>
      <c r="L476" s="1" t="s">
        <v>3874</v>
      </c>
      <c r="M476" s="1" t="s">
        <v>59</v>
      </c>
      <c r="N476" s="1" t="s">
        <v>3875</v>
      </c>
      <c r="O476" s="1" t="s">
        <v>3876</v>
      </c>
      <c r="P476" s="1" t="s">
        <v>34</v>
      </c>
      <c r="Q476" s="1"/>
      <c r="R476" s="1" t="s">
        <v>84</v>
      </c>
      <c r="S476" s="1" t="s">
        <v>174</v>
      </c>
      <c r="T476" s="1" t="s">
        <v>3877</v>
      </c>
      <c r="U476" s="1" t="s">
        <v>810</v>
      </c>
    </row>
    <row r="477" ht="14.25" customHeight="1">
      <c r="A477" s="1" t="s">
        <v>2383</v>
      </c>
      <c r="B477" s="1" t="s">
        <v>3878</v>
      </c>
      <c r="C477" s="1" t="s">
        <v>3879</v>
      </c>
      <c r="D477" s="3" t="s">
        <v>3880</v>
      </c>
      <c r="E477" s="1" t="s">
        <v>384</v>
      </c>
      <c r="F477" s="1" t="s">
        <v>2386</v>
      </c>
      <c r="G477" s="1" t="s">
        <v>1119</v>
      </c>
      <c r="H477" s="1" t="s">
        <v>361</v>
      </c>
      <c r="I477" s="1" t="s">
        <v>43</v>
      </c>
      <c r="J477" s="1" t="s">
        <v>3881</v>
      </c>
      <c r="K477" s="1" t="s">
        <v>3882</v>
      </c>
      <c r="L477" s="1" t="s">
        <v>3883</v>
      </c>
      <c r="M477" s="1" t="s">
        <v>59</v>
      </c>
      <c r="N477" s="1" t="s">
        <v>3884</v>
      </c>
      <c r="O477" s="1" t="s">
        <v>3885</v>
      </c>
      <c r="P477" s="1" t="s">
        <v>156</v>
      </c>
      <c r="Q477" s="1"/>
      <c r="R477" s="1" t="s">
        <v>1930</v>
      </c>
      <c r="S477" s="1" t="s">
        <v>384</v>
      </c>
      <c r="T477" s="1" t="s">
        <v>3886</v>
      </c>
      <c r="U477" s="1" t="s">
        <v>1881</v>
      </c>
    </row>
    <row r="478" ht="14.25" customHeight="1">
      <c r="A478" s="1" t="s">
        <v>2383</v>
      </c>
      <c r="B478" s="1" t="s">
        <v>3887</v>
      </c>
      <c r="C478" s="1" t="s">
        <v>3888</v>
      </c>
      <c r="D478" s="3" t="s">
        <v>351</v>
      </c>
      <c r="E478" s="1" t="s">
        <v>352</v>
      </c>
      <c r="F478" s="1" t="s">
        <v>2386</v>
      </c>
      <c r="G478" s="1" t="s">
        <v>42</v>
      </c>
      <c r="H478" s="1" t="s">
        <v>369</v>
      </c>
      <c r="I478" s="1" t="s">
        <v>1783</v>
      </c>
      <c r="J478" s="1"/>
      <c r="K478" s="1" t="s">
        <v>3889</v>
      </c>
      <c r="L478" s="1" t="s">
        <v>3890</v>
      </c>
      <c r="M478" s="1" t="s">
        <v>31</v>
      </c>
      <c r="N478" s="1"/>
      <c r="O478" s="1" t="s">
        <v>3891</v>
      </c>
      <c r="P478" s="1" t="s">
        <v>124</v>
      </c>
      <c r="Q478" s="1"/>
      <c r="R478" s="1" t="s">
        <v>135</v>
      </c>
      <c r="S478" s="1"/>
      <c r="T478" s="1" t="s">
        <v>3892</v>
      </c>
      <c r="U478" s="1" t="s">
        <v>3893</v>
      </c>
    </row>
    <row r="479" ht="14.25" customHeight="1">
      <c r="A479" s="1" t="s">
        <v>2383</v>
      </c>
      <c r="B479" s="1" t="s">
        <v>3894</v>
      </c>
      <c r="C479" s="1" t="s">
        <v>3895</v>
      </c>
      <c r="D479" s="3" t="s">
        <v>3056</v>
      </c>
      <c r="E479" s="1" t="s">
        <v>79</v>
      </c>
      <c r="F479" s="1" t="s">
        <v>2386</v>
      </c>
      <c r="G479" s="1" t="s">
        <v>42</v>
      </c>
      <c r="H479" s="1" t="s">
        <v>369</v>
      </c>
      <c r="I479" s="1" t="s">
        <v>455</v>
      </c>
      <c r="J479" s="1"/>
      <c r="K479" s="1" t="s">
        <v>3896</v>
      </c>
      <c r="L479" s="1" t="s">
        <v>3897</v>
      </c>
      <c r="M479" s="1" t="s">
        <v>31</v>
      </c>
      <c r="N479" s="1"/>
      <c r="O479" s="1" t="s">
        <v>3898</v>
      </c>
      <c r="P479" s="1" t="s">
        <v>487</v>
      </c>
      <c r="Q479" s="1"/>
      <c r="R479" s="1" t="s">
        <v>817</v>
      </c>
      <c r="S479" s="1"/>
      <c r="T479" s="1" t="s">
        <v>217</v>
      </c>
      <c r="U479" s="1" t="s">
        <v>215</v>
      </c>
    </row>
    <row r="480" ht="14.25" customHeight="1">
      <c r="A480" s="1" t="s">
        <v>2383</v>
      </c>
      <c r="B480" s="1" t="s">
        <v>3899</v>
      </c>
      <c r="C480" s="1" t="s">
        <v>3900</v>
      </c>
      <c r="D480" s="3" t="s">
        <v>3901</v>
      </c>
      <c r="E480" s="1" t="s">
        <v>25</v>
      </c>
      <c r="F480" s="1" t="s">
        <v>2632</v>
      </c>
      <c r="G480" s="1" t="s">
        <v>42</v>
      </c>
      <c r="H480" s="1" t="s">
        <v>369</v>
      </c>
      <c r="I480" s="1" t="s">
        <v>584</v>
      </c>
      <c r="J480" s="1" t="s">
        <v>3902</v>
      </c>
      <c r="K480" s="1" t="s">
        <v>3903</v>
      </c>
      <c r="L480" s="1" t="s">
        <v>3904</v>
      </c>
      <c r="M480" s="1" t="s">
        <v>59</v>
      </c>
      <c r="N480" s="1" t="s">
        <v>3905</v>
      </c>
      <c r="O480" s="1"/>
      <c r="P480" s="1"/>
      <c r="Q480" s="1"/>
      <c r="R480" s="1" t="s">
        <v>2376</v>
      </c>
      <c r="S480" s="1" t="s">
        <v>25</v>
      </c>
      <c r="T480" s="1" t="s">
        <v>3906</v>
      </c>
      <c r="U480" s="1" t="s">
        <v>1338</v>
      </c>
    </row>
    <row r="481" ht="14.25" customHeight="1">
      <c r="A481" s="1" t="s">
        <v>2383</v>
      </c>
      <c r="B481" s="1" t="s">
        <v>3907</v>
      </c>
      <c r="C481" s="1" t="s">
        <v>3908</v>
      </c>
      <c r="D481" s="3" t="s">
        <v>3909</v>
      </c>
      <c r="E481" s="1" t="s">
        <v>352</v>
      </c>
      <c r="F481" s="1" t="s">
        <v>41</v>
      </c>
      <c r="G481" s="1" t="s">
        <v>3910</v>
      </c>
      <c r="H481" s="1" t="s">
        <v>369</v>
      </c>
      <c r="I481" s="1" t="s">
        <v>571</v>
      </c>
      <c r="J481" s="1" t="s">
        <v>3911</v>
      </c>
      <c r="K481" s="1" t="s">
        <v>3912</v>
      </c>
      <c r="L481" s="1" t="s">
        <v>3913</v>
      </c>
      <c r="M481" s="1" t="s">
        <v>59</v>
      </c>
      <c r="N481" s="1" t="s">
        <v>3914</v>
      </c>
      <c r="O481" s="1" t="s">
        <v>3915</v>
      </c>
      <c r="P481" s="1" t="s">
        <v>65</v>
      </c>
      <c r="Q481" s="1"/>
      <c r="R481" s="1" t="s">
        <v>594</v>
      </c>
      <c r="S481" s="1" t="s">
        <v>352</v>
      </c>
      <c r="T481" s="1" t="s">
        <v>3916</v>
      </c>
      <c r="U481" s="1" t="s">
        <v>3917</v>
      </c>
    </row>
    <row r="482" ht="14.25" customHeight="1">
      <c r="A482" s="1" t="s">
        <v>2383</v>
      </c>
      <c r="B482" s="1" t="s">
        <v>3918</v>
      </c>
      <c r="C482" s="1" t="s">
        <v>3919</v>
      </c>
      <c r="D482" s="1" t="s">
        <v>3920</v>
      </c>
      <c r="E482" s="1" t="s">
        <v>384</v>
      </c>
      <c r="F482" s="1" t="s">
        <v>41</v>
      </c>
      <c r="G482" s="1" t="s">
        <v>1119</v>
      </c>
      <c r="H482" s="1" t="s">
        <v>369</v>
      </c>
      <c r="I482" s="1" t="s">
        <v>808</v>
      </c>
      <c r="J482" s="1" t="s">
        <v>3921</v>
      </c>
      <c r="K482" s="1" t="s">
        <v>3922</v>
      </c>
      <c r="L482" s="1" t="s">
        <v>3923</v>
      </c>
      <c r="M482" s="1" t="s">
        <v>59</v>
      </c>
      <c r="N482" s="1" t="s">
        <v>3924</v>
      </c>
      <c r="O482" s="1"/>
      <c r="P482" s="1"/>
      <c r="Q482" s="1"/>
      <c r="R482" s="1" t="s">
        <v>1791</v>
      </c>
      <c r="S482" s="1" t="s">
        <v>384</v>
      </c>
      <c r="T482" s="1" t="s">
        <v>3925</v>
      </c>
      <c r="U482" s="1" t="s">
        <v>215</v>
      </c>
    </row>
    <row r="483" ht="14.25" customHeight="1">
      <c r="A483" s="1" t="s">
        <v>2383</v>
      </c>
      <c r="B483" s="1" t="s">
        <v>3926</v>
      </c>
      <c r="C483" s="1" t="s">
        <v>3927</v>
      </c>
      <c r="D483" s="3" t="s">
        <v>3928</v>
      </c>
      <c r="E483" s="1" t="s">
        <v>174</v>
      </c>
      <c r="F483" s="1" t="s">
        <v>2398</v>
      </c>
      <c r="G483" s="1" t="s">
        <v>232</v>
      </c>
      <c r="H483" s="1" t="s">
        <v>369</v>
      </c>
      <c r="I483" s="1" t="s">
        <v>808</v>
      </c>
      <c r="J483" s="1" t="s">
        <v>3929</v>
      </c>
      <c r="K483" s="1" t="s">
        <v>3930</v>
      </c>
      <c r="L483" s="1" t="s">
        <v>3931</v>
      </c>
      <c r="M483" s="1" t="s">
        <v>59</v>
      </c>
      <c r="N483" s="1" t="s">
        <v>3932</v>
      </c>
      <c r="O483" s="1" t="s">
        <v>3933</v>
      </c>
      <c r="P483" s="1" t="s">
        <v>33</v>
      </c>
      <c r="Q483" s="1"/>
      <c r="R483" s="1" t="s">
        <v>62</v>
      </c>
      <c r="S483" s="1" t="s">
        <v>174</v>
      </c>
      <c r="T483" s="1" t="s">
        <v>3934</v>
      </c>
      <c r="U483" s="1" t="s">
        <v>3935</v>
      </c>
    </row>
    <row r="484" ht="14.25" customHeight="1">
      <c r="A484" s="1" t="s">
        <v>2383</v>
      </c>
      <c r="B484" s="1" t="s">
        <v>3936</v>
      </c>
      <c r="C484" s="1" t="s">
        <v>3937</v>
      </c>
      <c r="D484" s="3"/>
      <c r="E484" s="1"/>
      <c r="F484" s="1" t="s">
        <v>2386</v>
      </c>
      <c r="G484" s="1" t="s">
        <v>42</v>
      </c>
      <c r="H484" s="1" t="s">
        <v>369</v>
      </c>
      <c r="I484" s="1" t="s">
        <v>3938</v>
      </c>
      <c r="J484" s="1"/>
      <c r="K484" s="1" t="s">
        <v>3939</v>
      </c>
      <c r="L484" s="1" t="s">
        <v>3940</v>
      </c>
      <c r="M484" s="1" t="s">
        <v>31</v>
      </c>
      <c r="N484" s="1"/>
      <c r="O484" s="1" t="s">
        <v>3941</v>
      </c>
      <c r="P484" s="1" t="s">
        <v>33</v>
      </c>
      <c r="Q484" s="1"/>
      <c r="R484" s="1" t="s">
        <v>298</v>
      </c>
      <c r="S484" s="1"/>
      <c r="T484" s="1" t="s">
        <v>3942</v>
      </c>
      <c r="U484" s="1" t="s">
        <v>2071</v>
      </c>
    </row>
    <row r="485" ht="14.25" customHeight="1">
      <c r="A485" s="1" t="s">
        <v>2383</v>
      </c>
      <c r="B485" s="1" t="s">
        <v>3943</v>
      </c>
      <c r="C485" s="1" t="s">
        <v>3944</v>
      </c>
      <c r="D485" s="3" t="s">
        <v>3945</v>
      </c>
      <c r="E485" s="1" t="s">
        <v>40</v>
      </c>
      <c r="F485" s="1" t="s">
        <v>2386</v>
      </c>
      <c r="G485" s="1" t="s">
        <v>42</v>
      </c>
      <c r="H485" s="1" t="s">
        <v>369</v>
      </c>
      <c r="I485" s="1" t="s">
        <v>3946</v>
      </c>
      <c r="J485" s="1" t="s">
        <v>3947</v>
      </c>
      <c r="K485" s="1" t="s">
        <v>3948</v>
      </c>
      <c r="L485" s="1" t="s">
        <v>3949</v>
      </c>
      <c r="M485" s="1" t="s">
        <v>59</v>
      </c>
      <c r="N485" s="1" t="s">
        <v>3950</v>
      </c>
      <c r="O485" s="1"/>
      <c r="P485" s="1"/>
      <c r="Q485" s="1"/>
      <c r="R485" s="1" t="s">
        <v>1857</v>
      </c>
      <c r="S485" s="1" t="s">
        <v>40</v>
      </c>
      <c r="T485" s="1" t="s">
        <v>3951</v>
      </c>
      <c r="U485" s="1" t="s">
        <v>1721</v>
      </c>
    </row>
    <row r="486" ht="14.25" customHeight="1">
      <c r="A486" s="1" t="s">
        <v>2383</v>
      </c>
      <c r="B486" s="1" t="s">
        <v>3952</v>
      </c>
      <c r="C486" s="1" t="s">
        <v>3953</v>
      </c>
      <c r="D486" s="3" t="s">
        <v>3954</v>
      </c>
      <c r="E486" s="1" t="s">
        <v>352</v>
      </c>
      <c r="F486" s="1" t="s">
        <v>2386</v>
      </c>
      <c r="G486" s="1" t="s">
        <v>232</v>
      </c>
      <c r="H486" s="1" t="s">
        <v>369</v>
      </c>
      <c r="I486" s="1" t="s">
        <v>3955</v>
      </c>
      <c r="J486" s="1"/>
      <c r="K486" s="1" t="s">
        <v>3956</v>
      </c>
      <c r="L486" s="1" t="s">
        <v>3957</v>
      </c>
      <c r="M486" s="1" t="s">
        <v>31</v>
      </c>
      <c r="N486" s="1"/>
      <c r="O486" s="1" t="s">
        <v>3958</v>
      </c>
      <c r="P486" s="1" t="s">
        <v>517</v>
      </c>
      <c r="Q486" s="1"/>
      <c r="R486" s="1" t="s">
        <v>646</v>
      </c>
      <c r="S486" s="1"/>
      <c r="T486" s="1" t="s">
        <v>3959</v>
      </c>
      <c r="U486" s="1" t="s">
        <v>435</v>
      </c>
    </row>
    <row r="487" ht="14.25" customHeight="1">
      <c r="A487" s="1" t="s">
        <v>2383</v>
      </c>
      <c r="B487" s="1" t="s">
        <v>3960</v>
      </c>
      <c r="C487" s="1" t="s">
        <v>3961</v>
      </c>
      <c r="D487" s="1" t="s">
        <v>3962</v>
      </c>
      <c r="E487" s="1" t="s">
        <v>352</v>
      </c>
      <c r="F487" s="1" t="s">
        <v>2386</v>
      </c>
      <c r="G487" s="1" t="s">
        <v>42</v>
      </c>
      <c r="H487" s="1" t="s">
        <v>369</v>
      </c>
      <c r="I487" s="1" t="s">
        <v>1023</v>
      </c>
      <c r="J487" s="1" t="s">
        <v>3963</v>
      </c>
      <c r="K487" s="1" t="s">
        <v>3964</v>
      </c>
      <c r="L487" s="1" t="s">
        <v>3965</v>
      </c>
      <c r="M487" s="1" t="s">
        <v>59</v>
      </c>
      <c r="N487" s="1" t="s">
        <v>3966</v>
      </c>
      <c r="O487" s="1"/>
      <c r="P487" s="1"/>
      <c r="Q487" s="1"/>
      <c r="R487" s="1" t="s">
        <v>1529</v>
      </c>
      <c r="S487" s="1" t="s">
        <v>79</v>
      </c>
      <c r="T487" s="1" t="s">
        <v>517</v>
      </c>
      <c r="U487" s="1" t="s">
        <v>517</v>
      </c>
    </row>
    <row r="488" ht="14.25" customHeight="1">
      <c r="A488" s="1" t="s">
        <v>2383</v>
      </c>
      <c r="B488" s="1" t="s">
        <v>3967</v>
      </c>
      <c r="C488" s="1" t="s">
        <v>3968</v>
      </c>
      <c r="D488" s="3" t="s">
        <v>3969</v>
      </c>
      <c r="E488" s="1" t="s">
        <v>99</v>
      </c>
      <c r="F488" s="1" t="s">
        <v>2398</v>
      </c>
      <c r="G488" s="1" t="s">
        <v>42</v>
      </c>
      <c r="H488" s="1" t="s">
        <v>135</v>
      </c>
      <c r="I488" s="1" t="s">
        <v>1326</v>
      </c>
      <c r="J488" s="1" t="s">
        <v>3970</v>
      </c>
      <c r="K488" s="1" t="s">
        <v>3971</v>
      </c>
      <c r="L488" s="1" t="s">
        <v>3972</v>
      </c>
      <c r="M488" s="1" t="s">
        <v>59</v>
      </c>
      <c r="N488" s="1" t="s">
        <v>3973</v>
      </c>
      <c r="O488" s="1" t="s">
        <v>3974</v>
      </c>
      <c r="P488" s="1" t="s">
        <v>73</v>
      </c>
      <c r="Q488" s="1"/>
      <c r="R488" s="1" t="s">
        <v>84</v>
      </c>
      <c r="S488" s="1" t="s">
        <v>25</v>
      </c>
      <c r="T488" s="1" t="s">
        <v>3975</v>
      </c>
      <c r="U488" s="1" t="s">
        <v>3976</v>
      </c>
    </row>
    <row r="489" ht="14.25" customHeight="1">
      <c r="A489" s="1" t="s">
        <v>2383</v>
      </c>
      <c r="B489" s="1" t="s">
        <v>394</v>
      </c>
      <c r="C489" s="1" t="s">
        <v>395</v>
      </c>
      <c r="D489" s="3" t="s">
        <v>396</v>
      </c>
      <c r="E489" s="1" t="s">
        <v>91</v>
      </c>
      <c r="F489" s="1" t="s">
        <v>41</v>
      </c>
      <c r="G489" s="1" t="s">
        <v>42</v>
      </c>
      <c r="H489" s="1" t="s">
        <v>135</v>
      </c>
      <c r="I489" s="1" t="s">
        <v>397</v>
      </c>
      <c r="J489" s="1" t="s">
        <v>398</v>
      </c>
      <c r="K489" s="1" t="s">
        <v>399</v>
      </c>
      <c r="L489" s="1" t="s">
        <v>400</v>
      </c>
      <c r="M489" s="1" t="s">
        <v>59</v>
      </c>
      <c r="N489" s="1" t="s">
        <v>401</v>
      </c>
      <c r="O489" s="1" t="s">
        <v>402</v>
      </c>
      <c r="P489" s="1" t="s">
        <v>163</v>
      </c>
      <c r="Q489" s="1"/>
      <c r="R489" s="1" t="s">
        <v>403</v>
      </c>
      <c r="S489" s="1" t="s">
        <v>91</v>
      </c>
      <c r="T489" s="1" t="s">
        <v>404</v>
      </c>
      <c r="U489" s="1" t="s">
        <v>405</v>
      </c>
    </row>
    <row r="490" ht="14.25" customHeight="1">
      <c r="A490" s="1" t="s">
        <v>2383</v>
      </c>
      <c r="B490" s="1" t="s">
        <v>3977</v>
      </c>
      <c r="C490" s="1" t="s">
        <v>3978</v>
      </c>
      <c r="D490" s="3"/>
      <c r="E490" s="1"/>
      <c r="F490" s="1" t="s">
        <v>2386</v>
      </c>
      <c r="G490" s="1" t="s">
        <v>42</v>
      </c>
      <c r="H490" s="1" t="s">
        <v>135</v>
      </c>
      <c r="I490" s="1" t="s">
        <v>397</v>
      </c>
      <c r="J490" s="1" t="s">
        <v>3979</v>
      </c>
      <c r="K490" s="1" t="s">
        <v>3980</v>
      </c>
      <c r="L490" s="1" t="s">
        <v>3981</v>
      </c>
      <c r="M490" s="1" t="s">
        <v>59</v>
      </c>
      <c r="N490" s="1" t="s">
        <v>3982</v>
      </c>
      <c r="O490" s="1" t="s">
        <v>3983</v>
      </c>
      <c r="P490" s="1" t="s">
        <v>517</v>
      </c>
      <c r="Q490" s="1"/>
      <c r="R490" s="1" t="s">
        <v>105</v>
      </c>
      <c r="S490" s="1" t="s">
        <v>91</v>
      </c>
      <c r="T490" s="1" t="s">
        <v>3984</v>
      </c>
      <c r="U490" s="1" t="s">
        <v>228</v>
      </c>
    </row>
    <row r="491" ht="14.25" customHeight="1">
      <c r="A491" s="1" t="s">
        <v>2383</v>
      </c>
      <c r="B491" s="1" t="s">
        <v>3985</v>
      </c>
      <c r="C491" s="1" t="s">
        <v>3986</v>
      </c>
      <c r="D491" s="3" t="s">
        <v>3987</v>
      </c>
      <c r="E491" s="1" t="s">
        <v>25</v>
      </c>
      <c r="F491" s="1" t="s">
        <v>2386</v>
      </c>
      <c r="G491" s="1" t="s">
        <v>42</v>
      </c>
      <c r="H491" s="1" t="s">
        <v>135</v>
      </c>
      <c r="I491" s="1" t="s">
        <v>3988</v>
      </c>
      <c r="J491" s="1"/>
      <c r="K491" s="1" t="s">
        <v>3989</v>
      </c>
      <c r="L491" s="1" t="s">
        <v>3990</v>
      </c>
      <c r="M491" s="1" t="s">
        <v>31</v>
      </c>
      <c r="N491" s="1"/>
      <c r="O491" s="1" t="s">
        <v>3991</v>
      </c>
      <c r="P491" s="1" t="s">
        <v>73</v>
      </c>
      <c r="Q491" s="1"/>
      <c r="R491" s="1" t="s">
        <v>141</v>
      </c>
      <c r="S491" s="1"/>
      <c r="T491" s="1" t="s">
        <v>3992</v>
      </c>
      <c r="U491" s="1" t="s">
        <v>215</v>
      </c>
    </row>
    <row r="492" ht="14.25" customHeight="1">
      <c r="A492" s="1" t="s">
        <v>2383</v>
      </c>
      <c r="B492" s="1" t="s">
        <v>3993</v>
      </c>
      <c r="C492" s="1" t="s">
        <v>3994</v>
      </c>
      <c r="D492" s="3" t="s">
        <v>3995</v>
      </c>
      <c r="E492" s="1" t="s">
        <v>40</v>
      </c>
      <c r="F492" s="1" t="s">
        <v>2398</v>
      </c>
      <c r="G492" s="1" t="s">
        <v>42</v>
      </c>
      <c r="H492" s="1" t="s">
        <v>135</v>
      </c>
      <c r="I492" s="1" t="s">
        <v>3996</v>
      </c>
      <c r="J492" s="1"/>
      <c r="K492" s="1" t="s">
        <v>3997</v>
      </c>
      <c r="L492" s="1" t="s">
        <v>3998</v>
      </c>
      <c r="M492" s="1" t="s">
        <v>31</v>
      </c>
      <c r="N492" s="1"/>
      <c r="O492" s="1" t="s">
        <v>3999</v>
      </c>
      <c r="P492" s="1" t="s">
        <v>1266</v>
      </c>
      <c r="Q492" s="1"/>
      <c r="R492" s="1" t="s">
        <v>1266</v>
      </c>
      <c r="S492" s="1"/>
      <c r="T492" s="1" t="s">
        <v>4000</v>
      </c>
      <c r="U492" s="1" t="s">
        <v>559</v>
      </c>
    </row>
    <row r="493" ht="14.25" customHeight="1">
      <c r="A493" s="1" t="s">
        <v>2383</v>
      </c>
      <c r="B493" s="1" t="s">
        <v>4001</v>
      </c>
      <c r="C493" s="1" t="s">
        <v>4002</v>
      </c>
      <c r="D493" s="3" t="s">
        <v>4003</v>
      </c>
      <c r="E493" s="1" t="s">
        <v>174</v>
      </c>
      <c r="F493" s="1" t="s">
        <v>2398</v>
      </c>
      <c r="G493" s="1" t="s">
        <v>42</v>
      </c>
      <c r="H493" s="1" t="s">
        <v>135</v>
      </c>
      <c r="I493" s="1" t="s">
        <v>1495</v>
      </c>
      <c r="J493" s="1" t="s">
        <v>4004</v>
      </c>
      <c r="K493" s="1" t="s">
        <v>4005</v>
      </c>
      <c r="L493" s="1" t="s">
        <v>4006</v>
      </c>
      <c r="M493" s="1" t="s">
        <v>31</v>
      </c>
      <c r="N493" s="1"/>
      <c r="O493" s="1"/>
      <c r="P493" s="1"/>
      <c r="Q493" s="1"/>
      <c r="R493" s="1" t="s">
        <v>1272</v>
      </c>
      <c r="S493" s="1" t="s">
        <v>174</v>
      </c>
      <c r="T493" s="1" t="s">
        <v>4007</v>
      </c>
      <c r="U493" s="1" t="s">
        <v>731</v>
      </c>
    </row>
    <row r="494" ht="14.25" customHeight="1">
      <c r="A494" s="1" t="s">
        <v>2383</v>
      </c>
      <c r="B494" s="1" t="s">
        <v>4008</v>
      </c>
      <c r="C494" s="1" t="s">
        <v>4009</v>
      </c>
      <c r="D494" s="3" t="s">
        <v>4010</v>
      </c>
      <c r="E494" s="1" t="s">
        <v>99</v>
      </c>
      <c r="F494" s="1" t="s">
        <v>2386</v>
      </c>
      <c r="G494" s="1" t="s">
        <v>42</v>
      </c>
      <c r="H494" s="1" t="s">
        <v>135</v>
      </c>
      <c r="I494" s="1" t="s">
        <v>2719</v>
      </c>
      <c r="J494" s="1" t="s">
        <v>4011</v>
      </c>
      <c r="K494" s="1" t="s">
        <v>4012</v>
      </c>
      <c r="L494" s="1" t="s">
        <v>4013</v>
      </c>
      <c r="M494" s="1" t="s">
        <v>59</v>
      </c>
      <c r="N494" s="1" t="s">
        <v>4014</v>
      </c>
      <c r="O494" s="1" t="s">
        <v>4015</v>
      </c>
      <c r="P494" s="1" t="s">
        <v>156</v>
      </c>
      <c r="Q494" s="1"/>
      <c r="R494" s="1" t="s">
        <v>141</v>
      </c>
      <c r="S494" s="1" t="s">
        <v>25</v>
      </c>
      <c r="T494" s="1" t="s">
        <v>4016</v>
      </c>
      <c r="U494" s="1" t="s">
        <v>4017</v>
      </c>
    </row>
    <row r="495" ht="14.25" customHeight="1">
      <c r="A495" s="1" t="s">
        <v>2383</v>
      </c>
      <c r="B495" s="1" t="s">
        <v>4018</v>
      </c>
      <c r="C495" s="1" t="s">
        <v>4019</v>
      </c>
      <c r="D495" s="1" t="s">
        <v>4020</v>
      </c>
      <c r="E495" s="1" t="s">
        <v>99</v>
      </c>
      <c r="F495" s="1" t="s">
        <v>2386</v>
      </c>
      <c r="G495" s="1" t="s">
        <v>42</v>
      </c>
      <c r="H495" s="1" t="s">
        <v>135</v>
      </c>
      <c r="I495" s="1" t="s">
        <v>412</v>
      </c>
      <c r="J495" s="1"/>
      <c r="K495" s="1" t="s">
        <v>4021</v>
      </c>
      <c r="L495" s="1" t="s">
        <v>4022</v>
      </c>
      <c r="M495" s="1" t="s">
        <v>59</v>
      </c>
      <c r="N495" s="1" t="s">
        <v>4023</v>
      </c>
      <c r="O495" s="1" t="s">
        <v>4024</v>
      </c>
      <c r="P495" s="1" t="s">
        <v>369</v>
      </c>
      <c r="Q495" s="1"/>
      <c r="R495" s="1" t="s">
        <v>2599</v>
      </c>
      <c r="S495" s="1"/>
      <c r="T495" s="1" t="s">
        <v>4025</v>
      </c>
      <c r="U495" s="1" t="s">
        <v>4026</v>
      </c>
    </row>
    <row r="496" ht="14.25" customHeight="1">
      <c r="A496" s="1" t="s">
        <v>2383</v>
      </c>
      <c r="B496" s="1" t="s">
        <v>4027</v>
      </c>
      <c r="C496" s="1" t="s">
        <v>4028</v>
      </c>
      <c r="D496" s="3" t="s">
        <v>4029</v>
      </c>
      <c r="E496" s="1" t="s">
        <v>25</v>
      </c>
      <c r="F496" s="1" t="s">
        <v>2398</v>
      </c>
      <c r="G496" s="1" t="s">
        <v>42</v>
      </c>
      <c r="H496" s="1" t="s">
        <v>135</v>
      </c>
      <c r="I496" s="1" t="s">
        <v>4030</v>
      </c>
      <c r="J496" s="1"/>
      <c r="K496" s="1" t="s">
        <v>4031</v>
      </c>
      <c r="L496" s="1" t="s">
        <v>4032</v>
      </c>
      <c r="M496" s="1" t="s">
        <v>31</v>
      </c>
      <c r="N496" s="1"/>
      <c r="O496" s="1" t="s">
        <v>4033</v>
      </c>
      <c r="P496" s="1" t="s">
        <v>228</v>
      </c>
      <c r="Q496" s="1"/>
      <c r="R496" s="1" t="s">
        <v>1857</v>
      </c>
      <c r="S496" s="1"/>
      <c r="T496" s="1" t="s">
        <v>4034</v>
      </c>
      <c r="U496" s="1" t="s">
        <v>4035</v>
      </c>
    </row>
    <row r="497" ht="14.25" customHeight="1">
      <c r="A497" s="1" t="s">
        <v>2383</v>
      </c>
      <c r="B497" s="1" t="s">
        <v>406</v>
      </c>
      <c r="C497" s="1" t="s">
        <v>407</v>
      </c>
      <c r="D497" s="3" t="s">
        <v>408</v>
      </c>
      <c r="E497" s="1" t="s">
        <v>25</v>
      </c>
      <c r="F497" s="1" t="s">
        <v>41</v>
      </c>
      <c r="G497" s="1" t="s">
        <v>42</v>
      </c>
      <c r="H497" s="1" t="s">
        <v>135</v>
      </c>
      <c r="I497" s="1" t="s">
        <v>409</v>
      </c>
      <c r="J497" s="1" t="s">
        <v>410</v>
      </c>
      <c r="K497" s="1" t="s">
        <v>411</v>
      </c>
      <c r="L497" s="1"/>
      <c r="M497" s="1" t="s">
        <v>31</v>
      </c>
      <c r="N497" s="1"/>
      <c r="O497" s="1"/>
      <c r="P497" s="1"/>
      <c r="Q497" s="1"/>
      <c r="R497" s="1" t="s">
        <v>412</v>
      </c>
      <c r="S497" s="1" t="s">
        <v>117</v>
      </c>
      <c r="T497" s="1" t="s">
        <v>413</v>
      </c>
      <c r="U497" s="1" t="s">
        <v>34</v>
      </c>
    </row>
    <row r="498" ht="14.25" customHeight="1">
      <c r="A498" s="1" t="s">
        <v>2383</v>
      </c>
      <c r="B498" s="1" t="s">
        <v>4036</v>
      </c>
      <c r="C498" s="1" t="s">
        <v>4037</v>
      </c>
      <c r="D498" s="3"/>
      <c r="E498" s="1"/>
      <c r="F498" s="1" t="s">
        <v>2398</v>
      </c>
      <c r="G498" s="1" t="s">
        <v>42</v>
      </c>
      <c r="H498" s="1" t="s">
        <v>135</v>
      </c>
      <c r="I498" s="1" t="s">
        <v>226</v>
      </c>
      <c r="J498" s="1"/>
      <c r="K498" s="1" t="s">
        <v>4038</v>
      </c>
      <c r="L498" s="1" t="s">
        <v>4039</v>
      </c>
      <c r="M498" s="1" t="s">
        <v>59</v>
      </c>
      <c r="N498" s="1" t="s">
        <v>4040</v>
      </c>
      <c r="O498" s="1"/>
      <c r="P498" s="1"/>
      <c r="Q498" s="1"/>
      <c r="R498" s="1" t="s">
        <v>535</v>
      </c>
      <c r="S498" s="1"/>
      <c r="T498" s="1" t="s">
        <v>4041</v>
      </c>
      <c r="U498" s="1" t="s">
        <v>4042</v>
      </c>
    </row>
    <row r="499" ht="14.25" customHeight="1">
      <c r="A499" s="1" t="s">
        <v>2383</v>
      </c>
      <c r="B499" s="1" t="s">
        <v>4043</v>
      </c>
      <c r="C499" s="1" t="s">
        <v>4044</v>
      </c>
      <c r="D499" s="1" t="s">
        <v>4045</v>
      </c>
      <c r="E499" s="1" t="s">
        <v>637</v>
      </c>
      <c r="F499" s="1" t="s">
        <v>2398</v>
      </c>
      <c r="G499" s="1" t="s">
        <v>42</v>
      </c>
      <c r="H499" s="1" t="s">
        <v>135</v>
      </c>
      <c r="I499" s="1" t="s">
        <v>1867</v>
      </c>
      <c r="J499" s="1" t="s">
        <v>4046</v>
      </c>
      <c r="K499" s="1" t="s">
        <v>4047</v>
      </c>
      <c r="L499" s="1" t="s">
        <v>4048</v>
      </c>
      <c r="M499" s="1" t="s">
        <v>59</v>
      </c>
      <c r="N499" s="1" t="s">
        <v>4049</v>
      </c>
      <c r="O499" s="1" t="s">
        <v>4050</v>
      </c>
      <c r="P499" s="1" t="s">
        <v>182</v>
      </c>
      <c r="Q499" s="1"/>
      <c r="R499" s="1" t="s">
        <v>1227</v>
      </c>
      <c r="S499" s="1" t="s">
        <v>637</v>
      </c>
      <c r="T499" s="1" t="s">
        <v>4051</v>
      </c>
      <c r="U499" s="1" t="s">
        <v>4052</v>
      </c>
    </row>
    <row r="500" ht="14.25" customHeight="1">
      <c r="A500" s="1" t="s">
        <v>2383</v>
      </c>
      <c r="B500" s="1" t="s">
        <v>4053</v>
      </c>
      <c r="C500" s="1" t="s">
        <v>4054</v>
      </c>
      <c r="D500" s="3" t="s">
        <v>4055</v>
      </c>
      <c r="E500" s="1" t="s">
        <v>91</v>
      </c>
      <c r="F500" s="1" t="s">
        <v>2386</v>
      </c>
      <c r="G500" s="1" t="s">
        <v>42</v>
      </c>
      <c r="H500" s="1" t="s">
        <v>135</v>
      </c>
      <c r="I500" s="1" t="s">
        <v>870</v>
      </c>
      <c r="J500" s="1" t="s">
        <v>4056</v>
      </c>
      <c r="K500" s="1" t="s">
        <v>4057</v>
      </c>
      <c r="L500" s="1" t="s">
        <v>4058</v>
      </c>
      <c r="M500" s="1" t="s">
        <v>59</v>
      </c>
      <c r="N500" s="1" t="s">
        <v>4059</v>
      </c>
      <c r="O500" s="1" t="s">
        <v>4060</v>
      </c>
      <c r="P500" s="1" t="s">
        <v>487</v>
      </c>
      <c r="Q500" s="1"/>
      <c r="R500" s="1" t="s">
        <v>731</v>
      </c>
      <c r="S500" s="1" t="s">
        <v>91</v>
      </c>
      <c r="T500" s="1" t="s">
        <v>4061</v>
      </c>
      <c r="U500" s="1" t="s">
        <v>4062</v>
      </c>
    </row>
    <row r="501" ht="14.25" customHeight="1">
      <c r="A501" s="1" t="s">
        <v>2383</v>
      </c>
      <c r="B501" s="1" t="s">
        <v>4063</v>
      </c>
      <c r="C501" s="1" t="s">
        <v>4064</v>
      </c>
      <c r="D501" s="3" t="s">
        <v>4065</v>
      </c>
      <c r="E501" s="1" t="s">
        <v>99</v>
      </c>
      <c r="F501" s="1" t="s">
        <v>2417</v>
      </c>
      <c r="G501" s="1" t="s">
        <v>42</v>
      </c>
      <c r="H501" s="1" t="s">
        <v>135</v>
      </c>
      <c r="I501" s="1" t="s">
        <v>4066</v>
      </c>
      <c r="J501" s="1" t="s">
        <v>4067</v>
      </c>
      <c r="K501" s="1" t="s">
        <v>4068</v>
      </c>
      <c r="L501" s="1" t="s">
        <v>4069</v>
      </c>
      <c r="M501" s="1" t="s">
        <v>31</v>
      </c>
      <c r="N501" s="1"/>
      <c r="O501" s="1"/>
      <c r="P501" s="1"/>
      <c r="Q501" s="1"/>
      <c r="R501" s="1" t="s">
        <v>247</v>
      </c>
      <c r="S501" s="1"/>
      <c r="T501" s="1" t="s">
        <v>4070</v>
      </c>
      <c r="U501" s="1" t="s">
        <v>4071</v>
      </c>
    </row>
    <row r="502" ht="14.25" customHeight="1">
      <c r="A502" s="1" t="s">
        <v>2383</v>
      </c>
      <c r="B502" s="1" t="s">
        <v>4072</v>
      </c>
      <c r="C502" s="1" t="s">
        <v>4073</v>
      </c>
      <c r="D502" s="3"/>
      <c r="E502" s="1"/>
      <c r="F502" s="1"/>
      <c r="G502" s="1"/>
      <c r="H502" s="1" t="s">
        <v>135</v>
      </c>
      <c r="I502" s="1" t="s">
        <v>623</v>
      </c>
      <c r="J502" s="1"/>
      <c r="K502" s="1" t="s">
        <v>4074</v>
      </c>
      <c r="L502" s="1"/>
      <c r="M502" s="1" t="s">
        <v>31</v>
      </c>
      <c r="N502" s="1"/>
      <c r="O502" s="1"/>
      <c r="P502" s="1"/>
      <c r="Q502" s="1"/>
      <c r="R502" s="1" t="s">
        <v>228</v>
      </c>
      <c r="S502" s="1"/>
      <c r="T502" s="1" t="s">
        <v>4075</v>
      </c>
      <c r="U502" s="1" t="s">
        <v>1374</v>
      </c>
    </row>
    <row r="503" ht="14.25" customHeight="1">
      <c r="A503" s="1" t="s">
        <v>2383</v>
      </c>
      <c r="B503" s="1" t="s">
        <v>4076</v>
      </c>
      <c r="C503" s="1" t="s">
        <v>4077</v>
      </c>
      <c r="D503" s="1" t="s">
        <v>4078</v>
      </c>
      <c r="E503" s="1" t="s">
        <v>79</v>
      </c>
      <c r="F503" s="1" t="s">
        <v>2417</v>
      </c>
      <c r="G503" s="1" t="s">
        <v>42</v>
      </c>
      <c r="H503" s="1" t="s">
        <v>135</v>
      </c>
      <c r="I503" s="1" t="s">
        <v>4079</v>
      </c>
      <c r="J503" s="1"/>
      <c r="K503" s="1" t="s">
        <v>4080</v>
      </c>
      <c r="L503" s="1" t="s">
        <v>4081</v>
      </c>
      <c r="M503" s="1" t="s">
        <v>59</v>
      </c>
      <c r="N503" s="1" t="s">
        <v>4082</v>
      </c>
      <c r="O503" s="1"/>
      <c r="P503" s="1"/>
      <c r="Q503" s="1"/>
      <c r="R503" s="1" t="s">
        <v>1857</v>
      </c>
      <c r="S503" s="1"/>
      <c r="T503" s="1" t="s">
        <v>4083</v>
      </c>
      <c r="U503" s="1" t="s">
        <v>62</v>
      </c>
    </row>
    <row r="504" ht="14.25" customHeight="1">
      <c r="A504" s="1" t="s">
        <v>2383</v>
      </c>
      <c r="B504" s="1" t="s">
        <v>4084</v>
      </c>
      <c r="C504" s="1" t="s">
        <v>4085</v>
      </c>
      <c r="D504" s="3" t="s">
        <v>4086</v>
      </c>
      <c r="E504" s="1" t="s">
        <v>384</v>
      </c>
      <c r="F504" s="1" t="s">
        <v>2386</v>
      </c>
      <c r="G504" s="1" t="s">
        <v>42</v>
      </c>
      <c r="H504" s="1" t="s">
        <v>135</v>
      </c>
      <c r="I504" s="1" t="s">
        <v>732</v>
      </c>
      <c r="J504" s="1" t="s">
        <v>4087</v>
      </c>
      <c r="K504" s="1" t="s">
        <v>4088</v>
      </c>
      <c r="L504" s="1" t="s">
        <v>4089</v>
      </c>
      <c r="M504" s="1" t="s">
        <v>31</v>
      </c>
      <c r="N504" s="1"/>
      <c r="O504" s="1" t="s">
        <v>4090</v>
      </c>
      <c r="P504" s="1" t="s">
        <v>517</v>
      </c>
      <c r="Q504" s="1"/>
      <c r="R504" s="1" t="s">
        <v>191</v>
      </c>
      <c r="S504" s="1"/>
      <c r="T504" s="1" t="s">
        <v>4091</v>
      </c>
      <c r="U504" s="1" t="s">
        <v>1282</v>
      </c>
    </row>
    <row r="505" ht="14.25" customHeight="1">
      <c r="A505" s="1" t="s">
        <v>2383</v>
      </c>
      <c r="B505" s="1" t="s">
        <v>4092</v>
      </c>
      <c r="C505" s="1" t="s">
        <v>4093</v>
      </c>
      <c r="D505" s="3"/>
      <c r="E505" s="1"/>
      <c r="F505" s="1" t="s">
        <v>2386</v>
      </c>
      <c r="G505" s="1" t="s">
        <v>42</v>
      </c>
      <c r="H505" s="1" t="s">
        <v>135</v>
      </c>
      <c r="I505" s="1" t="s">
        <v>4094</v>
      </c>
      <c r="J505" s="1"/>
      <c r="K505" s="1" t="s">
        <v>4095</v>
      </c>
      <c r="L505" s="1" t="s">
        <v>4096</v>
      </c>
      <c r="M505" s="1" t="s">
        <v>31</v>
      </c>
      <c r="N505" s="1"/>
      <c r="O505" s="1" t="s">
        <v>4097</v>
      </c>
      <c r="P505" s="1" t="s">
        <v>110</v>
      </c>
      <c r="Q505" s="1"/>
      <c r="R505" s="1" t="s">
        <v>125</v>
      </c>
      <c r="S505" s="1"/>
      <c r="T505" s="1" t="s">
        <v>1184</v>
      </c>
      <c r="U505" s="1" t="s">
        <v>830</v>
      </c>
    </row>
    <row r="506" ht="14.25" customHeight="1">
      <c r="A506" s="1" t="s">
        <v>2383</v>
      </c>
      <c r="B506" s="1" t="s">
        <v>4098</v>
      </c>
      <c r="C506" s="1" t="s">
        <v>4099</v>
      </c>
      <c r="D506" s="3" t="s">
        <v>4100</v>
      </c>
      <c r="E506" s="1" t="s">
        <v>637</v>
      </c>
      <c r="F506" s="1" t="s">
        <v>2386</v>
      </c>
      <c r="G506" s="1" t="s">
        <v>42</v>
      </c>
      <c r="H506" s="1" t="s">
        <v>135</v>
      </c>
      <c r="I506" s="1" t="s">
        <v>3780</v>
      </c>
      <c r="J506" s="1"/>
      <c r="K506" s="1" t="s">
        <v>4101</v>
      </c>
      <c r="L506" s="1" t="s">
        <v>4102</v>
      </c>
      <c r="M506" s="1" t="s">
        <v>59</v>
      </c>
      <c r="N506" s="1" t="s">
        <v>4103</v>
      </c>
      <c r="O506" s="1" t="s">
        <v>4104</v>
      </c>
      <c r="P506" s="1" t="s">
        <v>110</v>
      </c>
      <c r="Q506" s="1"/>
      <c r="R506" s="1" t="s">
        <v>209</v>
      </c>
      <c r="S506" s="1" t="s">
        <v>174</v>
      </c>
      <c r="T506" s="1" t="s">
        <v>182</v>
      </c>
      <c r="U506" s="1" t="s">
        <v>182</v>
      </c>
    </row>
    <row r="507" ht="14.25" customHeight="1">
      <c r="A507" s="1" t="s">
        <v>2383</v>
      </c>
      <c r="B507" s="1" t="s">
        <v>4105</v>
      </c>
      <c r="C507" s="1" t="s">
        <v>4106</v>
      </c>
      <c r="D507" s="3" t="s">
        <v>4107</v>
      </c>
      <c r="E507" s="1" t="s">
        <v>40</v>
      </c>
      <c r="F507" s="1" t="s">
        <v>2417</v>
      </c>
      <c r="G507" s="1" t="s">
        <v>42</v>
      </c>
      <c r="H507" s="1" t="s">
        <v>135</v>
      </c>
      <c r="I507" s="1" t="s">
        <v>876</v>
      </c>
      <c r="J507" s="1"/>
      <c r="K507" s="1" t="s">
        <v>4108</v>
      </c>
      <c r="L507" s="1" t="s">
        <v>4109</v>
      </c>
      <c r="M507" s="1" t="s">
        <v>31</v>
      </c>
      <c r="N507" s="1"/>
      <c r="O507" s="1"/>
      <c r="P507" s="1"/>
      <c r="Q507" s="1"/>
      <c r="R507" s="1" t="s">
        <v>1697</v>
      </c>
      <c r="S507" s="1"/>
      <c r="T507" s="1" t="s">
        <v>4110</v>
      </c>
      <c r="U507" s="1" t="s">
        <v>2639</v>
      </c>
    </row>
    <row r="508" ht="14.25" customHeight="1">
      <c r="A508" s="1" t="s">
        <v>2383</v>
      </c>
      <c r="B508" s="1" t="s">
        <v>4111</v>
      </c>
      <c r="C508" s="1" t="s">
        <v>4112</v>
      </c>
      <c r="D508" s="1" t="s">
        <v>4113</v>
      </c>
      <c r="E508" s="1" t="s">
        <v>25</v>
      </c>
      <c r="F508" s="1" t="s">
        <v>2386</v>
      </c>
      <c r="G508" s="1" t="s">
        <v>42</v>
      </c>
      <c r="H508" s="1" t="s">
        <v>135</v>
      </c>
      <c r="I508" s="1" t="s">
        <v>4114</v>
      </c>
      <c r="J508" s="1"/>
      <c r="K508" s="1" t="s">
        <v>4115</v>
      </c>
      <c r="L508" s="1" t="s">
        <v>4116</v>
      </c>
      <c r="M508" s="1" t="s">
        <v>31</v>
      </c>
      <c r="N508" s="1"/>
      <c r="O508" s="1" t="s">
        <v>4117</v>
      </c>
      <c r="P508" s="1" t="s">
        <v>73</v>
      </c>
      <c r="Q508" s="1"/>
      <c r="R508" s="1" t="s">
        <v>361</v>
      </c>
      <c r="S508" s="1"/>
      <c r="T508" s="1" t="s">
        <v>4118</v>
      </c>
      <c r="U508" s="1" t="s">
        <v>4119</v>
      </c>
    </row>
    <row r="509" ht="14.25" customHeight="1">
      <c r="A509" s="1" t="s">
        <v>2383</v>
      </c>
      <c r="B509" s="1" t="s">
        <v>4120</v>
      </c>
      <c r="C509" s="1" t="s">
        <v>4121</v>
      </c>
      <c r="D509" s="3" t="s">
        <v>4122</v>
      </c>
      <c r="E509" s="1" t="s">
        <v>117</v>
      </c>
      <c r="F509" s="1" t="s">
        <v>2386</v>
      </c>
      <c r="G509" s="1" t="s">
        <v>42</v>
      </c>
      <c r="H509" s="1" t="s">
        <v>135</v>
      </c>
      <c r="I509" s="1" t="s">
        <v>48</v>
      </c>
      <c r="J509" s="1" t="s">
        <v>4123</v>
      </c>
      <c r="K509" s="1" t="s">
        <v>4124</v>
      </c>
      <c r="L509" s="1" t="s">
        <v>4125</v>
      </c>
      <c r="M509" s="1" t="s">
        <v>59</v>
      </c>
      <c r="N509" s="1" t="s">
        <v>4126</v>
      </c>
      <c r="O509" s="1" t="s">
        <v>346</v>
      </c>
      <c r="P509" s="1"/>
      <c r="Q509" s="1"/>
      <c r="R509" s="1" t="s">
        <v>202</v>
      </c>
      <c r="S509" s="1" t="s">
        <v>117</v>
      </c>
      <c r="T509" s="1" t="s">
        <v>4127</v>
      </c>
      <c r="U509" s="1" t="s">
        <v>4128</v>
      </c>
    </row>
    <row r="510" ht="14.25" customHeight="1">
      <c r="A510" s="1" t="s">
        <v>2383</v>
      </c>
      <c r="B510" s="1" t="s">
        <v>4129</v>
      </c>
      <c r="C510" s="1" t="s">
        <v>4130</v>
      </c>
      <c r="D510" s="1"/>
      <c r="E510" s="1"/>
      <c r="F510" s="1"/>
      <c r="G510" s="1" t="s">
        <v>42</v>
      </c>
      <c r="H510" s="1" t="s">
        <v>135</v>
      </c>
      <c r="I510" s="1" t="s">
        <v>4131</v>
      </c>
      <c r="J510" s="1" t="s">
        <v>4132</v>
      </c>
      <c r="K510" s="1" t="s">
        <v>4133</v>
      </c>
      <c r="L510" s="1" t="s">
        <v>4134</v>
      </c>
      <c r="M510" s="1" t="s">
        <v>59</v>
      </c>
      <c r="N510" s="1" t="s">
        <v>4135</v>
      </c>
      <c r="O510" s="1" t="s">
        <v>4136</v>
      </c>
      <c r="P510" s="1" t="s">
        <v>62</v>
      </c>
      <c r="Q510" s="1"/>
      <c r="R510" s="1" t="s">
        <v>215</v>
      </c>
      <c r="S510" s="1" t="s">
        <v>117</v>
      </c>
      <c r="T510" s="1" t="s">
        <v>4137</v>
      </c>
      <c r="U510" s="1" t="s">
        <v>4138</v>
      </c>
    </row>
    <row r="511" ht="14.25" customHeight="1">
      <c r="A511" s="1" t="s">
        <v>2383</v>
      </c>
      <c r="B511" s="1" t="s">
        <v>4139</v>
      </c>
      <c r="C511" s="1" t="s">
        <v>4140</v>
      </c>
      <c r="D511" s="1" t="s">
        <v>4141</v>
      </c>
      <c r="E511" s="1" t="s">
        <v>174</v>
      </c>
      <c r="F511" s="1"/>
      <c r="G511" s="1" t="s">
        <v>42</v>
      </c>
      <c r="H511" s="1" t="s">
        <v>135</v>
      </c>
      <c r="I511" s="1" t="s">
        <v>2654</v>
      </c>
      <c r="J511" s="1"/>
      <c r="K511" s="1" t="s">
        <v>4142</v>
      </c>
      <c r="L511" s="1" t="s">
        <v>4143</v>
      </c>
      <c r="M511" s="1" t="s">
        <v>31</v>
      </c>
      <c r="N511" s="1"/>
      <c r="O511" s="1" t="s">
        <v>4144</v>
      </c>
      <c r="P511" s="1"/>
      <c r="Q511" s="1"/>
      <c r="R511" s="1" t="s">
        <v>283</v>
      </c>
      <c r="S511" s="1"/>
      <c r="T511" s="1" t="s">
        <v>4145</v>
      </c>
      <c r="U511" s="1" t="s">
        <v>1107</v>
      </c>
    </row>
    <row r="512" ht="14.25" customHeight="1">
      <c r="A512" s="1" t="s">
        <v>2383</v>
      </c>
      <c r="B512" s="1" t="s">
        <v>4146</v>
      </c>
      <c r="C512" s="1" t="s">
        <v>4147</v>
      </c>
      <c r="D512" s="3"/>
      <c r="E512" s="1"/>
      <c r="F512" s="1" t="s">
        <v>26</v>
      </c>
      <c r="G512" s="1"/>
      <c r="H512" s="1" t="s">
        <v>135</v>
      </c>
      <c r="I512" s="1" t="s">
        <v>500</v>
      </c>
      <c r="J512" s="1"/>
      <c r="K512" s="1" t="s">
        <v>4148</v>
      </c>
      <c r="L512" s="1"/>
      <c r="M512" s="1" t="s">
        <v>31</v>
      </c>
      <c r="N512" s="1"/>
      <c r="O512" s="1"/>
      <c r="P512" s="1"/>
      <c r="Q512" s="1"/>
      <c r="R512" s="1" t="s">
        <v>141</v>
      </c>
      <c r="S512" s="1"/>
      <c r="T512" s="1" t="s">
        <v>4149</v>
      </c>
      <c r="U512" s="1" t="s">
        <v>4150</v>
      </c>
    </row>
    <row r="513" ht="14.25" customHeight="1">
      <c r="A513" s="1" t="s">
        <v>2383</v>
      </c>
      <c r="B513" s="1" t="s">
        <v>4151</v>
      </c>
      <c r="C513" s="1" t="s">
        <v>4152</v>
      </c>
      <c r="D513" s="3"/>
      <c r="E513" s="1"/>
      <c r="F513" s="1" t="s">
        <v>2386</v>
      </c>
      <c r="G513" s="1" t="s">
        <v>42</v>
      </c>
      <c r="H513" s="1" t="s">
        <v>156</v>
      </c>
      <c r="I513" s="1" t="s">
        <v>4153</v>
      </c>
      <c r="J513" s="1"/>
      <c r="K513" s="1" t="s">
        <v>4154</v>
      </c>
      <c r="L513" s="1" t="s">
        <v>4155</v>
      </c>
      <c r="M513" s="1" t="s">
        <v>31</v>
      </c>
      <c r="N513" s="1"/>
      <c r="O513" s="1" t="s">
        <v>4156</v>
      </c>
      <c r="P513" s="1" t="s">
        <v>228</v>
      </c>
      <c r="Q513" s="1"/>
      <c r="R513" s="1" t="s">
        <v>135</v>
      </c>
      <c r="S513" s="1"/>
      <c r="T513" s="1" t="s">
        <v>4157</v>
      </c>
      <c r="U513" s="1" t="s">
        <v>4158</v>
      </c>
    </row>
    <row r="514" ht="14.25" customHeight="1">
      <c r="A514" s="1" t="s">
        <v>2383</v>
      </c>
      <c r="B514" s="1" t="s">
        <v>4159</v>
      </c>
      <c r="C514" s="1" t="s">
        <v>4160</v>
      </c>
      <c r="D514" s="3" t="s">
        <v>4161</v>
      </c>
      <c r="E514" s="1" t="s">
        <v>99</v>
      </c>
      <c r="F514" s="1" t="s">
        <v>2386</v>
      </c>
      <c r="G514" s="1" t="s">
        <v>42</v>
      </c>
      <c r="H514" s="1" t="s">
        <v>156</v>
      </c>
      <c r="I514" s="1" t="s">
        <v>430</v>
      </c>
      <c r="J514" s="1" t="s">
        <v>4162</v>
      </c>
      <c r="K514" s="1" t="s">
        <v>4163</v>
      </c>
      <c r="L514" s="1" t="s">
        <v>4164</v>
      </c>
      <c r="M514" s="1" t="s">
        <v>59</v>
      </c>
      <c r="N514" s="1" t="s">
        <v>4165</v>
      </c>
      <c r="O514" s="1" t="s">
        <v>4166</v>
      </c>
      <c r="P514" s="1" t="s">
        <v>182</v>
      </c>
      <c r="Q514" s="1"/>
      <c r="R514" s="1" t="s">
        <v>731</v>
      </c>
      <c r="S514" s="1" t="s">
        <v>99</v>
      </c>
      <c r="T514" s="1" t="s">
        <v>4167</v>
      </c>
      <c r="U514" s="1" t="s">
        <v>4168</v>
      </c>
    </row>
    <row r="515" ht="14.25" customHeight="1">
      <c r="A515" s="1" t="s">
        <v>2383</v>
      </c>
      <c r="B515" s="1" t="s">
        <v>4169</v>
      </c>
      <c r="C515" s="1" t="s">
        <v>4170</v>
      </c>
      <c r="D515" s="3" t="s">
        <v>4171</v>
      </c>
      <c r="E515" s="1" t="s">
        <v>79</v>
      </c>
      <c r="F515" s="1" t="s">
        <v>2386</v>
      </c>
      <c r="G515" s="1" t="s">
        <v>2455</v>
      </c>
      <c r="H515" s="1" t="s">
        <v>156</v>
      </c>
      <c r="I515" s="1" t="s">
        <v>1261</v>
      </c>
      <c r="J515" s="1" t="s">
        <v>4172</v>
      </c>
      <c r="K515" s="1" t="s">
        <v>4173</v>
      </c>
      <c r="L515" s="1" t="s">
        <v>4174</v>
      </c>
      <c r="M515" s="1" t="s">
        <v>59</v>
      </c>
      <c r="N515" s="1" t="s">
        <v>4175</v>
      </c>
      <c r="O515" s="1" t="s">
        <v>4176</v>
      </c>
      <c r="P515" s="1"/>
      <c r="Q515" s="1"/>
      <c r="R515" s="1" t="s">
        <v>62</v>
      </c>
      <c r="S515" s="1" t="s">
        <v>79</v>
      </c>
      <c r="T515" s="1" t="s">
        <v>4177</v>
      </c>
      <c r="U515" s="1" t="s">
        <v>4178</v>
      </c>
    </row>
    <row r="516" ht="14.25" customHeight="1">
      <c r="A516" s="1" t="s">
        <v>2383</v>
      </c>
      <c r="B516" s="1" t="s">
        <v>4179</v>
      </c>
      <c r="C516" s="1" t="s">
        <v>4180</v>
      </c>
      <c r="D516" s="3" t="s">
        <v>4181</v>
      </c>
      <c r="E516" s="1" t="s">
        <v>384</v>
      </c>
      <c r="F516" s="1" t="s">
        <v>2386</v>
      </c>
      <c r="G516" s="1" t="s">
        <v>1801</v>
      </c>
      <c r="H516" s="1" t="s">
        <v>156</v>
      </c>
      <c r="I516" s="1" t="s">
        <v>557</v>
      </c>
      <c r="J516" s="1" t="s">
        <v>4182</v>
      </c>
      <c r="K516" s="1" t="s">
        <v>4183</v>
      </c>
      <c r="L516" s="1"/>
      <c r="M516" s="1" t="s">
        <v>31</v>
      </c>
      <c r="N516" s="1"/>
      <c r="O516" s="1"/>
      <c r="P516" s="1"/>
      <c r="Q516" s="1"/>
      <c r="R516" s="1" t="s">
        <v>2376</v>
      </c>
      <c r="S516" s="1" t="s">
        <v>384</v>
      </c>
      <c r="T516" s="1" t="s">
        <v>4184</v>
      </c>
      <c r="U516" s="1" t="s">
        <v>4185</v>
      </c>
    </row>
    <row r="517" ht="14.25" customHeight="1">
      <c r="A517" s="1" t="s">
        <v>2383</v>
      </c>
      <c r="B517" s="1" t="s">
        <v>4186</v>
      </c>
      <c r="C517" s="1" t="s">
        <v>4187</v>
      </c>
      <c r="D517" s="3" t="s">
        <v>4188</v>
      </c>
      <c r="E517" s="1" t="s">
        <v>91</v>
      </c>
      <c r="F517" s="1" t="s">
        <v>2386</v>
      </c>
      <c r="G517" s="1" t="s">
        <v>42</v>
      </c>
      <c r="H517" s="1" t="s">
        <v>156</v>
      </c>
      <c r="I517" s="1" t="s">
        <v>1393</v>
      </c>
      <c r="J517" s="1" t="s">
        <v>4189</v>
      </c>
      <c r="K517" s="1" t="s">
        <v>4190</v>
      </c>
      <c r="L517" s="1" t="s">
        <v>4191</v>
      </c>
      <c r="M517" s="1" t="s">
        <v>59</v>
      </c>
      <c r="N517" s="1" t="s">
        <v>4192</v>
      </c>
      <c r="O517" s="1" t="s">
        <v>4193</v>
      </c>
      <c r="P517" s="1" t="s">
        <v>247</v>
      </c>
      <c r="Q517" s="1"/>
      <c r="R517" s="1" t="s">
        <v>731</v>
      </c>
      <c r="S517" s="1" t="s">
        <v>99</v>
      </c>
      <c r="T517" s="1" t="s">
        <v>4194</v>
      </c>
      <c r="U517" s="1" t="s">
        <v>156</v>
      </c>
    </row>
    <row r="518" ht="14.25" customHeight="1">
      <c r="A518" s="1" t="s">
        <v>2383</v>
      </c>
      <c r="B518" s="1" t="s">
        <v>4195</v>
      </c>
      <c r="C518" s="1" t="s">
        <v>4196</v>
      </c>
      <c r="D518" s="3" t="s">
        <v>4197</v>
      </c>
      <c r="E518" s="1" t="s">
        <v>91</v>
      </c>
      <c r="F518" s="1" t="s">
        <v>2398</v>
      </c>
      <c r="G518" s="1" t="s">
        <v>1801</v>
      </c>
      <c r="H518" s="1" t="s">
        <v>156</v>
      </c>
      <c r="I518" s="1" t="s">
        <v>2912</v>
      </c>
      <c r="J518" s="1" t="s">
        <v>4198</v>
      </c>
      <c r="K518" s="1" t="s">
        <v>4199</v>
      </c>
      <c r="L518" s="1"/>
      <c r="M518" s="1" t="s">
        <v>31</v>
      </c>
      <c r="N518" s="1"/>
      <c r="O518" s="1"/>
      <c r="P518" s="1"/>
      <c r="Q518" s="1"/>
      <c r="R518" s="1" t="s">
        <v>283</v>
      </c>
      <c r="S518" s="1" t="s">
        <v>99</v>
      </c>
      <c r="T518" s="1" t="s">
        <v>4200</v>
      </c>
      <c r="U518" s="1" t="s">
        <v>4201</v>
      </c>
    </row>
    <row r="519" ht="14.25" customHeight="1">
      <c r="A519" s="1" t="s">
        <v>2383</v>
      </c>
      <c r="B519" s="1" t="s">
        <v>4202</v>
      </c>
      <c r="C519" s="1" t="s">
        <v>4203</v>
      </c>
      <c r="D519" s="1" t="s">
        <v>4204</v>
      </c>
      <c r="E519" s="1" t="s">
        <v>99</v>
      </c>
      <c r="F519" s="1" t="s">
        <v>2386</v>
      </c>
      <c r="G519" s="1" t="s">
        <v>42</v>
      </c>
      <c r="H519" s="1" t="s">
        <v>156</v>
      </c>
      <c r="I519" s="1" t="s">
        <v>4205</v>
      </c>
      <c r="J519" s="1" t="s">
        <v>4206</v>
      </c>
      <c r="K519" s="1" t="s">
        <v>4207</v>
      </c>
      <c r="L519" s="1" t="s">
        <v>4208</v>
      </c>
      <c r="M519" s="1" t="s">
        <v>31</v>
      </c>
      <c r="N519" s="1"/>
      <c r="O519" s="1" t="s">
        <v>4209</v>
      </c>
      <c r="P519" s="1" t="s">
        <v>156</v>
      </c>
      <c r="Q519" s="1"/>
      <c r="R519" s="1" t="s">
        <v>1697</v>
      </c>
      <c r="S519" s="1"/>
      <c r="T519" s="1" t="s">
        <v>4210</v>
      </c>
      <c r="U519" s="1" t="s">
        <v>4211</v>
      </c>
    </row>
    <row r="520" ht="14.25" customHeight="1">
      <c r="A520" s="1" t="s">
        <v>2383</v>
      </c>
      <c r="B520" s="1" t="s">
        <v>4212</v>
      </c>
      <c r="C520" s="1" t="s">
        <v>4213</v>
      </c>
      <c r="D520" s="1" t="s">
        <v>4214</v>
      </c>
      <c r="E520" s="1" t="s">
        <v>91</v>
      </c>
      <c r="F520" s="1"/>
      <c r="G520" s="1" t="s">
        <v>42</v>
      </c>
      <c r="H520" s="1" t="s">
        <v>156</v>
      </c>
      <c r="I520" s="1" t="s">
        <v>3130</v>
      </c>
      <c r="J520" s="1"/>
      <c r="K520" s="1" t="s">
        <v>4215</v>
      </c>
      <c r="L520" s="1" t="s">
        <v>4216</v>
      </c>
      <c r="M520" s="1" t="s">
        <v>31</v>
      </c>
      <c r="N520" s="1"/>
      <c r="O520" s="1"/>
      <c r="P520" s="1"/>
      <c r="Q520" s="1"/>
      <c r="R520" s="1" t="s">
        <v>215</v>
      </c>
      <c r="S520" s="1"/>
      <c r="T520" s="1" t="s">
        <v>4217</v>
      </c>
      <c r="U520" s="1" t="s">
        <v>348</v>
      </c>
    </row>
    <row r="521" ht="14.25" customHeight="1">
      <c r="A521" s="1" t="s">
        <v>2383</v>
      </c>
      <c r="B521" s="1" t="s">
        <v>4218</v>
      </c>
      <c r="C521" s="1" t="s">
        <v>4219</v>
      </c>
      <c r="D521" s="3"/>
      <c r="E521" s="1"/>
      <c r="F521" s="1"/>
      <c r="G521" s="1" t="s">
        <v>42</v>
      </c>
      <c r="H521" s="1" t="s">
        <v>156</v>
      </c>
      <c r="I521" s="1" t="s">
        <v>2745</v>
      </c>
      <c r="J521" s="1"/>
      <c r="K521" s="1" t="s">
        <v>4220</v>
      </c>
      <c r="L521" s="1" t="s">
        <v>4221</v>
      </c>
      <c r="M521" s="1" t="s">
        <v>59</v>
      </c>
      <c r="N521" s="1" t="s">
        <v>4222</v>
      </c>
      <c r="O521" s="1" t="s">
        <v>4223</v>
      </c>
      <c r="P521" s="1" t="s">
        <v>1266</v>
      </c>
      <c r="Q521" s="1"/>
      <c r="R521" s="1" t="s">
        <v>247</v>
      </c>
      <c r="S521" s="1" t="s">
        <v>352</v>
      </c>
      <c r="T521" s="1" t="s">
        <v>4224</v>
      </c>
      <c r="U521" s="1" t="s">
        <v>3682</v>
      </c>
    </row>
    <row r="522" ht="14.25" customHeight="1">
      <c r="A522" s="1" t="s">
        <v>2383</v>
      </c>
      <c r="B522" s="1" t="s">
        <v>4225</v>
      </c>
      <c r="C522" s="1" t="s">
        <v>4226</v>
      </c>
      <c r="D522" s="3"/>
      <c r="E522" s="1"/>
      <c r="F522" s="1" t="s">
        <v>2386</v>
      </c>
      <c r="G522" s="1" t="s">
        <v>42</v>
      </c>
      <c r="H522" s="1" t="s">
        <v>156</v>
      </c>
      <c r="I522" s="1" t="s">
        <v>409</v>
      </c>
      <c r="J522" s="1"/>
      <c r="K522" s="1" t="s">
        <v>4227</v>
      </c>
      <c r="L522" s="1" t="s">
        <v>4228</v>
      </c>
      <c r="M522" s="1" t="s">
        <v>31</v>
      </c>
      <c r="N522" s="1"/>
      <c r="O522" s="1" t="s">
        <v>4229</v>
      </c>
      <c r="P522" s="1" t="s">
        <v>182</v>
      </c>
      <c r="Q522" s="1"/>
      <c r="R522" s="1" t="s">
        <v>247</v>
      </c>
      <c r="S522" s="1"/>
      <c r="T522" s="1" t="s">
        <v>34</v>
      </c>
      <c r="U522" s="1" t="s">
        <v>34</v>
      </c>
    </row>
    <row r="523" ht="14.25" customHeight="1">
      <c r="A523" s="1" t="s">
        <v>2383</v>
      </c>
      <c r="B523" s="1" t="s">
        <v>4230</v>
      </c>
      <c r="C523" s="1" t="s">
        <v>4231</v>
      </c>
      <c r="D523" s="3" t="s">
        <v>4232</v>
      </c>
      <c r="E523" s="1" t="s">
        <v>174</v>
      </c>
      <c r="F523" s="1" t="s">
        <v>2417</v>
      </c>
      <c r="G523" s="1" t="s">
        <v>42</v>
      </c>
      <c r="H523" s="1" t="s">
        <v>156</v>
      </c>
      <c r="I523" s="1" t="s">
        <v>1032</v>
      </c>
      <c r="J523" s="1" t="s">
        <v>4233</v>
      </c>
      <c r="K523" s="1" t="s">
        <v>4234</v>
      </c>
      <c r="L523" s="1" t="s">
        <v>4235</v>
      </c>
      <c r="M523" s="1" t="s">
        <v>59</v>
      </c>
      <c r="N523" s="1" t="s">
        <v>4236</v>
      </c>
      <c r="O523" s="1"/>
      <c r="P523" s="1"/>
      <c r="Q523" s="1"/>
      <c r="R523" s="1" t="s">
        <v>1455</v>
      </c>
      <c r="S523" s="1" t="s">
        <v>174</v>
      </c>
      <c r="T523" s="1" t="s">
        <v>4237</v>
      </c>
      <c r="U523" s="1" t="s">
        <v>4238</v>
      </c>
    </row>
    <row r="524" ht="14.25" customHeight="1">
      <c r="A524" s="1" t="s">
        <v>2383</v>
      </c>
      <c r="B524" s="1" t="s">
        <v>4239</v>
      </c>
      <c r="C524" s="1" t="s">
        <v>4240</v>
      </c>
      <c r="D524" s="3" t="s">
        <v>2734</v>
      </c>
      <c r="E524" s="1" t="s">
        <v>99</v>
      </c>
      <c r="F524" s="1" t="s">
        <v>2417</v>
      </c>
      <c r="G524" s="1" t="s">
        <v>42</v>
      </c>
      <c r="H524" s="1" t="s">
        <v>156</v>
      </c>
      <c r="I524" s="1" t="s">
        <v>180</v>
      </c>
      <c r="J524" s="1"/>
      <c r="K524" s="1" t="s">
        <v>4241</v>
      </c>
      <c r="L524" s="1" t="s">
        <v>4242</v>
      </c>
      <c r="M524" s="1" t="s">
        <v>31</v>
      </c>
      <c r="N524" s="1"/>
      <c r="O524" s="1"/>
      <c r="P524" s="1"/>
      <c r="Q524" s="1"/>
      <c r="R524" s="1" t="s">
        <v>764</v>
      </c>
      <c r="S524" s="1"/>
      <c r="T524" s="1"/>
      <c r="U524" s="1"/>
    </row>
    <row r="525" ht="14.25" customHeight="1">
      <c r="A525" s="1" t="s">
        <v>2383</v>
      </c>
      <c r="B525" s="1" t="s">
        <v>4243</v>
      </c>
      <c r="C525" s="1" t="s">
        <v>4244</v>
      </c>
      <c r="D525" s="3" t="s">
        <v>4245</v>
      </c>
      <c r="E525" s="1" t="s">
        <v>91</v>
      </c>
      <c r="F525" s="1" t="s">
        <v>2386</v>
      </c>
      <c r="G525" s="1" t="s">
        <v>42</v>
      </c>
      <c r="H525" s="1" t="s">
        <v>156</v>
      </c>
      <c r="I525" s="1" t="s">
        <v>4246</v>
      </c>
      <c r="J525" s="1" t="s">
        <v>4247</v>
      </c>
      <c r="K525" s="1" t="s">
        <v>4248</v>
      </c>
      <c r="L525" s="1" t="s">
        <v>4249</v>
      </c>
      <c r="M525" s="1" t="s">
        <v>59</v>
      </c>
      <c r="N525" s="1" t="s">
        <v>4250</v>
      </c>
      <c r="O525" s="1" t="s">
        <v>4251</v>
      </c>
      <c r="P525" s="1" t="s">
        <v>182</v>
      </c>
      <c r="Q525" s="1"/>
      <c r="R525" s="1" t="s">
        <v>1455</v>
      </c>
      <c r="S525" s="1" t="s">
        <v>91</v>
      </c>
      <c r="T525" s="1" t="s">
        <v>4252</v>
      </c>
      <c r="U525" s="1" t="s">
        <v>4253</v>
      </c>
    </row>
    <row r="526" ht="14.25" customHeight="1">
      <c r="A526" s="1" t="s">
        <v>2383</v>
      </c>
      <c r="B526" s="1" t="s">
        <v>414</v>
      </c>
      <c r="C526" s="1" t="s">
        <v>415</v>
      </c>
      <c r="D526" s="3" t="s">
        <v>416</v>
      </c>
      <c r="E526" s="1" t="s">
        <v>91</v>
      </c>
      <c r="F526" s="1" t="s">
        <v>41</v>
      </c>
      <c r="G526" s="1" t="s">
        <v>417</v>
      </c>
      <c r="H526" s="1" t="s">
        <v>156</v>
      </c>
      <c r="I526" s="1" t="s">
        <v>418</v>
      </c>
      <c r="J526" s="1" t="s">
        <v>419</v>
      </c>
      <c r="K526" s="1" t="s">
        <v>420</v>
      </c>
      <c r="L526" s="1" t="s">
        <v>421</v>
      </c>
      <c r="M526" s="1" t="s">
        <v>59</v>
      </c>
      <c r="N526" s="1" t="s">
        <v>422</v>
      </c>
      <c r="O526" s="1" t="s">
        <v>423</v>
      </c>
      <c r="P526" s="1" t="s">
        <v>135</v>
      </c>
      <c r="Q526" s="1"/>
      <c r="R526" s="1" t="s">
        <v>424</v>
      </c>
      <c r="S526" s="1" t="s">
        <v>91</v>
      </c>
      <c r="T526" s="1" t="s">
        <v>425</v>
      </c>
      <c r="U526" s="1" t="s">
        <v>163</v>
      </c>
    </row>
    <row r="527" ht="14.25" customHeight="1">
      <c r="A527" s="1" t="s">
        <v>2383</v>
      </c>
      <c r="B527" s="1" t="s">
        <v>4254</v>
      </c>
      <c r="C527" s="1" t="s">
        <v>4255</v>
      </c>
      <c r="D527" s="3" t="s">
        <v>4256</v>
      </c>
      <c r="E527" s="1" t="s">
        <v>54</v>
      </c>
      <c r="F527" s="1" t="s">
        <v>2398</v>
      </c>
      <c r="G527" s="1" t="s">
        <v>42</v>
      </c>
      <c r="H527" s="1" t="s">
        <v>156</v>
      </c>
      <c r="I527" s="1" t="s">
        <v>3130</v>
      </c>
      <c r="J527" s="1"/>
      <c r="K527" s="1" t="s">
        <v>4257</v>
      </c>
      <c r="L527" s="1" t="s">
        <v>4258</v>
      </c>
      <c r="M527" s="1" t="s">
        <v>31</v>
      </c>
      <c r="N527" s="1"/>
      <c r="O527" s="1" t="s">
        <v>4259</v>
      </c>
      <c r="P527" s="1" t="s">
        <v>369</v>
      </c>
      <c r="Q527" s="1"/>
      <c r="R527" s="1" t="s">
        <v>110</v>
      </c>
      <c r="S527" s="1"/>
      <c r="T527" s="1" t="s">
        <v>4260</v>
      </c>
      <c r="U527" s="1" t="s">
        <v>1306</v>
      </c>
    </row>
    <row r="528" ht="14.25" customHeight="1">
      <c r="A528" s="1" t="s">
        <v>2383</v>
      </c>
      <c r="B528" s="1" t="s">
        <v>426</v>
      </c>
      <c r="C528" s="1" t="s">
        <v>427</v>
      </c>
      <c r="D528" s="3" t="s">
        <v>428</v>
      </c>
      <c r="E528" s="1" t="s">
        <v>429</v>
      </c>
      <c r="F528" s="1" t="s">
        <v>41</v>
      </c>
      <c r="G528" s="1" t="s">
        <v>232</v>
      </c>
      <c r="H528" s="1" t="s">
        <v>156</v>
      </c>
      <c r="I528" s="1" t="s">
        <v>430</v>
      </c>
      <c r="J528" s="1"/>
      <c r="K528" s="1" t="s">
        <v>431</v>
      </c>
      <c r="L528" s="1" t="s">
        <v>432</v>
      </c>
      <c r="M528" s="1" t="s">
        <v>31</v>
      </c>
      <c r="N528" s="1"/>
      <c r="O528" s="1" t="s">
        <v>433</v>
      </c>
      <c r="P528" s="1" t="s">
        <v>124</v>
      </c>
      <c r="Q528" s="1"/>
      <c r="R528" s="1" t="s">
        <v>84</v>
      </c>
      <c r="S528" s="1"/>
      <c r="T528" s="1" t="s">
        <v>434</v>
      </c>
      <c r="U528" s="1" t="s">
        <v>435</v>
      </c>
    </row>
    <row r="529" ht="14.25" customHeight="1">
      <c r="A529" s="1" t="s">
        <v>2383</v>
      </c>
      <c r="B529" s="1" t="s">
        <v>4261</v>
      </c>
      <c r="C529" s="1" t="s">
        <v>4262</v>
      </c>
      <c r="D529" s="3" t="s">
        <v>3064</v>
      </c>
      <c r="E529" s="1" t="s">
        <v>25</v>
      </c>
      <c r="F529" s="1" t="s">
        <v>2386</v>
      </c>
      <c r="G529" s="1" t="s">
        <v>42</v>
      </c>
      <c r="H529" s="1" t="s">
        <v>156</v>
      </c>
      <c r="I529" s="1" t="s">
        <v>4263</v>
      </c>
      <c r="J529" s="1" t="s">
        <v>4264</v>
      </c>
      <c r="K529" s="1" t="s">
        <v>4265</v>
      </c>
      <c r="L529" s="1" t="s">
        <v>4266</v>
      </c>
      <c r="M529" s="1" t="s">
        <v>59</v>
      </c>
      <c r="N529" s="1" t="s">
        <v>4267</v>
      </c>
      <c r="O529" s="1" t="s">
        <v>4268</v>
      </c>
      <c r="P529" s="1" t="s">
        <v>124</v>
      </c>
      <c r="Q529" s="1"/>
      <c r="R529" s="1" t="s">
        <v>298</v>
      </c>
      <c r="S529" s="1" t="s">
        <v>117</v>
      </c>
      <c r="T529" s="1" t="s">
        <v>4269</v>
      </c>
      <c r="U529" s="1" t="s">
        <v>743</v>
      </c>
    </row>
    <row r="530" ht="14.25" customHeight="1">
      <c r="A530" s="1" t="s">
        <v>2383</v>
      </c>
      <c r="B530" s="1" t="s">
        <v>4270</v>
      </c>
      <c r="C530" s="1" t="s">
        <v>4271</v>
      </c>
      <c r="D530" s="3" t="s">
        <v>4272</v>
      </c>
      <c r="E530" s="1" t="s">
        <v>91</v>
      </c>
      <c r="F530" s="1" t="s">
        <v>2386</v>
      </c>
      <c r="G530" s="1" t="s">
        <v>42</v>
      </c>
      <c r="H530" s="1" t="s">
        <v>247</v>
      </c>
      <c r="I530" s="1" t="s">
        <v>557</v>
      </c>
      <c r="J530" s="1" t="s">
        <v>4273</v>
      </c>
      <c r="K530" s="1" t="s">
        <v>4274</v>
      </c>
      <c r="L530" s="1" t="s">
        <v>4275</v>
      </c>
      <c r="M530" s="1" t="s">
        <v>59</v>
      </c>
      <c r="N530" s="1" t="s">
        <v>4276</v>
      </c>
      <c r="O530" s="1" t="s">
        <v>4277</v>
      </c>
      <c r="P530" s="1" t="s">
        <v>125</v>
      </c>
      <c r="Q530" s="1"/>
      <c r="R530" s="1" t="s">
        <v>1601</v>
      </c>
      <c r="S530" s="1" t="s">
        <v>99</v>
      </c>
      <c r="T530" s="1" t="s">
        <v>4278</v>
      </c>
      <c r="U530" s="1" t="s">
        <v>105</v>
      </c>
    </row>
    <row r="531" ht="14.25" customHeight="1">
      <c r="A531" s="1" t="s">
        <v>2383</v>
      </c>
      <c r="B531" s="1" t="s">
        <v>4279</v>
      </c>
      <c r="C531" s="1" t="s">
        <v>4280</v>
      </c>
      <c r="D531" s="3" t="s">
        <v>3240</v>
      </c>
      <c r="E531" s="1" t="s">
        <v>91</v>
      </c>
      <c r="F531" s="1" t="s">
        <v>41</v>
      </c>
      <c r="G531" s="1" t="s">
        <v>42</v>
      </c>
      <c r="H531" s="1" t="s">
        <v>247</v>
      </c>
      <c r="I531" s="1" t="s">
        <v>4281</v>
      </c>
      <c r="J531" s="1" t="s">
        <v>4282</v>
      </c>
      <c r="K531" s="1" t="s">
        <v>4283</v>
      </c>
      <c r="L531" s="1" t="s">
        <v>4284</v>
      </c>
      <c r="M531" s="1" t="s">
        <v>59</v>
      </c>
      <c r="N531" s="1" t="s">
        <v>4285</v>
      </c>
      <c r="O531" s="1" t="s">
        <v>1078</v>
      </c>
      <c r="P531" s="1"/>
      <c r="Q531" s="1"/>
      <c r="R531" s="1" t="s">
        <v>4286</v>
      </c>
      <c r="S531" s="1" t="s">
        <v>91</v>
      </c>
      <c r="T531" s="1" t="s">
        <v>4287</v>
      </c>
      <c r="U531" s="1" t="s">
        <v>4288</v>
      </c>
    </row>
    <row r="532" ht="14.25" customHeight="1">
      <c r="A532" s="1" t="s">
        <v>2383</v>
      </c>
      <c r="B532" s="1" t="s">
        <v>4289</v>
      </c>
      <c r="C532" s="1" t="s">
        <v>4290</v>
      </c>
      <c r="D532" s="3" t="s">
        <v>4291</v>
      </c>
      <c r="E532" s="1" t="s">
        <v>25</v>
      </c>
      <c r="F532" s="1" t="s">
        <v>2386</v>
      </c>
      <c r="G532" s="1" t="s">
        <v>42</v>
      </c>
      <c r="H532" s="1" t="s">
        <v>247</v>
      </c>
      <c r="I532" s="1" t="s">
        <v>455</v>
      </c>
      <c r="J532" s="1"/>
      <c r="K532" s="1" t="s">
        <v>4292</v>
      </c>
      <c r="L532" s="1" t="s">
        <v>4293</v>
      </c>
      <c r="M532" s="1" t="s">
        <v>31</v>
      </c>
      <c r="N532" s="1"/>
      <c r="O532" s="1" t="s">
        <v>4294</v>
      </c>
      <c r="P532" s="1" t="s">
        <v>125</v>
      </c>
      <c r="Q532" s="1"/>
      <c r="R532" s="1" t="s">
        <v>535</v>
      </c>
      <c r="S532" s="1"/>
      <c r="T532" s="1" t="s">
        <v>4295</v>
      </c>
      <c r="U532" s="1" t="s">
        <v>156</v>
      </c>
    </row>
    <row r="533" ht="14.25" customHeight="1">
      <c r="A533" s="1" t="s">
        <v>2383</v>
      </c>
      <c r="B533" s="1" t="s">
        <v>436</v>
      </c>
      <c r="C533" s="1" t="s">
        <v>437</v>
      </c>
      <c r="D533" s="3" t="s">
        <v>438</v>
      </c>
      <c r="E533" s="1" t="s">
        <v>352</v>
      </c>
      <c r="F533" s="1" t="s">
        <v>41</v>
      </c>
      <c r="G533" s="1" t="s">
        <v>42</v>
      </c>
      <c r="H533" s="1" t="s">
        <v>247</v>
      </c>
      <c r="I533" s="1" t="s">
        <v>439</v>
      </c>
      <c r="J533" s="1" t="s">
        <v>440</v>
      </c>
      <c r="K533" s="1" t="s">
        <v>441</v>
      </c>
      <c r="L533" s="1" t="s">
        <v>442</v>
      </c>
      <c r="M533" s="1" t="s">
        <v>59</v>
      </c>
      <c r="N533" s="1" t="s">
        <v>443</v>
      </c>
      <c r="O533" s="1" t="s">
        <v>444</v>
      </c>
      <c r="P533" s="1" t="s">
        <v>130</v>
      </c>
      <c r="Q533" s="1"/>
      <c r="R533" s="1" t="s">
        <v>445</v>
      </c>
      <c r="S533" s="1" t="s">
        <v>352</v>
      </c>
      <c r="T533" s="1" t="s">
        <v>446</v>
      </c>
      <c r="U533" s="1" t="s">
        <v>447</v>
      </c>
    </row>
    <row r="534" ht="14.25" customHeight="1">
      <c r="A534" s="1" t="s">
        <v>2383</v>
      </c>
      <c r="B534" s="1" t="s">
        <v>4296</v>
      </c>
      <c r="C534" s="1" t="s">
        <v>4297</v>
      </c>
      <c r="D534" s="3" t="s">
        <v>4298</v>
      </c>
      <c r="E534" s="1" t="s">
        <v>637</v>
      </c>
      <c r="F534" s="1"/>
      <c r="G534" s="1"/>
      <c r="H534" s="1" t="s">
        <v>247</v>
      </c>
      <c r="I534" s="1" t="s">
        <v>584</v>
      </c>
      <c r="J534" s="1" t="s">
        <v>4299</v>
      </c>
      <c r="K534" s="1" t="s">
        <v>4300</v>
      </c>
      <c r="L534" s="1" t="s">
        <v>4301</v>
      </c>
      <c r="M534" s="1" t="s">
        <v>59</v>
      </c>
      <c r="N534" s="1" t="s">
        <v>4302</v>
      </c>
      <c r="O534" s="1"/>
      <c r="P534" s="1"/>
      <c r="Q534" s="1"/>
      <c r="R534" s="1" t="s">
        <v>731</v>
      </c>
      <c r="S534" s="1" t="s">
        <v>384</v>
      </c>
      <c r="T534" s="1" t="s">
        <v>4303</v>
      </c>
      <c r="U534" s="1" t="s">
        <v>1266</v>
      </c>
    </row>
    <row r="535" ht="14.25" customHeight="1">
      <c r="A535" s="1" t="s">
        <v>2383</v>
      </c>
      <c r="B535" s="1" t="s">
        <v>4304</v>
      </c>
      <c r="C535" s="1" t="s">
        <v>4305</v>
      </c>
      <c r="D535" s="3" t="s">
        <v>4107</v>
      </c>
      <c r="E535" s="1" t="s">
        <v>40</v>
      </c>
      <c r="F535" s="1" t="s">
        <v>2417</v>
      </c>
      <c r="G535" s="1" t="s">
        <v>42</v>
      </c>
      <c r="H535" s="1" t="s">
        <v>247</v>
      </c>
      <c r="I535" s="1" t="s">
        <v>147</v>
      </c>
      <c r="J535" s="1"/>
      <c r="K535" s="1" t="s">
        <v>4306</v>
      </c>
      <c r="L535" s="1" t="s">
        <v>4307</v>
      </c>
      <c r="M535" s="1" t="s">
        <v>31</v>
      </c>
      <c r="N535" s="1"/>
      <c r="O535" s="1"/>
      <c r="P535" s="1"/>
      <c r="Q535" s="1"/>
      <c r="R535" s="1" t="s">
        <v>975</v>
      </c>
      <c r="S535" s="1"/>
      <c r="T535" s="1" t="s">
        <v>4308</v>
      </c>
      <c r="U535" s="1" t="s">
        <v>859</v>
      </c>
    </row>
    <row r="536" ht="14.25" customHeight="1">
      <c r="A536" s="1" t="s">
        <v>2383</v>
      </c>
      <c r="B536" s="1" t="s">
        <v>448</v>
      </c>
      <c r="C536" s="1" t="s">
        <v>449</v>
      </c>
      <c r="D536" s="3" t="s">
        <v>450</v>
      </c>
      <c r="E536" s="1" t="s">
        <v>174</v>
      </c>
      <c r="F536" s="1" t="s">
        <v>26</v>
      </c>
      <c r="G536" s="1" t="s">
        <v>42</v>
      </c>
      <c r="H536" s="1" t="s">
        <v>247</v>
      </c>
      <c r="I536" s="1" t="s">
        <v>397</v>
      </c>
      <c r="J536" s="1" t="s">
        <v>451</v>
      </c>
      <c r="K536" s="1" t="s">
        <v>452</v>
      </c>
      <c r="L536" s="1" t="s">
        <v>453</v>
      </c>
      <c r="M536" s="1" t="s">
        <v>59</v>
      </c>
      <c r="N536" s="1" t="s">
        <v>454</v>
      </c>
      <c r="O536" s="1"/>
      <c r="P536" s="1"/>
      <c r="Q536" s="1"/>
      <c r="R536" s="1" t="s">
        <v>455</v>
      </c>
      <c r="S536" s="1" t="s">
        <v>174</v>
      </c>
      <c r="T536" s="1" t="s">
        <v>456</v>
      </c>
      <c r="U536" s="1" t="s">
        <v>34</v>
      </c>
    </row>
    <row r="537" ht="14.25" customHeight="1">
      <c r="A537" s="1" t="s">
        <v>2383</v>
      </c>
      <c r="B537" s="1" t="s">
        <v>4309</v>
      </c>
      <c r="C537" s="1" t="s">
        <v>4310</v>
      </c>
      <c r="D537" s="3" t="s">
        <v>4311</v>
      </c>
      <c r="E537" s="1" t="s">
        <v>79</v>
      </c>
      <c r="F537" s="1" t="s">
        <v>2386</v>
      </c>
      <c r="G537" s="1" t="s">
        <v>42</v>
      </c>
      <c r="H537" s="1" t="s">
        <v>247</v>
      </c>
      <c r="I537" s="1" t="s">
        <v>2728</v>
      </c>
      <c r="J537" s="1"/>
      <c r="K537" s="1" t="s">
        <v>4312</v>
      </c>
      <c r="L537" s="1" t="s">
        <v>4313</v>
      </c>
      <c r="M537" s="1" t="s">
        <v>31</v>
      </c>
      <c r="N537" s="1"/>
      <c r="O537" s="1" t="s">
        <v>4314</v>
      </c>
      <c r="P537" s="1" t="s">
        <v>487</v>
      </c>
      <c r="Q537" s="1"/>
      <c r="R537" s="1" t="s">
        <v>731</v>
      </c>
      <c r="S537" s="1"/>
      <c r="T537" s="1" t="s">
        <v>4315</v>
      </c>
      <c r="U537" s="1" t="s">
        <v>298</v>
      </c>
    </row>
    <row r="538" ht="14.25" customHeight="1">
      <c r="A538" s="1" t="s">
        <v>2383</v>
      </c>
      <c r="B538" s="1" t="s">
        <v>4316</v>
      </c>
      <c r="C538" s="1" t="s">
        <v>4317</v>
      </c>
      <c r="D538" s="1" t="s">
        <v>4318</v>
      </c>
      <c r="E538" s="1" t="s">
        <v>174</v>
      </c>
      <c r="F538" s="1" t="s">
        <v>2386</v>
      </c>
      <c r="G538" s="1" t="s">
        <v>42</v>
      </c>
      <c r="H538" s="1" t="s">
        <v>247</v>
      </c>
      <c r="I538" s="1" t="s">
        <v>4319</v>
      </c>
      <c r="J538" s="1" t="s">
        <v>4320</v>
      </c>
      <c r="K538" s="1" t="s">
        <v>4321</v>
      </c>
      <c r="L538" s="1"/>
      <c r="M538" s="1" t="s">
        <v>31</v>
      </c>
      <c r="N538" s="1"/>
      <c r="O538" s="1"/>
      <c r="P538" s="1"/>
      <c r="Q538" s="1"/>
      <c r="R538" s="1" t="s">
        <v>1543</v>
      </c>
      <c r="S538" s="1" t="s">
        <v>174</v>
      </c>
      <c r="T538" s="1" t="s">
        <v>4322</v>
      </c>
      <c r="U538" s="1" t="s">
        <v>361</v>
      </c>
    </row>
    <row r="539" ht="14.25" customHeight="1">
      <c r="A539" s="1" t="s">
        <v>2383</v>
      </c>
      <c r="B539" s="1" t="s">
        <v>4323</v>
      </c>
      <c r="C539" s="1" t="s">
        <v>4324</v>
      </c>
      <c r="D539" s="3" t="s">
        <v>4325</v>
      </c>
      <c r="E539" s="1" t="s">
        <v>174</v>
      </c>
      <c r="F539" s="1" t="s">
        <v>2417</v>
      </c>
      <c r="G539" s="1" t="s">
        <v>1801</v>
      </c>
      <c r="H539" s="1" t="s">
        <v>247</v>
      </c>
      <c r="I539" s="1" t="s">
        <v>1286</v>
      </c>
      <c r="J539" s="1" t="s">
        <v>4326</v>
      </c>
      <c r="K539" s="1" t="s">
        <v>4327</v>
      </c>
      <c r="L539" s="1" t="s">
        <v>4328</v>
      </c>
      <c r="M539" s="1" t="s">
        <v>59</v>
      </c>
      <c r="N539" s="1" t="s">
        <v>4329</v>
      </c>
      <c r="O539" s="1"/>
      <c r="P539" s="1"/>
      <c r="Q539" s="1"/>
      <c r="R539" s="1" t="s">
        <v>192</v>
      </c>
      <c r="S539" s="1" t="s">
        <v>174</v>
      </c>
      <c r="T539" s="1" t="s">
        <v>4330</v>
      </c>
      <c r="U539" s="1" t="s">
        <v>4331</v>
      </c>
    </row>
    <row r="540" ht="14.25" customHeight="1">
      <c r="A540" s="1" t="s">
        <v>2383</v>
      </c>
      <c r="B540" s="1" t="s">
        <v>4332</v>
      </c>
      <c r="C540" s="1" t="s">
        <v>4333</v>
      </c>
      <c r="D540" s="3"/>
      <c r="E540" s="1"/>
      <c r="F540" s="1" t="s">
        <v>2398</v>
      </c>
      <c r="G540" s="1" t="s">
        <v>42</v>
      </c>
      <c r="H540" s="1" t="s">
        <v>247</v>
      </c>
      <c r="I540" s="1" t="s">
        <v>3122</v>
      </c>
      <c r="J540" s="1"/>
      <c r="K540" s="1" t="s">
        <v>4334</v>
      </c>
      <c r="L540" s="1" t="s">
        <v>4335</v>
      </c>
      <c r="M540" s="1" t="s">
        <v>31</v>
      </c>
      <c r="N540" s="1"/>
      <c r="O540" s="1"/>
      <c r="P540" s="1"/>
      <c r="Q540" s="1"/>
      <c r="R540" s="1" t="s">
        <v>92</v>
      </c>
      <c r="S540" s="1"/>
      <c r="T540" s="1" t="s">
        <v>4336</v>
      </c>
      <c r="U540" s="1" t="s">
        <v>4337</v>
      </c>
    </row>
    <row r="541" ht="14.25" customHeight="1">
      <c r="A541" s="1" t="s">
        <v>2383</v>
      </c>
      <c r="B541" s="1" t="s">
        <v>4338</v>
      </c>
      <c r="C541" s="1" t="s">
        <v>4339</v>
      </c>
      <c r="D541" s="1" t="s">
        <v>1367</v>
      </c>
      <c r="E541" s="1" t="s">
        <v>174</v>
      </c>
      <c r="F541" s="1"/>
      <c r="G541" s="1" t="s">
        <v>42</v>
      </c>
      <c r="H541" s="1" t="s">
        <v>247</v>
      </c>
      <c r="I541" s="1" t="s">
        <v>2381</v>
      </c>
      <c r="J541" s="1" t="s">
        <v>4340</v>
      </c>
      <c r="K541" s="1" t="s">
        <v>4341</v>
      </c>
      <c r="L541" s="1" t="s">
        <v>4342</v>
      </c>
      <c r="M541" s="1" t="s">
        <v>59</v>
      </c>
      <c r="N541" s="1" t="s">
        <v>4343</v>
      </c>
      <c r="O541" s="1"/>
      <c r="P541" s="1"/>
      <c r="Q541" s="1"/>
      <c r="R541" s="1" t="s">
        <v>594</v>
      </c>
      <c r="S541" s="1" t="s">
        <v>174</v>
      </c>
      <c r="T541" s="1" t="s">
        <v>4344</v>
      </c>
      <c r="U541" s="1" t="s">
        <v>1126</v>
      </c>
    </row>
    <row r="542" ht="14.25" customHeight="1">
      <c r="A542" s="1" t="s">
        <v>2383</v>
      </c>
      <c r="B542" s="1" t="s">
        <v>4345</v>
      </c>
      <c r="C542" s="1" t="s">
        <v>4346</v>
      </c>
      <c r="D542" s="3" t="s">
        <v>4347</v>
      </c>
      <c r="E542" s="1" t="s">
        <v>352</v>
      </c>
      <c r="F542" s="1" t="s">
        <v>2632</v>
      </c>
      <c r="G542" s="1" t="s">
        <v>232</v>
      </c>
      <c r="H542" s="1" t="s">
        <v>247</v>
      </c>
      <c r="I542" s="1" t="s">
        <v>896</v>
      </c>
      <c r="J542" s="1"/>
      <c r="K542" s="1" t="s">
        <v>4348</v>
      </c>
      <c r="L542" s="1" t="s">
        <v>4349</v>
      </c>
      <c r="M542" s="1" t="s">
        <v>59</v>
      </c>
      <c r="N542" s="1" t="s">
        <v>4350</v>
      </c>
      <c r="O542" s="1"/>
      <c r="P542" s="1"/>
      <c r="Q542" s="1"/>
      <c r="R542" s="1" t="s">
        <v>209</v>
      </c>
      <c r="S542" s="1"/>
      <c r="T542" s="1" t="s">
        <v>4351</v>
      </c>
      <c r="U542" s="1" t="s">
        <v>101</v>
      </c>
    </row>
    <row r="543" ht="14.25" customHeight="1">
      <c r="A543" s="1" t="s">
        <v>2383</v>
      </c>
      <c r="B543" s="1" t="s">
        <v>4352</v>
      </c>
      <c r="C543" s="1" t="s">
        <v>4353</v>
      </c>
      <c r="D543" s="3" t="s">
        <v>4354</v>
      </c>
      <c r="E543" s="1" t="s">
        <v>429</v>
      </c>
      <c r="F543" s="1" t="s">
        <v>2386</v>
      </c>
      <c r="G543" s="1" t="s">
        <v>232</v>
      </c>
      <c r="H543" s="1" t="s">
        <v>247</v>
      </c>
      <c r="I543" s="1" t="s">
        <v>1693</v>
      </c>
      <c r="J543" s="1"/>
      <c r="K543" s="1" t="s">
        <v>4355</v>
      </c>
      <c r="L543" s="1" t="s">
        <v>4356</v>
      </c>
      <c r="M543" s="1" t="s">
        <v>31</v>
      </c>
      <c r="N543" s="1"/>
      <c r="O543" s="1" t="s">
        <v>4357</v>
      </c>
      <c r="P543" s="1" t="s">
        <v>517</v>
      </c>
      <c r="Q543" s="1"/>
      <c r="R543" s="1" t="s">
        <v>731</v>
      </c>
      <c r="S543" s="1"/>
      <c r="T543" s="1" t="s">
        <v>4358</v>
      </c>
      <c r="U543" s="1" t="s">
        <v>4359</v>
      </c>
    </row>
    <row r="544" ht="14.25" customHeight="1">
      <c r="A544" s="1" t="s">
        <v>2383</v>
      </c>
      <c r="B544" s="1" t="s">
        <v>4360</v>
      </c>
      <c r="C544" s="1" t="s">
        <v>4361</v>
      </c>
      <c r="D544" s="3"/>
      <c r="E544" s="1"/>
      <c r="F544" s="1" t="s">
        <v>2386</v>
      </c>
      <c r="G544" s="1" t="s">
        <v>42</v>
      </c>
      <c r="H544" s="1" t="s">
        <v>247</v>
      </c>
      <c r="I544" s="1" t="s">
        <v>2841</v>
      </c>
      <c r="J544" s="1"/>
      <c r="K544" s="1" t="s">
        <v>4362</v>
      </c>
      <c r="L544" s="1" t="s">
        <v>4363</v>
      </c>
      <c r="M544" s="1" t="s">
        <v>31</v>
      </c>
      <c r="N544" s="1"/>
      <c r="O544" s="1" t="s">
        <v>4364</v>
      </c>
      <c r="P544" s="1" t="s">
        <v>228</v>
      </c>
      <c r="Q544" s="1"/>
      <c r="R544" s="1" t="s">
        <v>141</v>
      </c>
      <c r="S544" s="1"/>
      <c r="T544" s="1" t="s">
        <v>4365</v>
      </c>
      <c r="U544" s="1" t="s">
        <v>1780</v>
      </c>
    </row>
    <row r="545" ht="14.25" customHeight="1">
      <c r="A545" s="1" t="s">
        <v>2383</v>
      </c>
      <c r="B545" s="1" t="s">
        <v>4366</v>
      </c>
      <c r="C545" s="1" t="s">
        <v>4367</v>
      </c>
      <c r="D545" s="1" t="s">
        <v>4368</v>
      </c>
      <c r="E545" s="1" t="s">
        <v>99</v>
      </c>
      <c r="F545" s="1" t="s">
        <v>2398</v>
      </c>
      <c r="G545" s="1" t="s">
        <v>42</v>
      </c>
      <c r="H545" s="1" t="s">
        <v>247</v>
      </c>
      <c r="I545" s="1" t="s">
        <v>1479</v>
      </c>
      <c r="J545" s="1"/>
      <c r="K545" s="1" t="s">
        <v>4369</v>
      </c>
      <c r="L545" s="1" t="s">
        <v>4370</v>
      </c>
      <c r="M545" s="1" t="s">
        <v>31</v>
      </c>
      <c r="N545" s="1"/>
      <c r="O545" s="1" t="s">
        <v>4371</v>
      </c>
      <c r="P545" s="1" t="s">
        <v>124</v>
      </c>
      <c r="Q545" s="1"/>
      <c r="R545" s="1" t="s">
        <v>156</v>
      </c>
      <c r="S545" s="1"/>
      <c r="T545" s="1" t="s">
        <v>4372</v>
      </c>
      <c r="U545" s="1" t="s">
        <v>346</v>
      </c>
    </row>
    <row r="546" ht="14.25" customHeight="1">
      <c r="A546" s="1" t="s">
        <v>2383</v>
      </c>
      <c r="B546" s="1" t="s">
        <v>4373</v>
      </c>
      <c r="C546" s="1" t="s">
        <v>4374</v>
      </c>
      <c r="D546" s="3" t="s">
        <v>4375</v>
      </c>
      <c r="E546" s="1" t="s">
        <v>40</v>
      </c>
      <c r="F546" s="1"/>
      <c r="G546" s="1" t="s">
        <v>42</v>
      </c>
      <c r="H546" s="1" t="s">
        <v>247</v>
      </c>
      <c r="I546" s="1" t="s">
        <v>2922</v>
      </c>
      <c r="J546" s="1"/>
      <c r="K546" s="1" t="s">
        <v>4376</v>
      </c>
      <c r="L546" s="1"/>
      <c r="M546" s="1" t="s">
        <v>31</v>
      </c>
      <c r="N546" s="1"/>
      <c r="O546" s="1"/>
      <c r="P546" s="1"/>
      <c r="Q546" s="1"/>
      <c r="R546" s="1" t="s">
        <v>764</v>
      </c>
      <c r="S546" s="1"/>
      <c r="T546" s="1" t="s">
        <v>4377</v>
      </c>
      <c r="U546" s="1" t="s">
        <v>2071</v>
      </c>
    </row>
    <row r="547" ht="14.25" customHeight="1">
      <c r="A547" s="1" t="s">
        <v>2383</v>
      </c>
      <c r="B547" s="1" t="s">
        <v>4378</v>
      </c>
      <c r="C547" s="1" t="s">
        <v>4379</v>
      </c>
      <c r="D547" s="3" t="s">
        <v>539</v>
      </c>
      <c r="E547" s="1" t="s">
        <v>174</v>
      </c>
      <c r="F547" s="1" t="s">
        <v>2386</v>
      </c>
      <c r="G547" s="1" t="s">
        <v>42</v>
      </c>
      <c r="H547" s="1" t="s">
        <v>247</v>
      </c>
      <c r="I547" s="1" t="s">
        <v>4246</v>
      </c>
      <c r="J547" s="1"/>
      <c r="K547" s="1" t="s">
        <v>4380</v>
      </c>
      <c r="L547" s="1" t="s">
        <v>4381</v>
      </c>
      <c r="M547" s="1" t="s">
        <v>59</v>
      </c>
      <c r="N547" s="1" t="s">
        <v>4382</v>
      </c>
      <c r="O547" s="1"/>
      <c r="P547" s="1"/>
      <c r="Q547" s="1"/>
      <c r="R547" s="1" t="s">
        <v>475</v>
      </c>
      <c r="S547" s="1" t="s">
        <v>91</v>
      </c>
      <c r="T547" s="1" t="s">
        <v>4383</v>
      </c>
      <c r="U547" s="1" t="s">
        <v>62</v>
      </c>
    </row>
    <row r="548" ht="14.25" customHeight="1">
      <c r="A548" s="1" t="s">
        <v>2383</v>
      </c>
      <c r="B548" s="1" t="s">
        <v>4384</v>
      </c>
      <c r="C548" s="1" t="s">
        <v>4385</v>
      </c>
      <c r="D548" s="3"/>
      <c r="E548" s="1"/>
      <c r="F548" s="1"/>
      <c r="G548" s="1"/>
      <c r="H548" s="1" t="s">
        <v>247</v>
      </c>
      <c r="I548" s="1" t="s">
        <v>1193</v>
      </c>
      <c r="J548" s="1"/>
      <c r="K548" s="1" t="s">
        <v>4386</v>
      </c>
      <c r="L548" s="1"/>
      <c r="M548" s="1" t="s">
        <v>31</v>
      </c>
      <c r="N548" s="1"/>
      <c r="O548" s="1"/>
      <c r="P548" s="1"/>
      <c r="Q548" s="1"/>
      <c r="R548" s="1" t="s">
        <v>1431</v>
      </c>
      <c r="S548" s="1"/>
      <c r="T548" s="1" t="s">
        <v>4387</v>
      </c>
      <c r="U548" s="1" t="s">
        <v>4388</v>
      </c>
    </row>
    <row r="549" ht="14.25" customHeight="1">
      <c r="A549" s="1" t="s">
        <v>2383</v>
      </c>
      <c r="B549" s="1" t="s">
        <v>4389</v>
      </c>
      <c r="C549" s="1" t="s">
        <v>4390</v>
      </c>
      <c r="D549" s="1" t="s">
        <v>4391</v>
      </c>
      <c r="E549" s="1" t="s">
        <v>384</v>
      </c>
      <c r="F549" s="1" t="s">
        <v>2417</v>
      </c>
      <c r="G549" s="1" t="s">
        <v>42</v>
      </c>
      <c r="H549" s="1" t="s">
        <v>247</v>
      </c>
      <c r="I549" s="1" t="s">
        <v>808</v>
      </c>
      <c r="J549" s="1" t="s">
        <v>4392</v>
      </c>
      <c r="K549" s="1" t="s">
        <v>4393</v>
      </c>
      <c r="L549" s="1" t="s">
        <v>4394</v>
      </c>
      <c r="M549" s="1" t="s">
        <v>59</v>
      </c>
      <c r="N549" s="1" t="s">
        <v>4395</v>
      </c>
      <c r="O549" s="1"/>
      <c r="P549" s="1"/>
      <c r="Q549" s="1"/>
      <c r="R549" s="1" t="s">
        <v>1857</v>
      </c>
      <c r="S549" s="1" t="s">
        <v>384</v>
      </c>
      <c r="T549" s="1" t="s">
        <v>4396</v>
      </c>
      <c r="U549" s="1" t="s">
        <v>1586</v>
      </c>
    </row>
    <row r="550" ht="14.25" customHeight="1">
      <c r="A550" s="1" t="s">
        <v>2383</v>
      </c>
      <c r="B550" s="1" t="s">
        <v>4397</v>
      </c>
      <c r="C550" s="1" t="s">
        <v>4398</v>
      </c>
      <c r="D550" s="3" t="s">
        <v>926</v>
      </c>
      <c r="E550" s="1" t="s">
        <v>99</v>
      </c>
      <c r="F550" s="1" t="s">
        <v>2398</v>
      </c>
      <c r="G550" s="1" t="s">
        <v>42</v>
      </c>
      <c r="H550" s="1" t="s">
        <v>247</v>
      </c>
      <c r="I550" s="1" t="s">
        <v>600</v>
      </c>
      <c r="J550" s="1" t="s">
        <v>4399</v>
      </c>
      <c r="K550" s="1" t="s">
        <v>4400</v>
      </c>
      <c r="L550" s="1" t="s">
        <v>4401</v>
      </c>
      <c r="M550" s="1" t="s">
        <v>59</v>
      </c>
      <c r="N550" s="1" t="s">
        <v>4402</v>
      </c>
      <c r="O550" s="1" t="s">
        <v>4403</v>
      </c>
      <c r="P550" s="1" t="s">
        <v>1266</v>
      </c>
      <c r="Q550" s="1"/>
      <c r="R550" s="1" t="s">
        <v>346</v>
      </c>
      <c r="S550" s="1"/>
      <c r="T550" s="1" t="s">
        <v>126</v>
      </c>
      <c r="U550" s="1" t="s">
        <v>127</v>
      </c>
    </row>
    <row r="551" ht="14.25" customHeight="1">
      <c r="A551" s="1" t="s">
        <v>2383</v>
      </c>
      <c r="B551" s="1" t="s">
        <v>4404</v>
      </c>
      <c r="C551" s="1" t="s">
        <v>4405</v>
      </c>
      <c r="D551" s="3" t="s">
        <v>4406</v>
      </c>
      <c r="E551" s="1" t="s">
        <v>384</v>
      </c>
      <c r="F551" s="1" t="s">
        <v>2398</v>
      </c>
      <c r="G551" s="1" t="s">
        <v>42</v>
      </c>
      <c r="H551" s="1" t="s">
        <v>247</v>
      </c>
      <c r="I551" s="1" t="s">
        <v>55</v>
      </c>
      <c r="J551" s="1" t="s">
        <v>4407</v>
      </c>
      <c r="K551" s="1" t="s">
        <v>4408</v>
      </c>
      <c r="L551" s="1" t="s">
        <v>4409</v>
      </c>
      <c r="M551" s="1" t="s">
        <v>59</v>
      </c>
      <c r="N551" s="1" t="s">
        <v>4410</v>
      </c>
      <c r="O551" s="1"/>
      <c r="P551" s="1"/>
      <c r="Q551" s="1"/>
      <c r="R551" s="1" t="s">
        <v>646</v>
      </c>
      <c r="S551" s="1" t="s">
        <v>384</v>
      </c>
      <c r="T551" s="1" t="s">
        <v>4411</v>
      </c>
      <c r="U551" s="1" t="s">
        <v>475</v>
      </c>
    </row>
    <row r="552" ht="14.25" customHeight="1">
      <c r="A552" s="1" t="s">
        <v>2383</v>
      </c>
      <c r="B552" s="1" t="s">
        <v>4412</v>
      </c>
      <c r="C552" s="1" t="s">
        <v>4413</v>
      </c>
      <c r="D552" s="3"/>
      <c r="E552" s="1"/>
      <c r="F552" s="1"/>
      <c r="G552" s="1"/>
      <c r="H552" s="1" t="s">
        <v>247</v>
      </c>
      <c r="I552" s="1" t="s">
        <v>545</v>
      </c>
      <c r="J552" s="1"/>
      <c r="K552" s="1" t="s">
        <v>4414</v>
      </c>
      <c r="L552" s="1"/>
      <c r="M552" s="1" t="s">
        <v>31</v>
      </c>
      <c r="N552" s="1"/>
      <c r="O552" s="1"/>
      <c r="P552" s="1"/>
      <c r="Q552" s="1"/>
      <c r="R552" s="1" t="s">
        <v>932</v>
      </c>
      <c r="S552" s="1"/>
      <c r="T552" s="1" t="s">
        <v>4415</v>
      </c>
      <c r="U552" s="1" t="s">
        <v>4416</v>
      </c>
    </row>
    <row r="553" ht="14.25" customHeight="1">
      <c r="A553" s="1" t="s">
        <v>2383</v>
      </c>
      <c r="B553" s="1" t="s">
        <v>4417</v>
      </c>
      <c r="C553" s="1" t="s">
        <v>4418</v>
      </c>
      <c r="D553" s="3" t="s">
        <v>4419</v>
      </c>
      <c r="E553" s="1" t="s">
        <v>79</v>
      </c>
      <c r="F553" s="1" t="s">
        <v>2386</v>
      </c>
      <c r="G553" s="1" t="s">
        <v>42</v>
      </c>
      <c r="H553" s="1" t="s">
        <v>247</v>
      </c>
      <c r="I553" s="1" t="s">
        <v>791</v>
      </c>
      <c r="J553" s="1"/>
      <c r="K553" s="1" t="s">
        <v>4420</v>
      </c>
      <c r="L553" s="1" t="s">
        <v>4421</v>
      </c>
      <c r="M553" s="1" t="s">
        <v>31</v>
      </c>
      <c r="N553" s="1"/>
      <c r="O553" s="1" t="s">
        <v>4422</v>
      </c>
      <c r="P553" s="1" t="s">
        <v>1266</v>
      </c>
      <c r="Q553" s="1"/>
      <c r="R553" s="1" t="s">
        <v>228</v>
      </c>
      <c r="S553" s="1"/>
      <c r="T553" s="1" t="s">
        <v>867</v>
      </c>
      <c r="U553" s="1" t="s">
        <v>294</v>
      </c>
    </row>
    <row r="554" ht="14.25" customHeight="1">
      <c r="A554" s="1" t="s">
        <v>2383</v>
      </c>
      <c r="B554" s="1" t="s">
        <v>4423</v>
      </c>
      <c r="C554" s="1" t="s">
        <v>4424</v>
      </c>
      <c r="D554" s="3" t="s">
        <v>4425</v>
      </c>
      <c r="E554" s="1" t="s">
        <v>54</v>
      </c>
      <c r="F554" s="1"/>
      <c r="G554" s="1" t="s">
        <v>42</v>
      </c>
      <c r="H554" s="1" t="s">
        <v>247</v>
      </c>
      <c r="I554" s="1" t="s">
        <v>1167</v>
      </c>
      <c r="J554" s="1"/>
      <c r="K554" s="1" t="s">
        <v>4426</v>
      </c>
      <c r="L554" s="1"/>
      <c r="M554" s="1" t="s">
        <v>31</v>
      </c>
      <c r="N554" s="1"/>
      <c r="O554" s="1" t="s">
        <v>2343</v>
      </c>
      <c r="P554" s="1" t="s">
        <v>110</v>
      </c>
      <c r="Q554" s="1"/>
      <c r="R554" s="1" t="s">
        <v>283</v>
      </c>
      <c r="S554" s="1"/>
      <c r="T554" s="1" t="s">
        <v>4427</v>
      </c>
      <c r="U554" s="1" t="s">
        <v>4428</v>
      </c>
    </row>
    <row r="555" ht="14.25" customHeight="1">
      <c r="A555" s="1" t="s">
        <v>2383</v>
      </c>
      <c r="B555" s="1" t="s">
        <v>4429</v>
      </c>
      <c r="C555" s="1" t="s">
        <v>4430</v>
      </c>
      <c r="D555" s="3" t="s">
        <v>4431</v>
      </c>
      <c r="E555" s="1" t="s">
        <v>174</v>
      </c>
      <c r="F555" s="1" t="s">
        <v>2386</v>
      </c>
      <c r="G555" s="1" t="s">
        <v>42</v>
      </c>
      <c r="H555" s="1" t="s">
        <v>247</v>
      </c>
      <c r="I555" s="1" t="s">
        <v>563</v>
      </c>
      <c r="J555" s="1" t="s">
        <v>4432</v>
      </c>
      <c r="K555" s="1" t="s">
        <v>4433</v>
      </c>
      <c r="L555" s="1" t="s">
        <v>4434</v>
      </c>
      <c r="M555" s="1" t="s">
        <v>31</v>
      </c>
      <c r="N555" s="1"/>
      <c r="O555" s="1" t="s">
        <v>4435</v>
      </c>
      <c r="P555" s="1" t="s">
        <v>34</v>
      </c>
      <c r="Q555" s="1"/>
      <c r="R555" s="1" t="s">
        <v>932</v>
      </c>
      <c r="S555" s="1"/>
      <c r="T555" s="1" t="s">
        <v>4436</v>
      </c>
      <c r="U555" s="1" t="s">
        <v>4437</v>
      </c>
    </row>
    <row r="556" ht="14.25" customHeight="1">
      <c r="A556" s="1" t="s">
        <v>2383</v>
      </c>
      <c r="B556" s="1" t="s">
        <v>4438</v>
      </c>
      <c r="C556" s="1" t="s">
        <v>4439</v>
      </c>
      <c r="D556" s="1" t="s">
        <v>4440</v>
      </c>
      <c r="E556" s="1" t="s">
        <v>99</v>
      </c>
      <c r="F556" s="1" t="s">
        <v>2398</v>
      </c>
      <c r="G556" s="1" t="s">
        <v>1801</v>
      </c>
      <c r="H556" s="1" t="s">
        <v>247</v>
      </c>
      <c r="I556" s="1" t="s">
        <v>68</v>
      </c>
      <c r="J556" s="1" t="s">
        <v>4441</v>
      </c>
      <c r="K556" s="1" t="s">
        <v>4442</v>
      </c>
      <c r="L556" s="1" t="s">
        <v>4443</v>
      </c>
      <c r="M556" s="1" t="s">
        <v>31</v>
      </c>
      <c r="N556" s="1"/>
      <c r="O556" s="1"/>
      <c r="P556" s="1"/>
      <c r="Q556" s="1"/>
      <c r="R556" s="1" t="s">
        <v>1147</v>
      </c>
      <c r="S556" s="1" t="s">
        <v>99</v>
      </c>
      <c r="T556" s="1" t="s">
        <v>4444</v>
      </c>
      <c r="U556" s="1" t="s">
        <v>2137</v>
      </c>
    </row>
    <row r="557" ht="14.25" customHeight="1">
      <c r="A557" s="1" t="s">
        <v>2383</v>
      </c>
      <c r="B557" s="1" t="s">
        <v>4445</v>
      </c>
      <c r="C557" s="1" t="s">
        <v>4446</v>
      </c>
      <c r="D557" s="3" t="s">
        <v>4447</v>
      </c>
      <c r="E557" s="1" t="s">
        <v>117</v>
      </c>
      <c r="F557" s="1" t="s">
        <v>2386</v>
      </c>
      <c r="G557" s="1" t="s">
        <v>42</v>
      </c>
      <c r="H557" s="1" t="s">
        <v>247</v>
      </c>
      <c r="I557" s="1" t="s">
        <v>753</v>
      </c>
      <c r="J557" s="1"/>
      <c r="K557" s="1" t="s">
        <v>4448</v>
      </c>
      <c r="L557" s="1" t="s">
        <v>4449</v>
      </c>
      <c r="M557" s="1" t="s">
        <v>31</v>
      </c>
      <c r="N557" s="1"/>
      <c r="O557" s="1" t="s">
        <v>4450</v>
      </c>
      <c r="P557" s="1" t="s">
        <v>135</v>
      </c>
      <c r="Q557" s="1"/>
      <c r="R557" s="1" t="s">
        <v>475</v>
      </c>
      <c r="S557" s="1"/>
      <c r="T557" s="1" t="s">
        <v>1857</v>
      </c>
      <c r="U557" s="1" t="s">
        <v>1857</v>
      </c>
    </row>
    <row r="558" ht="14.25" customHeight="1">
      <c r="A558" s="1" t="s">
        <v>2383</v>
      </c>
      <c r="B558" s="1" t="s">
        <v>4451</v>
      </c>
      <c r="C558" s="1" t="s">
        <v>4452</v>
      </c>
      <c r="D558" s="3" t="s">
        <v>4453</v>
      </c>
      <c r="E558" s="1" t="s">
        <v>384</v>
      </c>
      <c r="F558" s="1" t="s">
        <v>2386</v>
      </c>
      <c r="G558" s="1" t="s">
        <v>880</v>
      </c>
      <c r="H558" s="1" t="s">
        <v>247</v>
      </c>
      <c r="I558" s="1" t="s">
        <v>4454</v>
      </c>
      <c r="J558" s="1" t="s">
        <v>4455</v>
      </c>
      <c r="K558" s="1" t="s">
        <v>4456</v>
      </c>
      <c r="L558" s="1" t="s">
        <v>4457</v>
      </c>
      <c r="M558" s="1" t="s">
        <v>59</v>
      </c>
      <c r="N558" s="1" t="s">
        <v>4458</v>
      </c>
      <c r="O558" s="1"/>
      <c r="P558" s="1"/>
      <c r="Q558" s="1"/>
      <c r="R558" s="1" t="s">
        <v>92</v>
      </c>
      <c r="S558" s="1" t="s">
        <v>384</v>
      </c>
      <c r="T558" s="1" t="s">
        <v>4459</v>
      </c>
      <c r="U558" s="1" t="s">
        <v>4460</v>
      </c>
    </row>
    <row r="559" ht="14.25" customHeight="1">
      <c r="A559" s="1" t="s">
        <v>2383</v>
      </c>
      <c r="B559" s="1" t="s">
        <v>4461</v>
      </c>
      <c r="C559" s="1" t="s">
        <v>4462</v>
      </c>
      <c r="D559" s="3"/>
      <c r="E559" s="1"/>
      <c r="F559" s="1" t="s">
        <v>2386</v>
      </c>
      <c r="G559" s="1" t="s">
        <v>42</v>
      </c>
      <c r="H559" s="1" t="s">
        <v>247</v>
      </c>
      <c r="I559" s="1" t="s">
        <v>4286</v>
      </c>
      <c r="J559" s="1" t="s">
        <v>4463</v>
      </c>
      <c r="K559" s="1" t="s">
        <v>4464</v>
      </c>
      <c r="L559" s="1" t="s">
        <v>4465</v>
      </c>
      <c r="M559" s="1" t="s">
        <v>59</v>
      </c>
      <c r="N559" s="1" t="s">
        <v>4466</v>
      </c>
      <c r="O559" s="1" t="s">
        <v>4467</v>
      </c>
      <c r="P559" s="1" t="s">
        <v>110</v>
      </c>
      <c r="Q559" s="1"/>
      <c r="R559" s="1" t="s">
        <v>361</v>
      </c>
      <c r="S559" s="1" t="s">
        <v>384</v>
      </c>
      <c r="T559" s="1" t="s">
        <v>4468</v>
      </c>
      <c r="U559" s="1" t="s">
        <v>4469</v>
      </c>
    </row>
    <row r="560" ht="14.25" customHeight="1">
      <c r="A560" s="1" t="s">
        <v>2383</v>
      </c>
      <c r="B560" s="1" t="s">
        <v>4470</v>
      </c>
      <c r="C560" s="1" t="s">
        <v>4471</v>
      </c>
      <c r="D560" s="3" t="s">
        <v>4472</v>
      </c>
      <c r="E560" s="1" t="s">
        <v>54</v>
      </c>
      <c r="F560" s="1" t="s">
        <v>2417</v>
      </c>
      <c r="G560" s="1" t="s">
        <v>42</v>
      </c>
      <c r="H560" s="1" t="s">
        <v>247</v>
      </c>
      <c r="I560" s="1" t="s">
        <v>870</v>
      </c>
      <c r="J560" s="1"/>
      <c r="K560" s="1" t="s">
        <v>4473</v>
      </c>
      <c r="L560" s="1" t="s">
        <v>4474</v>
      </c>
      <c r="M560" s="1" t="s">
        <v>31</v>
      </c>
      <c r="N560" s="1"/>
      <c r="O560" s="1"/>
      <c r="P560" s="1"/>
      <c r="Q560" s="1"/>
      <c r="R560" s="1" t="s">
        <v>101</v>
      </c>
      <c r="S560" s="1"/>
      <c r="T560" s="1" t="s">
        <v>4475</v>
      </c>
      <c r="U560" s="1" t="s">
        <v>4476</v>
      </c>
    </row>
    <row r="561" ht="14.25" customHeight="1">
      <c r="A561" s="1" t="s">
        <v>2383</v>
      </c>
      <c r="B561" s="1" t="s">
        <v>4477</v>
      </c>
      <c r="C561" s="1" t="s">
        <v>4478</v>
      </c>
      <c r="D561" s="3" t="s">
        <v>4479</v>
      </c>
      <c r="E561" s="1" t="s">
        <v>174</v>
      </c>
      <c r="F561" s="1" t="s">
        <v>2386</v>
      </c>
      <c r="G561" s="1" t="s">
        <v>42</v>
      </c>
      <c r="H561" s="1" t="s">
        <v>247</v>
      </c>
      <c r="I561" s="1" t="s">
        <v>1023</v>
      </c>
      <c r="J561" s="1" t="s">
        <v>4480</v>
      </c>
      <c r="K561" s="1" t="s">
        <v>4481</v>
      </c>
      <c r="L561" s="1" t="s">
        <v>4482</v>
      </c>
      <c r="M561" s="1" t="s">
        <v>59</v>
      </c>
      <c r="N561" s="1" t="s">
        <v>4483</v>
      </c>
      <c r="O561" s="1" t="s">
        <v>4484</v>
      </c>
      <c r="P561" s="1"/>
      <c r="Q561" s="1"/>
      <c r="R561" s="1" t="s">
        <v>258</v>
      </c>
      <c r="S561" s="1" t="s">
        <v>174</v>
      </c>
      <c r="T561" s="1" t="s">
        <v>4485</v>
      </c>
      <c r="U561" s="1" t="s">
        <v>4359</v>
      </c>
    </row>
  </sheetData>
  <dataValidations>
    <dataValidation type="custom" allowBlank="1" showDropDown="1" sqref="A1:U561">
      <formula1>ISERROR(SEARCH((""""),(A1)))</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sheetPr>
  <sheetViews>
    <sheetView workbookViewId="0"/>
  </sheetViews>
  <sheetFormatPr customHeight="1" defaultColWidth="12.63" defaultRowHeight="15.0"/>
  <sheetData>
    <row r="1">
      <c r="A1" s="5" t="s">
        <v>4486</v>
      </c>
      <c r="B1" s="5" t="s">
        <v>4487</v>
      </c>
      <c r="C1" s="5" t="s">
        <v>4488</v>
      </c>
      <c r="D1" s="5" t="s">
        <v>4489</v>
      </c>
      <c r="E1" s="5" t="s">
        <v>4490</v>
      </c>
      <c r="F1" s="5" t="s">
        <v>4491</v>
      </c>
      <c r="G1" s="5" t="s">
        <v>4492</v>
      </c>
      <c r="H1" s="5" t="s">
        <v>4493</v>
      </c>
      <c r="I1" s="5" t="s">
        <v>4494</v>
      </c>
    </row>
    <row r="2">
      <c r="A2" s="6">
        <f t="array" ref="A2:A561">IF(LEN(rawdata!B2:B14026)=0, "",
IFERROR(
  VALUE(rawdata!I2:I14026) /
    IF( (TODAY() - DATEVALUE(rawdata!D2:D14026)) &lt; 1, 1, (TODAY() - DATEVALUE(rawdata!D2:D14026)) ),
  ""
)
)
</f>
        <v>0.472356935</v>
      </c>
      <c r="B2" s="6" t="str">
        <f t="array" ref="B2:B561">IF(LEN(rawdata!B2:B14026)=0, "",
IF( (LEN(rawdata!E2:E14026)=0) + (LEN(rawdata!S2:S14026)=0), "",
  IF( (VALUE(rawdata!E2:E14026) - VALUE(rawdata!S2:S14026)) &lt; 0, 0, VALUE(rawdata!E2:E14026) - VALUE(rawdata!S2:S14026) )
)
)
</f>
        <v/>
      </c>
      <c r="C2" s="6" t="str">
        <f t="array" ref="C2:C561">IF(LEN(rawdata!B2:B14026)=0, "",
IF( (LEN(rawdata!P2:P14026)=0) + (LEN(rawdata!Q2:Q14026)=0), "",
  IFERROR(VALUE(rawdata!P2:P14026),"") - IFERROR(VALUE(rawdata!Q2:Q14026),"")
)
)
</f>
        <v/>
      </c>
      <c r="D2" s="6" t="str">
        <f>IFERROR(__xludf.DUMMYFUNCTION("ARRAYFORMULA(
IF(LEN(rawdata!B2:B14026)=0, """",
 IF(LEN(C2:C14026)=0, """",
  IF(
    PERCENTILE(
      FILTER(IFERROR(VALUE(C2:C14026),), ISNUMBER(IFERROR(VALUE(C2:C14026),))),
      0.05
    ) = PERCENTILE(
      FILTER(IFERROR(VALUE(C2:C14026),), ISNU"&amp;"MBER(IFERROR(VALUE(C2:C14026),))),
      0.95
    ),
    1,
    IF(
      ( (IFERROR(VALUE(#REF!),) - PERCENTILE(FILTER(IFERROR(VALUE(#REF!),), ISNUMBER(IFERROR(VALUE(#REF!),))), 0.05)) /
        ( PERCENTILE(FILTER(IFERROR(VALUE(#REF!),), ISNUMBER(IFERRO"&amp;"R(VALUE(#REF!),))), 0.95) - PERCENTILE(FILTER(IFERROR(VALUE(#REF!),), ISNUMBER(IFERROR(VALUE(#REF!),))), 0.05) )
      ) &lt; 0,
      0,
      IF(
        ( (IFERROR(VALUE(#REF!),) - PERCENTILE(FILTER(IFERROR(VALUE(#REF!),), ISNUMBER(IFERROR(VALUE(#REF!),))"&amp;"), 0.05)) /
          ( PERCENTILE(FILTER(IFERROR(VALUE(#REF!),), ISNUMBER(IFERROR(VALUE(#REF!),))), 0.95) - PERCENTILE(FILTER(IFERROR(VALUE(#REF!),), ISNUMBER(IFERROR(VALUE(#REF!),))), 0.05) )
        ) &gt; 1,
        1,
        ( (IFERROR(VALUE(#REF!),) -"&amp;" PERCENTILE(FILTER(IFERROR(VALUE(#REF!),), ISNUMBER(IFERROR(VALUE(#REF!),))), 0.05)) /
          ( PERCENTILE(FILTER(IFERROR(VALUE(#REF!),), ISNUMBER(IFERROR(VALUE(#REF!),))), 0.95) - PERCENTILE(FILTER(IFERROR(VALUE(#REF!),), ISNUMBER(IFERROR(VALUE(#REF!)"&amp;",))), 0.05) )
        )
      )
    )
  )
 )
)
)"),"")</f>
        <v/>
      </c>
      <c r="E2" s="6">
        <f>IFERROR(__xludf.DUMMYFUNCTION("ARRAYFORMULA(
IF(LEN(rawdata!B2:B14026)=0, """",
 IF(LEN(rawdata!R2:R14026)=0, """",
  IF(
    PERCENTILE(
      LN(1+FILTER(IFERROR(VALUE(rawdata!R2:R14026),), ISNUMBER(IFERROR(VALUE(rawdata!R2:R14026),)))),
      0.05
    ) = PERCENTILE(
      LN(1+FILT"&amp;"ER(IFERROR(VALUE(rawdata!R2:R14026),), ISNUMBER(IFERROR(VALUE(rawdata!R2:R14026),)))),
      0.95
    ),
    1,
    IF(
      (
        ( LN(1+IFERROR(VALUE(rawdata!R2:R14026),)) - PERCENTILE(LN(1+FILTER(IFERROR(VALUE(rawdata!R2:R14026),), ISNUMBER(IFERRO"&amp;"R(VALUE(rawdata!R2:R14026),)))), 0.05) ) /
        ( PERCENTILE(LN(1+FILTER(IFERROR(VALUE(rawdata!R2:R14026),), ISNUMBER(IFERROR(VALUE(rawdata!R2:R14026),)))), 0.95) - PERCENTILE(LN(1+FILTER(IFERROR(VALUE(rawdata!R2:R14026),), ISNUMBER(IFERROR(VALUE(rawda"&amp;"ta!R2:R14026),)))), 0.05) )
      ) &lt; 0,
      0,
      IF(
        (
          ( LN(1+IFERROR(VALUE(rawdata!R2:R14026),)) - PERCENTILE(LN(1+FILTER(IFERROR(VALUE(rawdata!R2:R14026),), ISNUMBER(IFERROR(VALUE(rawdata!R2:R14026),)))), 0.05) ) /
          ( P"&amp;"ERCENTILE(LN(1+FILTER(IFERROR(VALUE(rawdata!R2:R14026),), ISNUMBER(IFERROR(VALUE(rawdata!R2:R14026),)))), 0.95) - PERCENTILE(LN(1+FILTER(IFERROR(VALUE(rawdata!R2:R14026),), ISNUMBER(IFERROR(VALUE(rawdata!R2:R14026),)))), 0.05) )
        ) &gt; 1,
        1,
"&amp;"        ( ( LN(1+IFERROR(VALUE(rawdata!R2:R14026),)) - PERCENTILE(LN(1+FILTER(IFERROR(VALUE(rawdata!R2:R14026),), ISNUMBER(IFERROR(VALUE(rawdata!R2:R14026),)))), 0.05) ) /
          ( PERCENTILE(LN(1+FILTER(IFERROR(VALUE(rawdata!R2:R14026),), ISNUMBER(IFE"&amp;"RROR(VALUE(rawdata!R2:R14026),)))), 0.95) - PERCENTILE(LN(1+FILTER(IFERROR(VALUE(rawdata!R2:R14026),), ISNUMBER(IFERROR(VALUE(rawdata!R2:R14026),)))), 0.05) )
        )
      )
    )
  )
 )
)
)"),0.07976197121590477)</f>
        <v>0.07976197122</v>
      </c>
      <c r="F2" s="6" t="str">
        <f>IFERROR(__xludf.DUMMYFUNCTION("ARRAYFORMULA(
IF(LEN(rawdata!B2:B14026)=0, """",
 IF(LEN(B2:B14026)=0, """",
  IF(
    PERCENTILE(FILTER(IFERROR(VALUE(B2:B14026),), ISNUMBER(IFERROR(VALUE(B2:B14026),))), 0.05) =
    PERCENTILE(FILTER(IFERROR(VALUE(B2:B14026),), ISNUMBER(IFERROR(VALUE(B2"&amp;":B14026),))), 0.95),
    1,
    1 - IF(
      ((IFERROR(VALUE(B2:B14026),) - PERCENTILE(FILTER(IFERROR(VALUE(B2:B14026),), ISNUMBER(IFERROR(VALUE(B2:B14026),))), 0.05)) /
       (PERCENTILE(FILTER(IFERROR(VALUE(B2:B14026),), ISNUMBER(IFERROR(VALUE(B2:B140"&amp;"26),))), 0.95) -
        PERCENTILE(FILTER(IFERROR(VALUE(B2:B14026),), ISNUMBER(IFERROR(VALUE(B2:B14026),))), 0.05))
      ) &lt; 0,
      0,
      IF(
        ((IFERROR(VALUE(#REF!),) - PERCENTILE(FILTER(IFERROR(VALUE(#REF!),), ISNUMBER(IFERROR(VALUE(#REF!)"&amp;",))), 0.05)) /
         (PERCENTILE(FILTER(IFERROR(VALUE(#REF!),), ISNUMBER(IFERROR(VALUE(#REF!),))), 0.95) -
          PERCENTILE(FILTER(IFERROR(VALUE(#REF!),), ISNUMBER(IFERROR(VALUE(#REF!),))), 0.05))
        ) &gt; 1,
        1,
        ((IFERROR(VALUE(#"&amp;"REF!),) - PERCENTILE(FILTER(IFERROR(VALUE(#REF!),), ISNUMBER(IFERROR(VALUE(#REF!),))), 0.05)) /
         (PERCENTILE(FILTER(IFERROR(VALUE(#REF!),), ISNUMBER(IFERROR(VALUE(#REF!),))), 0.95) -
          PERCENTILE(FILTER(IFERROR(VALUE(#REF!),), ISNUMBER(IFE"&amp;"RROR(VALUE(#REF!),))), 0.05))
        )
      )
    )
  )
 )
)
)"),"")</f>
        <v/>
      </c>
      <c r="G2" s="6">
        <f>IFERROR(__xludf.DUMMYFUNCTION("ARRAYFORMULA(
IF(LEN(rawdata!B2:B14026)=0, """",
 IF(LEN(A2:A14026)=0, """",
  IF(
    PERCENTILE(FILTER(IFERROR(VALUE(A2:A14026),), ISNUMBER(IFERROR(VALUE(A2:A14026),))), 0.05) =
    PERCENTILE(FILTER(IFERROR(VALUE(A2:A14026),), ISNUMBER(IFERROR(VALUE(A2"&amp;":A14026),))), 0.95),
    1,
    IF(
      ((IFERROR(VALUE(A2:A14026),) - PERCENTILE(FILTER(IFERROR(VALUE(A2:A14026),), ISNUMBER(IFERROR(VALUE(A2:A14026),))), 0.05)) /
       (PERCENTILE(FILTER(IFERROR(VALUE(A2:A14026),), ISNUMBER(IFERROR(VALUE(A2:A14026),"&amp;"))), 0.95) -
        PERCENTILE(FILTER(IFERROR(VALUE(A2:A14026),), ISNUMBER(IFERROR(VALUE(A2:A14026),))), 0.05))
      ) &lt; 0,
      0,
      IF(
        ((IFERROR(VALUE(#REF!),) - PERCENTILE(FILTER(IFERROR(VALUE(#REF!),), ISNUMBER(IFERROR(VALUE(#REF!),)))"&amp;", 0.05)) /
         (PERCENTILE(FILTER(IFERROR(VALUE(#REF!),), ISNUMBER(IFERROR(VALUE(#REF!),))), 0.95) -
          PERCENTILE(FILTER(IFERROR(VALUE(#REF!),), ISNUMBER(IFERROR(VALUE(#REF!),))), 0.05))
        ) &gt; 1,
        1,
        ((IFERROR(VALUE(#REF!"&amp;"),) - PERCENTILE(FILTER(IFERROR(VALUE(#REF!),), ISNUMBER(IFERROR(VALUE(#REF!),))), 0.05)) /
         (PERCENTILE(FILTER(IFERROR(VALUE(#REF!),), ISNUMBER(IFERROR(VALUE(#REF!),))), 0.95) -
          PERCENTILE(FILTER(IFERROR(VALUE(#REF!),), ISNUMBER(IFERROR"&amp;"(VALUE(#REF!),))), 0.05))
        )
      )
    )
  )
 )
)
)"),1.0)</f>
        <v>1</v>
      </c>
      <c r="H2" s="6">
        <f>IFERROR(__xludf.DUMMYFUNCTION("ARRAYFORMULA(
IF(LEN(rawdata!B2:B14026)=0, """",
 IF(LEN(rawdata!U2:U14026)=0, """",
  IF(
    PERCENTILE(LN(1+FILTER(IFERROR(VALUE(rawdata!U2:U14026),), ISNUMBER(IFERROR(VALUE(rawdata!U2:U14026),)))), 0.05) =
    PERCENTILE(LN(1+FILTER(IFERROR(VALUE(rawd"&amp;"ata!U2:U14026),), ISNUMBER(IFERROR(VALUE(rawdata!U2:U14026),)))), 0.95),
    1,
    IF(
      ((LN(1+IFERROR(VALUE(rawdata!U2:U14026),)) - PERCENTILE(LN(1+FILTER(IFERROR(VALUE(rawdata!U2:U14026),), ISNUMBER(IFERROR(VALUE(rawdata!U2:U14026),)))), 0.05)) /
"&amp;"       (PERCENTILE(LN(1+FILTER(IFERROR(VALUE(rawdata!U2:U14026),), ISNUMBER(IFERROR(VALUE(rawdata!U2:U14026),)))), 0.95) -
        PERCENTILE(LN(1+FILTER(IFERROR(VALUE(rawdata!U2:U14026),), ISNUMBER(IFERROR(VALUE(rawdata!U2:U14026),)))), 0.05))
      ) &lt; "&amp;"0,
      0,
      IF(
        ((LN(1+IFERROR(VALUE(rawdata!U2:U14026),)) - PERCENTILE(LN(1+FILTER(IFERROR(VALUE(rawdata!U2:U14026),), ISNUMBER(IFERROR(VALUE(rawdata!U2:U14026),)))), 0.05)) /
         (PERCENTILE(LN(1+FILTER(IFERROR(VALUE(rawdata!U2:U14026"&amp;"),), ISNUMBER(IFERROR(VALUE(rawdata!U2:U14026),)))), 0.95) -
          PERCENTILE(LN(1+FILTER(IFERROR(VALUE(rawdata!U2:U14026),), ISNUMBER(IFERROR(VALUE(rawdata!U2:U14026),)))), 0.05))
        ) &gt; 1,
        1,
        ((LN(1+IFERROR(VALUE(rawdata!U2:U140"&amp;"26),)) - PERCENTILE(LN(1+FILTER(IFERROR(VALUE(rawdata!U2:U14026),), ISNUMBER(IFERROR(VALUE(rawdata!U2:U14026),)))), 0.05)) /
         (PERCENTILE(LN(1+FILTER(IFERROR(VALUE(rawdata!U2:U14026),), ISNUMBER(IFERROR(VALUE(rawdata!U2:U14026),)))), 0.95) -
     "&amp;"     PERCENTILE(LN(1+FILTER(IFERROR(VALUE(rawdata!U2:U14026),), ISNUMBER(IFERROR(VALUE(rawdata!U2:U14026),)))), 0.05))
        )
      )
    )
  )
 )
)
)"),0.0)</f>
        <v>0</v>
      </c>
      <c r="I2" s="6">
        <f t="array" ref="I2:I561">IF(LEN(rawdata!B2:B14026)=0, "",
  0.3*D2:D14026 + 0.25*E2:E14026 + 0.2*F2:F14026 + 0.15*G2:G14026 + 0.1*H2:H14026
)
</f>
        <v>0.1699404928</v>
      </c>
    </row>
    <row r="3">
      <c r="A3" s="5">
        <v>0.20431211498973306</v>
      </c>
      <c r="B3" s="5" t="s">
        <v>4495</v>
      </c>
      <c r="C3" s="5" t="s">
        <v>4495</v>
      </c>
      <c r="D3" s="5" t="str">
        <f>IFERROR(__xludf.DUMMYFUNCTION("""COMPUTED_VALUE"""),"")</f>
        <v/>
      </c>
      <c r="E3" s="5">
        <f>IFERROR(__xludf.DUMMYFUNCTION("""COMPUTED_VALUE"""),0.9548721026215339)</f>
        <v>0.9548721026</v>
      </c>
      <c r="F3" s="5" t="str">
        <f>IFERROR(__xludf.DUMMYFUNCTION("""COMPUTED_VALUE"""),"")</f>
        <v/>
      </c>
      <c r="G3" s="5">
        <f>IFERROR(__xludf.DUMMYFUNCTION("""COMPUTED_VALUE"""),1.0)</f>
        <v>1</v>
      </c>
      <c r="H3" s="5">
        <f>IFERROR(__xludf.DUMMYFUNCTION("""COMPUTED_VALUE"""),0.8059258159859609)</f>
        <v>0.805925816</v>
      </c>
      <c r="I3" s="5">
        <v>0.4693106072539796</v>
      </c>
    </row>
    <row r="4">
      <c r="A4" s="5">
        <v>0.2859956236323851</v>
      </c>
      <c r="B4" s="5" t="s">
        <v>4495</v>
      </c>
      <c r="C4" s="5" t="s">
        <v>4495</v>
      </c>
      <c r="D4" s="5" t="str">
        <f>IFERROR(__xludf.DUMMYFUNCTION("""COMPUTED_VALUE"""),"")</f>
        <v/>
      </c>
      <c r="E4" s="5">
        <f>IFERROR(__xludf.DUMMYFUNCTION("""COMPUTED_VALUE"""),0.882367679076927)</f>
        <v>0.8823676791</v>
      </c>
      <c r="F4" s="5" t="str">
        <f>IFERROR(__xludf.DUMMYFUNCTION("""COMPUTED_VALUE"""),"")</f>
        <v/>
      </c>
      <c r="G4" s="5">
        <f>IFERROR(__xludf.DUMMYFUNCTION("""COMPUTED_VALUE"""),1.0)</f>
        <v>1</v>
      </c>
      <c r="H4" s="5">
        <f>IFERROR(__xludf.DUMMYFUNCTION("""COMPUTED_VALUE"""),0.7699084914494659)</f>
        <v>0.7699084914</v>
      </c>
      <c r="I4" s="5">
        <v>0.44758276891417836</v>
      </c>
    </row>
    <row r="5">
      <c r="A5" s="5" t="s">
        <v>4495</v>
      </c>
      <c r="B5" s="5" t="s">
        <v>4495</v>
      </c>
      <c r="C5" s="5" t="s">
        <v>4495</v>
      </c>
      <c r="D5" s="5" t="str">
        <f>IFERROR(__xludf.DUMMYFUNCTION("""COMPUTED_VALUE"""),"")</f>
        <v/>
      </c>
      <c r="E5" s="5">
        <f>IFERROR(__xludf.DUMMYFUNCTION("""COMPUTED_VALUE"""),0.6297361753994164)</f>
        <v>0.6297361754</v>
      </c>
      <c r="F5" s="5" t="str">
        <f>IFERROR(__xludf.DUMMYFUNCTION("""COMPUTED_VALUE"""),"")</f>
        <v/>
      </c>
      <c r="G5" s="5" t="str">
        <f>IFERROR(__xludf.DUMMYFUNCTION("""COMPUTED_VALUE"""),"")</f>
        <v/>
      </c>
      <c r="H5" s="5">
        <f>IFERROR(__xludf.DUMMYFUNCTION("""COMPUTED_VALUE"""),0.20085468356535413)</f>
        <v>0.2008546836</v>
      </c>
      <c r="I5" s="5">
        <v>0.1775195122063895</v>
      </c>
    </row>
    <row r="6">
      <c r="A6" s="5">
        <v>0.27721845001170686</v>
      </c>
      <c r="B6" s="5" t="s">
        <v>4495</v>
      </c>
      <c r="C6" s="5" t="s">
        <v>4495</v>
      </c>
      <c r="D6" s="5" t="str">
        <f>IFERROR(__xludf.DUMMYFUNCTION("""COMPUTED_VALUE"""),"")</f>
        <v/>
      </c>
      <c r="E6" s="5">
        <f>IFERROR(__xludf.DUMMYFUNCTION("""COMPUTED_VALUE"""),1.0)</f>
        <v>1</v>
      </c>
      <c r="F6" s="5" t="str">
        <f>IFERROR(__xludf.DUMMYFUNCTION("""COMPUTED_VALUE"""),"")</f>
        <v/>
      </c>
      <c r="G6" s="5">
        <f>IFERROR(__xludf.DUMMYFUNCTION("""COMPUTED_VALUE"""),1.0)</f>
        <v>1</v>
      </c>
      <c r="H6" s="5">
        <f>IFERROR(__xludf.DUMMYFUNCTION("""COMPUTED_VALUE"""),0.87183090148872)</f>
        <v>0.8718309015</v>
      </c>
      <c r="I6" s="5">
        <v>0.487183090148872</v>
      </c>
    </row>
    <row r="7">
      <c r="A7" s="5">
        <v>0.5634851138353766</v>
      </c>
      <c r="B7" s="5">
        <v>1.0</v>
      </c>
      <c r="C7" s="5" t="s">
        <v>4495</v>
      </c>
      <c r="D7" s="5" t="str">
        <f>IFERROR(__xludf.DUMMYFUNCTION("""COMPUTED_VALUE"""),"")</f>
        <v/>
      </c>
      <c r="E7" s="5">
        <f>IFERROR(__xludf.DUMMYFUNCTION("""COMPUTED_VALUE"""),0.823149971850111)</f>
        <v>0.8231499719</v>
      </c>
      <c r="F7" s="5">
        <f>IFERROR(__xludf.DUMMYFUNCTION("""COMPUTED_VALUE"""),1.0)</f>
        <v>1</v>
      </c>
      <c r="G7" s="5">
        <f>IFERROR(__xludf.DUMMYFUNCTION("""COMPUTED_VALUE"""),1.0)</f>
        <v>1</v>
      </c>
      <c r="H7" s="5">
        <f>IFERROR(__xludf.DUMMYFUNCTION("""COMPUTED_VALUE"""),0.7545924021819583)</f>
        <v>0.7545924022</v>
      </c>
      <c r="I7" s="5">
        <v>0.6312467331807236</v>
      </c>
    </row>
    <row r="8">
      <c r="A8" s="5">
        <v>0.28825622775800713</v>
      </c>
      <c r="B8" s="5" t="s">
        <v>4495</v>
      </c>
      <c r="C8" s="5" t="s">
        <v>4495</v>
      </c>
      <c r="D8" s="5" t="str">
        <f>IFERROR(__xludf.DUMMYFUNCTION("""COMPUTED_VALUE"""),"")</f>
        <v/>
      </c>
      <c r="E8" s="5">
        <f>IFERROR(__xludf.DUMMYFUNCTION("""COMPUTED_VALUE"""),0.7118469843264902)</f>
        <v>0.7118469843</v>
      </c>
      <c r="F8" s="5" t="str">
        <f>IFERROR(__xludf.DUMMYFUNCTION("""COMPUTED_VALUE"""),"")</f>
        <v/>
      </c>
      <c r="G8" s="5">
        <f>IFERROR(__xludf.DUMMYFUNCTION("""COMPUTED_VALUE"""),1.0)</f>
        <v>1</v>
      </c>
      <c r="H8" s="5">
        <f>IFERROR(__xludf.DUMMYFUNCTION("""COMPUTED_VALUE"""),0.30345515853674393)</f>
        <v>0.3034551585</v>
      </c>
      <c r="I8" s="5">
        <v>0.35830726193529694</v>
      </c>
    </row>
    <row r="9">
      <c r="A9" s="5">
        <v>0.19318527532704594</v>
      </c>
      <c r="B9" s="5" t="s">
        <v>4495</v>
      </c>
      <c r="C9" s="5" t="s">
        <v>4495</v>
      </c>
      <c r="D9" s="5" t="str">
        <f>IFERROR(__xludf.DUMMYFUNCTION("""COMPUTED_VALUE"""),"")</f>
        <v/>
      </c>
      <c r="E9" s="5">
        <f>IFERROR(__xludf.DUMMYFUNCTION("""COMPUTED_VALUE"""),0.19773288331254052)</f>
        <v>0.1977328833</v>
      </c>
      <c r="F9" s="5" t="str">
        <f>IFERROR(__xludf.DUMMYFUNCTION("""COMPUTED_VALUE"""),"")</f>
        <v/>
      </c>
      <c r="G9" s="5">
        <f>IFERROR(__xludf.DUMMYFUNCTION("""COMPUTED_VALUE"""),1.0)</f>
        <v>1</v>
      </c>
      <c r="H9" s="5">
        <f>IFERROR(__xludf.DUMMYFUNCTION("""COMPUTED_VALUE"""),0.701464288130925)</f>
        <v>0.7014642881</v>
      </c>
      <c r="I9" s="5">
        <v>0.26957964964122766</v>
      </c>
    </row>
    <row r="10">
      <c r="A10" s="5">
        <v>0.21587450245844064</v>
      </c>
      <c r="B10" s="5" t="s">
        <v>4495</v>
      </c>
      <c r="C10" s="5" t="s">
        <v>4495</v>
      </c>
      <c r="D10" s="5" t="str">
        <f>IFERROR(__xludf.DUMMYFUNCTION("""COMPUTED_VALUE"""),"")</f>
        <v/>
      </c>
      <c r="E10" s="5">
        <f>IFERROR(__xludf.DUMMYFUNCTION("""COMPUTED_VALUE"""),0.6393425607818837)</f>
        <v>0.6393425608</v>
      </c>
      <c r="F10" s="5" t="str">
        <f>IFERROR(__xludf.DUMMYFUNCTION("""COMPUTED_VALUE"""),"")</f>
        <v/>
      </c>
      <c r="G10" s="5">
        <f>IFERROR(__xludf.DUMMYFUNCTION("""COMPUTED_VALUE"""),1.0)</f>
        <v>1</v>
      </c>
      <c r="H10" s="5">
        <f>IFERROR(__xludf.DUMMYFUNCTION("""COMPUTED_VALUE"""),0.6990982929283924)</f>
        <v>0.6990982929</v>
      </c>
      <c r="I10" s="5">
        <v>0.37974546948831017</v>
      </c>
    </row>
    <row r="11">
      <c r="A11" s="5">
        <v>0.2884180790960452</v>
      </c>
      <c r="B11" s="5" t="s">
        <v>4495</v>
      </c>
      <c r="C11" s="5" t="s">
        <v>4495</v>
      </c>
      <c r="D11" s="5" t="str">
        <f>IFERROR(__xludf.DUMMYFUNCTION("""COMPUTED_VALUE"""),"")</f>
        <v/>
      </c>
      <c r="E11" s="5">
        <f>IFERROR(__xludf.DUMMYFUNCTION("""COMPUTED_VALUE"""),0.781503141717807)</f>
        <v>0.7815031417</v>
      </c>
      <c r="F11" s="5" t="str">
        <f>IFERROR(__xludf.DUMMYFUNCTION("""COMPUTED_VALUE"""),"")</f>
        <v/>
      </c>
      <c r="G11" s="5">
        <f>IFERROR(__xludf.DUMMYFUNCTION("""COMPUTED_VALUE"""),1.0)</f>
        <v>1</v>
      </c>
      <c r="H11" s="5">
        <f>IFERROR(__xludf.DUMMYFUNCTION("""COMPUTED_VALUE"""),0.4779923023475191)</f>
        <v>0.4779923023</v>
      </c>
      <c r="I11" s="5">
        <v>0.39317501566420365</v>
      </c>
    </row>
    <row r="12">
      <c r="A12" s="5" t="s">
        <v>4495</v>
      </c>
      <c r="B12" s="5" t="s">
        <v>4495</v>
      </c>
      <c r="C12" s="5" t="s">
        <v>4495</v>
      </c>
      <c r="D12" s="5" t="str">
        <f>IFERROR(__xludf.DUMMYFUNCTION("""COMPUTED_VALUE"""),"")</f>
        <v/>
      </c>
      <c r="E12" s="5">
        <f>IFERROR(__xludf.DUMMYFUNCTION("""COMPUTED_VALUE"""),0.6486927451058364)</f>
        <v>0.6486927451</v>
      </c>
      <c r="F12" s="5" t="str">
        <f>IFERROR(__xludf.DUMMYFUNCTION("""COMPUTED_VALUE"""),"")</f>
        <v/>
      </c>
      <c r="G12" s="5" t="str">
        <f>IFERROR(__xludf.DUMMYFUNCTION("""COMPUTED_VALUE"""),"")</f>
        <v/>
      </c>
      <c r="H12" s="5">
        <f>IFERROR(__xludf.DUMMYFUNCTION("""COMPUTED_VALUE"""),0.5953713476386906)</f>
        <v>0.5953713476</v>
      </c>
      <c r="I12" s="5">
        <v>0.22171032104032817</v>
      </c>
    </row>
    <row r="13">
      <c r="A13" s="5">
        <v>0.12985332182916307</v>
      </c>
      <c r="B13" s="5" t="s">
        <v>4495</v>
      </c>
      <c r="C13" s="5" t="s">
        <v>4495</v>
      </c>
      <c r="D13" s="5" t="str">
        <f>IFERROR(__xludf.DUMMYFUNCTION("""COMPUTED_VALUE"""),"")</f>
        <v/>
      </c>
      <c r="E13" s="5">
        <f>IFERROR(__xludf.DUMMYFUNCTION("""COMPUTED_VALUE"""),0.6622664840841103)</f>
        <v>0.6622664841</v>
      </c>
      <c r="F13" s="5" t="str">
        <f>IFERROR(__xludf.DUMMYFUNCTION("""COMPUTED_VALUE"""),"")</f>
        <v/>
      </c>
      <c r="G13" s="5">
        <f>IFERROR(__xludf.DUMMYFUNCTION("""COMPUTED_VALUE"""),1.0)</f>
        <v>1</v>
      </c>
      <c r="H13" s="5">
        <f>IFERROR(__xludf.DUMMYFUNCTION("""COMPUTED_VALUE"""),0.7607858378948519)</f>
        <v>0.7607858379</v>
      </c>
      <c r="I13" s="5">
        <v>0.39164520481051274</v>
      </c>
    </row>
    <row r="14">
      <c r="A14" s="5">
        <v>0.45941468801766977</v>
      </c>
      <c r="B14" s="5">
        <v>0.0</v>
      </c>
      <c r="C14" s="5" t="s">
        <v>4495</v>
      </c>
      <c r="D14" s="5" t="str">
        <f>IFERROR(__xludf.DUMMYFUNCTION("""COMPUTED_VALUE"""),"")</f>
        <v/>
      </c>
      <c r="E14" s="5">
        <f>IFERROR(__xludf.DUMMYFUNCTION("""COMPUTED_VALUE"""),0.889403590094233)</f>
        <v>0.8894035901</v>
      </c>
      <c r="F14" s="5">
        <f>IFERROR(__xludf.DUMMYFUNCTION("""COMPUTED_VALUE"""),1.0)</f>
        <v>1</v>
      </c>
      <c r="G14" s="5">
        <f>IFERROR(__xludf.DUMMYFUNCTION("""COMPUTED_VALUE"""),1.0)</f>
        <v>1</v>
      </c>
      <c r="H14" s="5">
        <f>IFERROR(__xludf.DUMMYFUNCTION("""COMPUTED_VALUE"""),0.4130723542258289)</f>
        <v>0.4130723542</v>
      </c>
      <c r="I14" s="5">
        <v>0.6136581329461411</v>
      </c>
    </row>
    <row r="15">
      <c r="A15" s="5">
        <v>0.11955275229357798</v>
      </c>
      <c r="B15" s="5" t="s">
        <v>4495</v>
      </c>
      <c r="C15" s="5" t="s">
        <v>4495</v>
      </c>
      <c r="D15" s="5" t="str">
        <f>IFERROR(__xludf.DUMMYFUNCTION("""COMPUTED_VALUE"""),"")</f>
        <v/>
      </c>
      <c r="E15" s="5">
        <f>IFERROR(__xludf.DUMMYFUNCTION("""COMPUTED_VALUE"""),0.47265371983310933)</f>
        <v>0.4726537198</v>
      </c>
      <c r="F15" s="5" t="str">
        <f>IFERROR(__xludf.DUMMYFUNCTION("""COMPUTED_VALUE"""),"")</f>
        <v/>
      </c>
      <c r="G15" s="5">
        <f>IFERROR(__xludf.DUMMYFUNCTION("""COMPUTED_VALUE"""),1.0)</f>
        <v>1</v>
      </c>
      <c r="H15" s="5">
        <f>IFERROR(__xludf.DUMMYFUNCTION("""COMPUTED_VALUE"""),0.9602602357171964)</f>
        <v>0.9602602357</v>
      </c>
      <c r="I15" s="5">
        <v>0.364189453529997</v>
      </c>
    </row>
    <row r="16">
      <c r="A16" s="5">
        <v>0.24406497292794668</v>
      </c>
      <c r="B16" s="5">
        <v>0.0</v>
      </c>
      <c r="C16" s="5" t="s">
        <v>4495</v>
      </c>
      <c r="D16" s="5" t="str">
        <f>IFERROR(__xludf.DUMMYFUNCTION("""COMPUTED_VALUE"""),"")</f>
        <v/>
      </c>
      <c r="E16" s="5">
        <f>IFERROR(__xludf.DUMMYFUNCTION("""COMPUTED_VALUE"""),0.7518563800998207)</f>
        <v>0.7518563801</v>
      </c>
      <c r="F16" s="5">
        <f>IFERROR(__xludf.DUMMYFUNCTION("""COMPUTED_VALUE"""),1.0)</f>
        <v>1</v>
      </c>
      <c r="G16" s="5">
        <f>IFERROR(__xludf.DUMMYFUNCTION("""COMPUTED_VALUE"""),1.0)</f>
        <v>1</v>
      </c>
      <c r="H16" s="5">
        <f>IFERROR(__xludf.DUMMYFUNCTION("""COMPUTED_VALUE"""),0.602145960825503)</f>
        <v>0.6021459608</v>
      </c>
      <c r="I16" s="5">
        <v>0.5981786911075055</v>
      </c>
    </row>
    <row r="17">
      <c r="A17" s="5">
        <v>0.15241020793950852</v>
      </c>
      <c r="B17" s="5" t="s">
        <v>4495</v>
      </c>
      <c r="C17" s="5" t="s">
        <v>4495</v>
      </c>
      <c r="D17" s="5" t="str">
        <f>IFERROR(__xludf.DUMMYFUNCTION("""COMPUTED_VALUE"""),"")</f>
        <v/>
      </c>
      <c r="E17" s="5">
        <f>IFERROR(__xludf.DUMMYFUNCTION("""COMPUTED_VALUE"""),0.7306007127585364)</f>
        <v>0.7306007128</v>
      </c>
      <c r="F17" s="5" t="str">
        <f>IFERROR(__xludf.DUMMYFUNCTION("""COMPUTED_VALUE"""),"")</f>
        <v/>
      </c>
      <c r="G17" s="5">
        <f>IFERROR(__xludf.DUMMYFUNCTION("""COMPUTED_VALUE"""),1.0)</f>
        <v>1</v>
      </c>
      <c r="H17" s="5">
        <f>IFERROR(__xludf.DUMMYFUNCTION("""COMPUTED_VALUE"""),0.7989645659521445)</f>
        <v>0.798964566</v>
      </c>
      <c r="I17" s="5">
        <v>0.41254663478484854</v>
      </c>
    </row>
    <row r="18">
      <c r="A18" s="5">
        <v>0.35661764705882354</v>
      </c>
      <c r="B18" s="5">
        <v>0.0</v>
      </c>
      <c r="C18" s="5" t="s">
        <v>4495</v>
      </c>
      <c r="D18" s="5" t="str">
        <f>IFERROR(__xludf.DUMMYFUNCTION("""COMPUTED_VALUE"""),"")</f>
        <v/>
      </c>
      <c r="E18" s="5">
        <f>IFERROR(__xludf.DUMMYFUNCTION("""COMPUTED_VALUE"""),0.715678838128153)</f>
        <v>0.7156788381</v>
      </c>
      <c r="F18" s="5">
        <f>IFERROR(__xludf.DUMMYFUNCTION("""COMPUTED_VALUE"""),1.0)</f>
        <v>1</v>
      </c>
      <c r="G18" s="5">
        <f>IFERROR(__xludf.DUMMYFUNCTION("""COMPUTED_VALUE"""),1.0)</f>
        <v>1</v>
      </c>
      <c r="H18" s="5">
        <f>IFERROR(__xludf.DUMMYFUNCTION("""COMPUTED_VALUE"""),0.29191618910194683)</f>
        <v>0.2919161891</v>
      </c>
      <c r="I18" s="5">
        <v>0.558111328442233</v>
      </c>
    </row>
    <row r="19">
      <c r="A19" s="5">
        <v>0.11223868479805155</v>
      </c>
      <c r="B19" s="5" t="s">
        <v>4495</v>
      </c>
      <c r="C19" s="5" t="s">
        <v>4495</v>
      </c>
      <c r="D19" s="5" t="str">
        <f>IFERROR(__xludf.DUMMYFUNCTION("""COMPUTED_VALUE"""),"")</f>
        <v/>
      </c>
      <c r="E19" s="5">
        <f>IFERROR(__xludf.DUMMYFUNCTION("""COMPUTED_VALUE"""),0.7269293584483356)</f>
        <v>0.7269293584</v>
      </c>
      <c r="F19" s="5" t="str">
        <f>IFERROR(__xludf.DUMMYFUNCTION("""COMPUTED_VALUE"""),"")</f>
        <v/>
      </c>
      <c r="G19" s="5">
        <f>IFERROR(__xludf.DUMMYFUNCTION("""COMPUTED_VALUE"""),1.0)</f>
        <v>1</v>
      </c>
      <c r="H19" s="5">
        <f>IFERROR(__xludf.DUMMYFUNCTION("""COMPUTED_VALUE"""),0.8638845140738347)</f>
        <v>0.8638845141</v>
      </c>
      <c r="I19" s="5">
        <v>0.4181207910194674</v>
      </c>
    </row>
    <row r="20">
      <c r="A20" s="5">
        <v>0.11082867310625318</v>
      </c>
      <c r="B20" s="5" t="s">
        <v>4495</v>
      </c>
      <c r="C20" s="5" t="s">
        <v>4495</v>
      </c>
      <c r="D20" s="5" t="str">
        <f>IFERROR(__xludf.DUMMYFUNCTION("""COMPUTED_VALUE"""),"")</f>
        <v/>
      </c>
      <c r="E20" s="5">
        <f>IFERROR(__xludf.DUMMYFUNCTION("""COMPUTED_VALUE"""),0.10238989523252559)</f>
        <v>0.1023898952</v>
      </c>
      <c r="F20" s="5" t="str">
        <f>IFERROR(__xludf.DUMMYFUNCTION("""COMPUTED_VALUE"""),"")</f>
        <v/>
      </c>
      <c r="G20" s="5">
        <f>IFERROR(__xludf.DUMMYFUNCTION("""COMPUTED_VALUE"""),1.0)</f>
        <v>1</v>
      </c>
      <c r="H20" s="5">
        <f>IFERROR(__xludf.DUMMYFUNCTION("""COMPUTED_VALUE"""),0.7467202844151569)</f>
        <v>0.7467202844</v>
      </c>
      <c r="I20" s="5">
        <v>0.2502695022496471</v>
      </c>
    </row>
    <row r="21">
      <c r="A21" s="5">
        <v>0.2733990147783251</v>
      </c>
      <c r="B21" s="5" t="s">
        <v>4495</v>
      </c>
      <c r="C21" s="5" t="s">
        <v>4495</v>
      </c>
      <c r="D21" s="5" t="str">
        <f>IFERROR(__xludf.DUMMYFUNCTION("""COMPUTED_VALUE"""),"")</f>
        <v/>
      </c>
      <c r="E21" s="5">
        <f>IFERROR(__xludf.DUMMYFUNCTION("""COMPUTED_VALUE"""),0.8501333696778393)</f>
        <v>0.8501333697</v>
      </c>
      <c r="F21" s="5" t="str">
        <f>IFERROR(__xludf.DUMMYFUNCTION("""COMPUTED_VALUE"""),"")</f>
        <v/>
      </c>
      <c r="G21" s="5">
        <f>IFERROR(__xludf.DUMMYFUNCTION("""COMPUTED_VALUE"""),1.0)</f>
        <v>1</v>
      </c>
      <c r="H21" s="5">
        <f>IFERROR(__xludf.DUMMYFUNCTION("""COMPUTED_VALUE"""),0.44025249672534217)</f>
        <v>0.4402524967</v>
      </c>
      <c r="I21" s="5">
        <v>0.406558592091994</v>
      </c>
    </row>
    <row r="22">
      <c r="A22" s="5">
        <v>0.306379821958457</v>
      </c>
      <c r="B22" s="5">
        <v>0.0</v>
      </c>
      <c r="C22" s="5" t="s">
        <v>4495</v>
      </c>
      <c r="D22" s="5" t="str">
        <f>IFERROR(__xludf.DUMMYFUNCTION("""COMPUTED_VALUE"""),"")</f>
        <v/>
      </c>
      <c r="E22" s="5">
        <f>IFERROR(__xludf.DUMMYFUNCTION("""COMPUTED_VALUE"""),0.6532759624345169)</f>
        <v>0.6532759624</v>
      </c>
      <c r="F22" s="5">
        <f>IFERROR(__xludf.DUMMYFUNCTION("""COMPUTED_VALUE"""),1.0)</f>
        <v>1</v>
      </c>
      <c r="G22" s="5">
        <f>IFERROR(__xludf.DUMMYFUNCTION("""COMPUTED_VALUE"""),1.0)</f>
        <v>1</v>
      </c>
      <c r="H22" s="5">
        <f>IFERROR(__xludf.DUMMYFUNCTION("""COMPUTED_VALUE"""),0.2970836899874542)</f>
        <v>0.29708369</v>
      </c>
      <c r="I22" s="5">
        <v>0.5430273596073747</v>
      </c>
    </row>
    <row r="23">
      <c r="A23" s="5">
        <v>0.25031712473572937</v>
      </c>
      <c r="B23" s="5" t="s">
        <v>4495</v>
      </c>
      <c r="C23" s="5" t="s">
        <v>4495</v>
      </c>
      <c r="D23" s="5" t="str">
        <f>IFERROR(__xludf.DUMMYFUNCTION("""COMPUTED_VALUE"""),"")</f>
        <v/>
      </c>
      <c r="E23" s="5">
        <f>IFERROR(__xludf.DUMMYFUNCTION("""COMPUTED_VALUE"""),1.0)</f>
        <v>1</v>
      </c>
      <c r="F23" s="5" t="str">
        <f>IFERROR(__xludf.DUMMYFUNCTION("""COMPUTED_VALUE"""),"")</f>
        <v/>
      </c>
      <c r="G23" s="5">
        <f>IFERROR(__xludf.DUMMYFUNCTION("""COMPUTED_VALUE"""),1.0)</f>
        <v>1</v>
      </c>
      <c r="H23" s="5">
        <f>IFERROR(__xludf.DUMMYFUNCTION("""COMPUTED_VALUE"""),0.7904562758009703)</f>
        <v>0.7904562758</v>
      </c>
      <c r="I23" s="5">
        <v>0.47904562758009706</v>
      </c>
    </row>
    <row r="24">
      <c r="A24" s="5" t="s">
        <v>4495</v>
      </c>
      <c r="B24" s="5" t="s">
        <v>4495</v>
      </c>
      <c r="C24" s="5" t="s">
        <v>4495</v>
      </c>
      <c r="D24" s="5" t="str">
        <f>IFERROR(__xludf.DUMMYFUNCTION("""COMPUTED_VALUE"""),"")</f>
        <v/>
      </c>
      <c r="E24" s="5">
        <f>IFERROR(__xludf.DUMMYFUNCTION("""COMPUTED_VALUE"""),0.7118469843264902)</f>
        <v>0.7118469843</v>
      </c>
      <c r="F24" s="5" t="str">
        <f>IFERROR(__xludf.DUMMYFUNCTION("""COMPUTED_VALUE"""),"")</f>
        <v/>
      </c>
      <c r="G24" s="5" t="str">
        <f>IFERROR(__xludf.DUMMYFUNCTION("""COMPUTED_VALUE"""),"")</f>
        <v/>
      </c>
      <c r="H24" s="5">
        <f>IFERROR(__xludf.DUMMYFUNCTION("""COMPUTED_VALUE"""),0.5719683249718881)</f>
        <v>0.571968325</v>
      </c>
      <c r="I24" s="5">
        <v>0.23515857857881137</v>
      </c>
    </row>
    <row r="25">
      <c r="A25" s="5">
        <v>0.06672788490970309</v>
      </c>
      <c r="B25" s="5">
        <v>0.0</v>
      </c>
      <c r="C25" s="5" t="s">
        <v>4495</v>
      </c>
      <c r="D25" s="5" t="str">
        <f>IFERROR(__xludf.DUMMYFUNCTION("""COMPUTED_VALUE"""),"")</f>
        <v/>
      </c>
      <c r="E25" s="5">
        <f>IFERROR(__xludf.DUMMYFUNCTION("""COMPUTED_VALUE"""),0.8603709183864263)</f>
        <v>0.8603709184</v>
      </c>
      <c r="F25" s="5">
        <f>IFERROR(__xludf.DUMMYFUNCTION("""COMPUTED_VALUE"""),1.0)</f>
        <v>1</v>
      </c>
      <c r="G25" s="5">
        <f>IFERROR(__xludf.DUMMYFUNCTION("""COMPUTED_VALUE"""),1.0)</f>
        <v>1</v>
      </c>
      <c r="H25" s="5">
        <f>IFERROR(__xludf.DUMMYFUNCTION("""COMPUTED_VALUE"""),0.6778084008282622)</f>
        <v>0.6778084008</v>
      </c>
      <c r="I25" s="5">
        <v>0.6328735696794329</v>
      </c>
    </row>
    <row r="26">
      <c r="A26" s="5">
        <v>0.12809472551130247</v>
      </c>
      <c r="B26" s="5">
        <v>0.0</v>
      </c>
      <c r="C26" s="5" t="s">
        <v>4495</v>
      </c>
      <c r="D26" s="5" t="str">
        <f>IFERROR(__xludf.DUMMYFUNCTION("""COMPUTED_VALUE"""),"")</f>
        <v/>
      </c>
      <c r="E26" s="5">
        <f>IFERROR(__xludf.DUMMYFUNCTION("""COMPUTED_VALUE"""),0.7686352339046211)</f>
        <v>0.7686352339</v>
      </c>
      <c r="F26" s="5">
        <f>IFERROR(__xludf.DUMMYFUNCTION("""COMPUTED_VALUE"""),1.0)</f>
        <v>1</v>
      </c>
      <c r="G26" s="5">
        <f>IFERROR(__xludf.DUMMYFUNCTION("""COMPUTED_VALUE"""),1.0)</f>
        <v>1</v>
      </c>
      <c r="H26" s="5">
        <f>IFERROR(__xludf.DUMMYFUNCTION("""COMPUTED_VALUE"""),0.8834762343634998)</f>
        <v>0.8834762344</v>
      </c>
      <c r="I26" s="5">
        <v>0.6305064319125052</v>
      </c>
    </row>
    <row r="27">
      <c r="A27" s="5">
        <v>0.17691453940066593</v>
      </c>
      <c r="B27" s="5" t="s">
        <v>4495</v>
      </c>
      <c r="C27" s="5" t="s">
        <v>4495</v>
      </c>
      <c r="D27" s="5" t="str">
        <f>IFERROR(__xludf.DUMMYFUNCTION("""COMPUTED_VALUE"""),"")</f>
        <v/>
      </c>
      <c r="E27" s="5">
        <f>IFERROR(__xludf.DUMMYFUNCTION("""COMPUTED_VALUE"""),0.8552895086758483)</f>
        <v>0.8552895087</v>
      </c>
      <c r="F27" s="5" t="str">
        <f>IFERROR(__xludf.DUMMYFUNCTION("""COMPUTED_VALUE"""),"")</f>
        <v/>
      </c>
      <c r="G27" s="5">
        <f>IFERROR(__xludf.DUMMYFUNCTION("""COMPUTED_VALUE"""),1.0)</f>
        <v>1</v>
      </c>
      <c r="H27" s="5">
        <f>IFERROR(__xludf.DUMMYFUNCTION("""COMPUTED_VALUE"""),1.0)</f>
        <v>1</v>
      </c>
      <c r="I27" s="5">
        <v>0.463822377168962</v>
      </c>
    </row>
    <row r="28">
      <c r="A28" s="5">
        <v>0.12480036504677161</v>
      </c>
      <c r="B28" s="5" t="s">
        <v>4495</v>
      </c>
      <c r="C28" s="5" t="s">
        <v>4495</v>
      </c>
      <c r="D28" s="5" t="str">
        <f>IFERROR(__xludf.DUMMYFUNCTION("""COMPUTED_VALUE"""),"")</f>
        <v/>
      </c>
      <c r="E28" s="5">
        <f>IFERROR(__xludf.DUMMYFUNCTION("""COMPUTED_VALUE"""),0.8501333696778393)</f>
        <v>0.8501333697</v>
      </c>
      <c r="F28" s="5" t="str">
        <f>IFERROR(__xludf.DUMMYFUNCTION("""COMPUTED_VALUE"""),"")</f>
        <v/>
      </c>
      <c r="G28" s="5">
        <f>IFERROR(__xludf.DUMMYFUNCTION("""COMPUTED_VALUE"""),1.0)</f>
        <v>1</v>
      </c>
      <c r="H28" s="5">
        <f>IFERROR(__xludf.DUMMYFUNCTION("""COMPUTED_VALUE"""),0.8454372130709235)</f>
        <v>0.8454372131</v>
      </c>
      <c r="I28" s="5">
        <v>0.44707706372655215</v>
      </c>
    </row>
    <row r="29">
      <c r="A29" s="5" t="s">
        <v>4495</v>
      </c>
      <c r="B29" s="5" t="s">
        <v>4495</v>
      </c>
      <c r="C29" s="5" t="s">
        <v>4495</v>
      </c>
      <c r="D29" s="5" t="str">
        <f>IFERROR(__xludf.DUMMYFUNCTION("""COMPUTED_VALUE"""),"")</f>
        <v/>
      </c>
      <c r="E29" s="5">
        <f>IFERROR(__xludf.DUMMYFUNCTION("""COMPUTED_VALUE"""),0.7306007127585364)</f>
        <v>0.7306007128</v>
      </c>
      <c r="F29" s="5" t="str">
        <f>IFERROR(__xludf.DUMMYFUNCTION("""COMPUTED_VALUE"""),"")</f>
        <v/>
      </c>
      <c r="G29" s="5" t="str">
        <f>IFERROR(__xludf.DUMMYFUNCTION("""COMPUTED_VALUE"""),"")</f>
        <v/>
      </c>
      <c r="H29" s="5">
        <f>IFERROR(__xludf.DUMMYFUNCTION("""COMPUTED_VALUE"""),0.6809165037794195)</f>
        <v>0.6809165038</v>
      </c>
      <c r="I29" s="5">
        <v>0.25074182856757604</v>
      </c>
    </row>
    <row r="30">
      <c r="A30" s="5">
        <v>0.07876712328767123</v>
      </c>
      <c r="B30" s="5" t="s">
        <v>4495</v>
      </c>
      <c r="C30" s="5" t="s">
        <v>4495</v>
      </c>
      <c r="D30" s="5" t="str">
        <f>IFERROR(__xludf.DUMMYFUNCTION("""COMPUTED_VALUE"""),"")</f>
        <v/>
      </c>
      <c r="E30" s="5">
        <f>IFERROR(__xludf.DUMMYFUNCTION("""COMPUTED_VALUE"""),0.7232191531066832)</f>
        <v>0.7232191531</v>
      </c>
      <c r="F30" s="5" t="str">
        <f>IFERROR(__xludf.DUMMYFUNCTION("""COMPUTED_VALUE"""),"")</f>
        <v/>
      </c>
      <c r="G30" s="5">
        <f>IFERROR(__xludf.DUMMYFUNCTION("""COMPUTED_VALUE"""),1.0)</f>
        <v>1</v>
      </c>
      <c r="H30" s="5">
        <f>IFERROR(__xludf.DUMMYFUNCTION("""COMPUTED_VALUE"""),0.7386982125651004)</f>
        <v>0.7386982126</v>
      </c>
      <c r="I30" s="5">
        <v>0.40467460953318085</v>
      </c>
    </row>
    <row r="31">
      <c r="A31" s="5">
        <v>0.0575492341356674</v>
      </c>
      <c r="B31" s="5" t="s">
        <v>4495</v>
      </c>
      <c r="C31" s="5" t="s">
        <v>4495</v>
      </c>
      <c r="D31" s="5" t="str">
        <f>IFERROR(__xludf.DUMMYFUNCTION("""COMPUTED_VALUE"""),"")</f>
        <v/>
      </c>
      <c r="E31" s="5">
        <f>IFERROR(__xludf.DUMMYFUNCTION("""COMPUTED_VALUE"""),0.7413895988672289)</f>
        <v>0.7413895989</v>
      </c>
      <c r="F31" s="5" t="str">
        <f>IFERROR(__xludf.DUMMYFUNCTION("""COMPUTED_VALUE"""),"")</f>
        <v/>
      </c>
      <c r="G31" s="5">
        <f>IFERROR(__xludf.DUMMYFUNCTION("""COMPUTED_VALUE"""),1.0)</f>
        <v>1</v>
      </c>
      <c r="H31" s="5">
        <f>IFERROR(__xludf.DUMMYFUNCTION("""COMPUTED_VALUE"""),0.606602574247684)</f>
        <v>0.6066025742</v>
      </c>
      <c r="I31" s="5">
        <v>0.3960076571415756</v>
      </c>
    </row>
    <row r="32">
      <c r="A32" s="5">
        <v>0.17125984251968504</v>
      </c>
      <c r="B32" s="5">
        <v>0.0</v>
      </c>
      <c r="C32" s="5" t="s">
        <v>4495</v>
      </c>
      <c r="D32" s="5" t="str">
        <f>IFERROR(__xludf.DUMMYFUNCTION("""COMPUTED_VALUE"""),"")</f>
        <v/>
      </c>
      <c r="E32" s="5">
        <f>IFERROR(__xludf.DUMMYFUNCTION("""COMPUTED_VALUE"""),0.21404331870033824)</f>
        <v>0.2140433187</v>
      </c>
      <c r="F32" s="5">
        <f>IFERROR(__xludf.DUMMYFUNCTION("""COMPUTED_VALUE"""),1.0)</f>
        <v>1</v>
      </c>
      <c r="G32" s="5">
        <f>IFERROR(__xludf.DUMMYFUNCTION("""COMPUTED_VALUE"""),1.0)</f>
        <v>1</v>
      </c>
      <c r="H32" s="5">
        <f>IFERROR(__xludf.DUMMYFUNCTION("""COMPUTED_VALUE"""),0.3568361372236371)</f>
        <v>0.3568361372</v>
      </c>
      <c r="I32" s="5">
        <v>0.4391944433974483</v>
      </c>
    </row>
    <row r="33">
      <c r="A33" s="5">
        <v>0.09090909090909091</v>
      </c>
      <c r="B33" s="5">
        <v>1.0</v>
      </c>
      <c r="C33" s="5" t="s">
        <v>4495</v>
      </c>
      <c r="D33" s="5" t="str">
        <f>IFERROR(__xludf.DUMMYFUNCTION("""COMPUTED_VALUE"""),"")</f>
        <v/>
      </c>
      <c r="E33" s="5">
        <f>IFERROR(__xludf.DUMMYFUNCTION("""COMPUTED_VALUE"""),1.0)</f>
        <v>1</v>
      </c>
      <c r="F33" s="5">
        <f>IFERROR(__xludf.DUMMYFUNCTION("""COMPUTED_VALUE"""),1.0)</f>
        <v>1</v>
      </c>
      <c r="G33" s="5">
        <f>IFERROR(__xludf.DUMMYFUNCTION("""COMPUTED_VALUE"""),1.0)</f>
        <v>1</v>
      </c>
      <c r="H33" s="5">
        <f>IFERROR(__xludf.DUMMYFUNCTION("""COMPUTED_VALUE"""),0.8082208954445161)</f>
        <v>0.8082208954</v>
      </c>
      <c r="I33" s="5">
        <v>0.6808220895444516</v>
      </c>
    </row>
    <row r="34">
      <c r="A34" s="5">
        <v>0.10719131614654002</v>
      </c>
      <c r="B34" s="5">
        <v>0.0</v>
      </c>
      <c r="C34" s="5" t="s">
        <v>4495</v>
      </c>
      <c r="D34" s="5" t="str">
        <f>IFERROR(__xludf.DUMMYFUNCTION("""COMPUTED_VALUE"""),"")</f>
        <v/>
      </c>
      <c r="E34" s="5">
        <f>IFERROR(__xludf.DUMMYFUNCTION("""COMPUTED_VALUE"""),0.9808551827008829)</f>
        <v>0.9808551827</v>
      </c>
      <c r="F34" s="5">
        <f>IFERROR(__xludf.DUMMYFUNCTION("""COMPUTED_VALUE"""),1.0)</f>
        <v>1</v>
      </c>
      <c r="G34" s="5">
        <f>IFERROR(__xludf.DUMMYFUNCTION("""COMPUTED_VALUE"""),1.0)</f>
        <v>1</v>
      </c>
      <c r="H34" s="5">
        <f>IFERROR(__xludf.DUMMYFUNCTION("""COMPUTED_VALUE"""),0.5991484674713998)</f>
        <v>0.5991484675</v>
      </c>
      <c r="I34" s="5">
        <v>0.6551286424223607</v>
      </c>
    </row>
    <row r="35">
      <c r="A35" s="5">
        <v>0.07499215563225604</v>
      </c>
      <c r="B35" s="5">
        <v>1.0</v>
      </c>
      <c r="C35" s="5" t="s">
        <v>4495</v>
      </c>
      <c r="D35" s="5" t="str">
        <f>IFERROR(__xludf.DUMMYFUNCTION("""COMPUTED_VALUE"""),"")</f>
        <v/>
      </c>
      <c r="E35" s="5">
        <f>IFERROR(__xludf.DUMMYFUNCTION("""COMPUTED_VALUE"""),0.905291602379154)</f>
        <v>0.9052916024</v>
      </c>
      <c r="F35" s="5">
        <f>IFERROR(__xludf.DUMMYFUNCTION("""COMPUTED_VALUE"""),1.0)</f>
        <v>1</v>
      </c>
      <c r="G35" s="5">
        <f>IFERROR(__xludf.DUMMYFUNCTION("""COMPUTED_VALUE"""),1.0)</f>
        <v>1</v>
      </c>
      <c r="H35" s="5">
        <f>IFERROR(__xludf.DUMMYFUNCTION("""COMPUTED_VALUE"""),0.5070483768501975)</f>
        <v>0.5070483769</v>
      </c>
      <c r="I35" s="5">
        <v>0.6270277382798083</v>
      </c>
    </row>
    <row r="36">
      <c r="A36" s="5">
        <v>0.15638575152041703</v>
      </c>
      <c r="B36" s="5">
        <v>0.0</v>
      </c>
      <c r="C36" s="5" t="s">
        <v>4495</v>
      </c>
      <c r="D36" s="5" t="str">
        <f>IFERROR(__xludf.DUMMYFUNCTION("""COMPUTED_VALUE"""),"")</f>
        <v/>
      </c>
      <c r="E36" s="5">
        <f>IFERROR(__xludf.DUMMYFUNCTION("""COMPUTED_VALUE"""),1.0)</f>
        <v>1</v>
      </c>
      <c r="F36" s="5">
        <f>IFERROR(__xludf.DUMMYFUNCTION("""COMPUTED_VALUE"""),1.0)</f>
        <v>1</v>
      </c>
      <c r="G36" s="5">
        <f>IFERROR(__xludf.DUMMYFUNCTION("""COMPUTED_VALUE"""),1.0)</f>
        <v>1</v>
      </c>
      <c r="H36" s="5">
        <f>IFERROR(__xludf.DUMMYFUNCTION("""COMPUTED_VALUE"""),0.8985187633496309)</f>
        <v>0.8985187633</v>
      </c>
      <c r="I36" s="5">
        <v>0.689851876334963</v>
      </c>
    </row>
    <row r="37">
      <c r="A37" s="5">
        <v>0.046636085626911315</v>
      </c>
      <c r="B37" s="5" t="s">
        <v>4495</v>
      </c>
      <c r="C37" s="5" t="s">
        <v>4495</v>
      </c>
      <c r="D37" s="5" t="str">
        <f>IFERROR(__xludf.DUMMYFUNCTION("""COMPUTED_VALUE"""),"")</f>
        <v/>
      </c>
      <c r="E37" s="5">
        <f>IFERROR(__xludf.DUMMYFUNCTION("""COMPUTED_VALUE"""),0.3768340340141598)</f>
        <v>0.376834034</v>
      </c>
      <c r="F37" s="5" t="str">
        <f>IFERROR(__xludf.DUMMYFUNCTION("""COMPUTED_VALUE"""),"")</f>
        <v/>
      </c>
      <c r="G37" s="5">
        <f>IFERROR(__xludf.DUMMYFUNCTION("""COMPUTED_VALUE"""),1.0)</f>
        <v>1</v>
      </c>
      <c r="H37" s="5">
        <f>IFERROR(__xludf.DUMMYFUNCTION("""COMPUTED_VALUE"""),0.5759602604370906)</f>
        <v>0.5759602604</v>
      </c>
      <c r="I37" s="5">
        <v>0.301804534547249</v>
      </c>
    </row>
    <row r="38">
      <c r="A38" s="5">
        <v>0.07598862755233911</v>
      </c>
      <c r="B38" s="5">
        <v>0.0</v>
      </c>
      <c r="C38" s="5" t="s">
        <v>4495</v>
      </c>
      <c r="D38" s="5" t="str">
        <f>IFERROR(__xludf.DUMMYFUNCTION("""COMPUTED_VALUE"""),"")</f>
        <v/>
      </c>
      <c r="E38" s="5">
        <f>IFERROR(__xludf.DUMMYFUNCTION("""COMPUTED_VALUE"""),0.6960865272992703)</f>
        <v>0.6960865273</v>
      </c>
      <c r="F38" s="5">
        <f>IFERROR(__xludf.DUMMYFUNCTION("""COMPUTED_VALUE"""),1.0)</f>
        <v>1</v>
      </c>
      <c r="G38" s="5">
        <f>IFERROR(__xludf.DUMMYFUNCTION("""COMPUTED_VALUE"""),1.0)</f>
        <v>1</v>
      </c>
      <c r="H38" s="5">
        <f>IFERROR(__xludf.DUMMYFUNCTION("""COMPUTED_VALUE"""),0.8948082015634227)</f>
        <v>0.8948082016</v>
      </c>
      <c r="I38" s="5">
        <v>0.6135024519811599</v>
      </c>
    </row>
    <row r="39">
      <c r="A39" s="5">
        <v>0.12480252764612954</v>
      </c>
      <c r="B39" s="5">
        <v>0.0</v>
      </c>
      <c r="C39" s="5" t="s">
        <v>4495</v>
      </c>
      <c r="D39" s="5" t="str">
        <f>IFERROR(__xludf.DUMMYFUNCTION("""COMPUTED_VALUE"""),"")</f>
        <v/>
      </c>
      <c r="E39" s="5">
        <f>IFERROR(__xludf.DUMMYFUNCTION("""COMPUTED_VALUE"""),1.0)</f>
        <v>1</v>
      </c>
      <c r="F39" s="5">
        <f>IFERROR(__xludf.DUMMYFUNCTION("""COMPUTED_VALUE"""),1.0)</f>
        <v>1</v>
      </c>
      <c r="G39" s="5">
        <f>IFERROR(__xludf.DUMMYFUNCTION("""COMPUTED_VALUE"""),1.0)</f>
        <v>1</v>
      </c>
      <c r="H39" s="5">
        <f>IFERROR(__xludf.DUMMYFUNCTION("""COMPUTED_VALUE"""),0.5070483768501975)</f>
        <v>0.5070483769</v>
      </c>
      <c r="I39" s="5">
        <v>0.6507048376850197</v>
      </c>
    </row>
    <row r="40">
      <c r="A40" s="5">
        <v>0.04948364888123924</v>
      </c>
      <c r="B40" s="5" t="s">
        <v>4495</v>
      </c>
      <c r="C40" s="5" t="s">
        <v>4495</v>
      </c>
      <c r="D40" s="5" t="str">
        <f>IFERROR(__xludf.DUMMYFUNCTION("""COMPUTED_VALUE"""),"")</f>
        <v/>
      </c>
      <c r="E40" s="5">
        <f>IFERROR(__xludf.DUMMYFUNCTION("""COMPUTED_VALUE"""),0.7518563800998207)</f>
        <v>0.7518563801</v>
      </c>
      <c r="F40" s="5" t="str">
        <f>IFERROR(__xludf.DUMMYFUNCTION("""COMPUTED_VALUE"""),"")</f>
        <v/>
      </c>
      <c r="G40" s="5">
        <f>IFERROR(__xludf.DUMMYFUNCTION("""COMPUTED_VALUE"""),1.0)</f>
        <v>1</v>
      </c>
      <c r="H40" s="5">
        <f>IFERROR(__xludf.DUMMYFUNCTION("""COMPUTED_VALUE"""),0.7788377172062704)</f>
        <v>0.7788377172</v>
      </c>
      <c r="I40" s="5">
        <v>0.4158478667455822</v>
      </c>
    </row>
    <row r="41">
      <c r="A41" s="5">
        <v>0.136980491942324</v>
      </c>
      <c r="B41" s="5">
        <v>0.0</v>
      </c>
      <c r="C41" s="5" t="s">
        <v>4495</v>
      </c>
      <c r="D41" s="5" t="str">
        <f>IFERROR(__xludf.DUMMYFUNCTION("""COMPUTED_VALUE"""),"")</f>
        <v/>
      </c>
      <c r="E41" s="5">
        <f>IFERROR(__xludf.DUMMYFUNCTION("""COMPUTED_VALUE"""),0.43230913174650915)</f>
        <v>0.4323091317</v>
      </c>
      <c r="F41" s="5">
        <f>IFERROR(__xludf.DUMMYFUNCTION("""COMPUTED_VALUE"""),1.0)</f>
        <v>1</v>
      </c>
      <c r="G41" s="5">
        <f>IFERROR(__xludf.DUMMYFUNCTION("""COMPUTED_VALUE"""),1.0)</f>
        <v>1</v>
      </c>
      <c r="H41" s="5">
        <f>IFERROR(__xludf.DUMMYFUNCTION("""COMPUTED_VALUE"""),0.6833865756013802)</f>
        <v>0.6833865756</v>
      </c>
      <c r="I41" s="5">
        <v>0.5264159404967653</v>
      </c>
    </row>
    <row r="42">
      <c r="A42" s="5" t="s">
        <v>4495</v>
      </c>
      <c r="B42" s="5" t="s">
        <v>4495</v>
      </c>
      <c r="C42" s="5" t="s">
        <v>4495</v>
      </c>
      <c r="D42" s="5" t="str">
        <f>IFERROR(__xludf.DUMMYFUNCTION("""COMPUTED_VALUE"""),"")</f>
        <v/>
      </c>
      <c r="E42" s="5">
        <f>IFERROR(__xludf.DUMMYFUNCTION("""COMPUTED_VALUE"""),0.9226092522860491)</f>
        <v>0.9226092523</v>
      </c>
      <c r="F42" s="5" t="str">
        <f>IFERROR(__xludf.DUMMYFUNCTION("""COMPUTED_VALUE"""),"")</f>
        <v/>
      </c>
      <c r="G42" s="5" t="str">
        <f>IFERROR(__xludf.DUMMYFUNCTION("""COMPUTED_VALUE"""),"")</f>
        <v/>
      </c>
      <c r="H42" s="5">
        <f>IFERROR(__xludf.DUMMYFUNCTION("""COMPUTED_VALUE"""),0.4467820234631535)</f>
        <v>0.4467820235</v>
      </c>
      <c r="I42" s="5">
        <v>0.2753305154178276</v>
      </c>
    </row>
    <row r="43">
      <c r="A43" s="5">
        <v>0.1763476807354785</v>
      </c>
      <c r="B43" s="5" t="s">
        <v>4495</v>
      </c>
      <c r="C43" s="5" t="s">
        <v>4495</v>
      </c>
      <c r="D43" s="5" t="str">
        <f>IFERROR(__xludf.DUMMYFUNCTION("""COMPUTED_VALUE"""),"")</f>
        <v/>
      </c>
      <c r="E43" s="5">
        <f>IFERROR(__xludf.DUMMYFUNCTION("""COMPUTED_VALUE"""),0.7552770036509245)</f>
        <v>0.7552770037</v>
      </c>
      <c r="F43" s="5" t="str">
        <f>IFERROR(__xludf.DUMMYFUNCTION("""COMPUTED_VALUE"""),"")</f>
        <v/>
      </c>
      <c r="G43" s="5">
        <f>IFERROR(__xludf.DUMMYFUNCTION("""COMPUTED_VALUE"""),1.0)</f>
        <v>1</v>
      </c>
      <c r="H43" s="5">
        <f>IFERROR(__xludf.DUMMYFUNCTION("""COMPUTED_VALUE"""),0.7788377172062704)</f>
        <v>0.7788377172</v>
      </c>
      <c r="I43" s="5">
        <v>0.4167030226333582</v>
      </c>
    </row>
    <row r="44">
      <c r="A44" s="5">
        <v>0.041666666666666664</v>
      </c>
      <c r="B44" s="5">
        <v>1.0</v>
      </c>
      <c r="C44" s="5" t="s">
        <v>4495</v>
      </c>
      <c r="D44" s="5" t="str">
        <f>IFERROR(__xludf.DUMMYFUNCTION("""COMPUTED_VALUE"""),"")</f>
        <v/>
      </c>
      <c r="E44" s="5">
        <f>IFERROR(__xludf.DUMMYFUNCTION("""COMPUTED_VALUE"""),0.5288716380402964)</f>
        <v>0.528871638</v>
      </c>
      <c r="F44" s="5">
        <f>IFERROR(__xludf.DUMMYFUNCTION("""COMPUTED_VALUE"""),1.0)</f>
        <v>1</v>
      </c>
      <c r="G44" s="5">
        <f>IFERROR(__xludf.DUMMYFUNCTION("""COMPUTED_VALUE"""),1.0)</f>
        <v>1</v>
      </c>
      <c r="H44" s="5">
        <f>IFERROR(__xludf.DUMMYFUNCTION("""COMPUTED_VALUE"""),0.8036181606867903)</f>
        <v>0.8036181607</v>
      </c>
      <c r="I44" s="5">
        <v>0.5625797255787532</v>
      </c>
    </row>
    <row r="45">
      <c r="A45" s="5">
        <v>0.14459121742234915</v>
      </c>
      <c r="B45" s="5">
        <v>0.0</v>
      </c>
      <c r="C45" s="5" t="s">
        <v>4495</v>
      </c>
      <c r="D45" s="5" t="str">
        <f>IFERROR(__xludf.DUMMYFUNCTION("""COMPUTED_VALUE"""),"")</f>
        <v/>
      </c>
      <c r="E45" s="5">
        <f>IFERROR(__xludf.DUMMYFUNCTION("""COMPUTED_VALUE"""),0.40566762681079266)</f>
        <v>0.4056676268</v>
      </c>
      <c r="F45" s="5">
        <f>IFERROR(__xludf.DUMMYFUNCTION("""COMPUTED_VALUE"""),1.0)</f>
        <v>1</v>
      </c>
      <c r="G45" s="5">
        <f>IFERROR(__xludf.DUMMYFUNCTION("""COMPUTED_VALUE"""),1.0)</f>
        <v>1</v>
      </c>
      <c r="H45" s="5">
        <f>IFERROR(__xludf.DUMMYFUNCTION("""COMPUTED_VALUE"""),0.6644979373420747)</f>
        <v>0.6644979373</v>
      </c>
      <c r="I45" s="5">
        <v>0.5178667004369056</v>
      </c>
    </row>
    <row r="46">
      <c r="A46" s="5">
        <v>0.09670079635949944</v>
      </c>
      <c r="B46" s="5" t="s">
        <v>4495</v>
      </c>
      <c r="C46" s="5" t="s">
        <v>4495</v>
      </c>
      <c r="D46" s="5" t="str">
        <f>IFERROR(__xludf.DUMMYFUNCTION("""COMPUTED_VALUE"""),"")</f>
        <v/>
      </c>
      <c r="E46" s="5">
        <f>IFERROR(__xludf.DUMMYFUNCTION("""COMPUTED_VALUE"""),0.6486927451058364)</f>
        <v>0.6486927451</v>
      </c>
      <c r="F46" s="5" t="str">
        <f>IFERROR(__xludf.DUMMYFUNCTION("""COMPUTED_VALUE"""),"")</f>
        <v/>
      </c>
      <c r="G46" s="5">
        <f>IFERROR(__xludf.DUMMYFUNCTION("""COMPUTED_VALUE"""),1.0)</f>
        <v>1</v>
      </c>
      <c r="H46" s="5">
        <f>IFERROR(__xludf.DUMMYFUNCTION("""COMPUTED_VALUE"""),0.821734761995934)</f>
        <v>0.821734762</v>
      </c>
      <c r="I46" s="5">
        <v>0.3943466624760525</v>
      </c>
    </row>
    <row r="47">
      <c r="A47" s="5">
        <v>0.031393888656341566</v>
      </c>
      <c r="B47" s="5" t="s">
        <v>4495</v>
      </c>
      <c r="C47" s="5" t="s">
        <v>4495</v>
      </c>
      <c r="D47" s="5" t="str">
        <f>IFERROR(__xludf.DUMMYFUNCTION("""COMPUTED_VALUE"""),"")</f>
        <v/>
      </c>
      <c r="E47" s="5">
        <f>IFERROR(__xludf.DUMMYFUNCTION("""COMPUTED_VALUE"""),0.5658122078059921)</f>
        <v>0.5658122078</v>
      </c>
      <c r="F47" s="5" t="str">
        <f>IFERROR(__xludf.DUMMYFUNCTION("""COMPUTED_VALUE"""),"")</f>
        <v/>
      </c>
      <c r="G47" s="5">
        <f>IFERROR(__xludf.DUMMYFUNCTION("""COMPUTED_VALUE"""),1.0)</f>
        <v>1</v>
      </c>
      <c r="H47" s="5">
        <f>IFERROR(__xludf.DUMMYFUNCTION("""COMPUTED_VALUE"""),0.5342285193497109)</f>
        <v>0.5342285193</v>
      </c>
      <c r="I47" s="5">
        <v>0.3448759038864691</v>
      </c>
    </row>
    <row r="48">
      <c r="A48" s="5">
        <v>0.12745098039215685</v>
      </c>
      <c r="B48" s="5" t="s">
        <v>4495</v>
      </c>
      <c r="C48" s="5" t="s">
        <v>4495</v>
      </c>
      <c r="D48" s="5" t="str">
        <f>IFERROR(__xludf.DUMMYFUNCTION("""COMPUTED_VALUE"""),"")</f>
        <v/>
      </c>
      <c r="E48" s="5">
        <f>IFERROR(__xludf.DUMMYFUNCTION("""COMPUTED_VALUE"""),0.7449133585076116)</f>
        <v>0.7449133585</v>
      </c>
      <c r="F48" s="5" t="str">
        <f>IFERROR(__xludf.DUMMYFUNCTION("""COMPUTED_VALUE"""),"")</f>
        <v/>
      </c>
      <c r="G48" s="5">
        <f>IFERROR(__xludf.DUMMYFUNCTION("""COMPUTED_VALUE"""),1.0)</f>
        <v>1</v>
      </c>
      <c r="H48" s="5">
        <f>IFERROR(__xludf.DUMMYFUNCTION("""COMPUTED_VALUE"""),0.7024742311529858)</f>
        <v>0.7024742312</v>
      </c>
      <c r="I48" s="5">
        <v>0.4064757627422015</v>
      </c>
    </row>
    <row r="49">
      <c r="A49" s="5">
        <v>0.07847082494969819</v>
      </c>
      <c r="B49" s="5">
        <v>0.0</v>
      </c>
      <c r="C49" s="5" t="s">
        <v>4495</v>
      </c>
      <c r="D49" s="5" t="str">
        <f>IFERROR(__xludf.DUMMYFUNCTION("""COMPUTED_VALUE"""),"")</f>
        <v/>
      </c>
      <c r="E49" s="5">
        <f>IFERROR(__xludf.DUMMYFUNCTION("""COMPUTED_VALUE"""),0.945105144241996)</f>
        <v>0.9451051442</v>
      </c>
      <c r="F49" s="5">
        <f>IFERROR(__xludf.DUMMYFUNCTION("""COMPUTED_VALUE"""),1.0)</f>
        <v>1</v>
      </c>
      <c r="G49" s="5">
        <f>IFERROR(__xludf.DUMMYFUNCTION("""COMPUTED_VALUE"""),1.0)</f>
        <v>1</v>
      </c>
      <c r="H49" s="5">
        <f>IFERROR(__xludf.DUMMYFUNCTION("""COMPUTED_VALUE"""),0.8608655331288015)</f>
        <v>0.8608655331</v>
      </c>
      <c r="I49" s="5">
        <v>0.6723628393733792</v>
      </c>
    </row>
    <row r="50">
      <c r="A50" s="5">
        <v>0.15988857938718662</v>
      </c>
      <c r="B50" s="5" t="s">
        <v>4495</v>
      </c>
      <c r="C50" s="5" t="s">
        <v>4495</v>
      </c>
      <c r="D50" s="5" t="str">
        <f>IFERROR(__xludf.DUMMYFUNCTION("""COMPUTED_VALUE"""),"")</f>
        <v/>
      </c>
      <c r="E50" s="5">
        <f>IFERROR(__xludf.DUMMYFUNCTION("""COMPUTED_VALUE"""),0.6532759624345169)</f>
        <v>0.6532759624</v>
      </c>
      <c r="F50" s="5" t="str">
        <f>IFERROR(__xludf.DUMMYFUNCTION("""COMPUTED_VALUE"""),"")</f>
        <v/>
      </c>
      <c r="G50" s="5">
        <f>IFERROR(__xludf.DUMMYFUNCTION("""COMPUTED_VALUE"""),1.0)</f>
        <v>1</v>
      </c>
      <c r="H50" s="5">
        <f>IFERROR(__xludf.DUMMYFUNCTION("""COMPUTED_VALUE"""),0.5070483768501975)</f>
        <v>0.5070483769</v>
      </c>
      <c r="I50" s="5">
        <v>0.364023828293649</v>
      </c>
    </row>
    <row r="51">
      <c r="A51" s="5">
        <v>0.14022435897435898</v>
      </c>
      <c r="B51" s="5">
        <v>0.0</v>
      </c>
      <c r="C51" s="5" t="s">
        <v>4495</v>
      </c>
      <c r="D51" s="5" t="str">
        <f>IFERROR(__xludf.DUMMYFUNCTION("""COMPUTED_VALUE"""),"")</f>
        <v/>
      </c>
      <c r="E51" s="5">
        <f>IFERROR(__xludf.DUMMYFUNCTION("""COMPUTED_VALUE"""),0.781503141717807)</f>
        <v>0.7815031417</v>
      </c>
      <c r="F51" s="5">
        <f>IFERROR(__xludf.DUMMYFUNCTION("""COMPUTED_VALUE"""),1.0)</f>
        <v>1</v>
      </c>
      <c r="G51" s="5">
        <f>IFERROR(__xludf.DUMMYFUNCTION("""COMPUTED_VALUE"""),1.0)</f>
        <v>1</v>
      </c>
      <c r="H51" s="5">
        <f>IFERROR(__xludf.DUMMYFUNCTION("""COMPUTED_VALUE"""),0.5838323782038936)</f>
        <v>0.5838323782</v>
      </c>
      <c r="I51" s="5">
        <v>0.6037590232498411</v>
      </c>
    </row>
    <row r="52">
      <c r="A52" s="5">
        <v>0.12009063444108761</v>
      </c>
      <c r="B52" s="5" t="s">
        <v>4495</v>
      </c>
      <c r="C52" s="5" t="s">
        <v>4495</v>
      </c>
      <c r="D52" s="5" t="str">
        <f>IFERROR(__xludf.DUMMYFUNCTION("""COMPUTED_VALUE"""),"")</f>
        <v/>
      </c>
      <c r="E52" s="5">
        <f>IFERROR(__xludf.DUMMYFUNCTION("""COMPUTED_VALUE"""),0.9411208839467466)</f>
        <v>0.9411208839</v>
      </c>
      <c r="F52" s="5" t="str">
        <f>IFERROR(__xludf.DUMMYFUNCTION("""COMPUTED_VALUE"""),"")</f>
        <v/>
      </c>
      <c r="G52" s="5">
        <f>IFERROR(__xludf.DUMMYFUNCTION("""COMPUTED_VALUE"""),1.0)</f>
        <v>1</v>
      </c>
      <c r="H52" s="5">
        <f>IFERROR(__xludf.DUMMYFUNCTION("""COMPUTED_VALUE"""),0.7451280479689457)</f>
        <v>0.745128048</v>
      </c>
      <c r="I52" s="5">
        <v>0.4597930257835813</v>
      </c>
    </row>
    <row r="53">
      <c r="A53" s="5">
        <v>0.07871720116618076</v>
      </c>
      <c r="B53" s="5" t="s">
        <v>4495</v>
      </c>
      <c r="C53" s="5" t="s">
        <v>4495</v>
      </c>
      <c r="D53" s="5" t="str">
        <f>IFERROR(__xludf.DUMMYFUNCTION("""COMPUTED_VALUE"""),"")</f>
        <v/>
      </c>
      <c r="E53" s="5">
        <f>IFERROR(__xludf.DUMMYFUNCTION("""COMPUTED_VALUE"""),0.5716075650904038)</f>
        <v>0.5716075651</v>
      </c>
      <c r="F53" s="5" t="str">
        <f>IFERROR(__xludf.DUMMYFUNCTION("""COMPUTED_VALUE"""),"")</f>
        <v/>
      </c>
      <c r="G53" s="5">
        <f>IFERROR(__xludf.DUMMYFUNCTION("""COMPUTED_VALUE"""),1.0)</f>
        <v>1</v>
      </c>
      <c r="H53" s="5">
        <f>IFERROR(__xludf.DUMMYFUNCTION("""COMPUTED_VALUE"""),0.0)</f>
        <v>0</v>
      </c>
      <c r="I53" s="5">
        <v>0.2929018912726009</v>
      </c>
    </row>
    <row r="54">
      <c r="A54" s="5">
        <v>0.13</v>
      </c>
      <c r="B54" s="5" t="s">
        <v>4495</v>
      </c>
      <c r="C54" s="5" t="s">
        <v>4495</v>
      </c>
      <c r="D54" s="5" t="str">
        <f>IFERROR(__xludf.DUMMYFUNCTION("""COMPUTED_VALUE"""),"")</f>
        <v/>
      </c>
      <c r="E54" s="5">
        <f>IFERROR(__xludf.DUMMYFUNCTION("""COMPUTED_VALUE"""),0.9808551827008829)</f>
        <v>0.9808551827</v>
      </c>
      <c r="F54" s="5" t="str">
        <f>IFERROR(__xludf.DUMMYFUNCTION("""COMPUTED_VALUE"""),"")</f>
        <v/>
      </c>
      <c r="G54" s="5">
        <f>IFERROR(__xludf.DUMMYFUNCTION("""COMPUTED_VALUE"""),1.0)</f>
        <v>1</v>
      </c>
      <c r="H54" s="5">
        <f>IFERROR(__xludf.DUMMYFUNCTION("""COMPUTED_VALUE"""),0.5253619594718052)</f>
        <v>0.5253619595</v>
      </c>
      <c r="I54" s="5">
        <v>0.44774999162240126</v>
      </c>
    </row>
    <row r="55">
      <c r="A55" s="5" t="s">
        <v>4495</v>
      </c>
      <c r="B55" s="5" t="s">
        <v>4495</v>
      </c>
      <c r="C55" s="5" t="s">
        <v>4495</v>
      </c>
      <c r="D55" s="5" t="str">
        <f>IFERROR(__xludf.DUMMYFUNCTION("""COMPUTED_VALUE"""),"")</f>
        <v/>
      </c>
      <c r="E55" s="5">
        <f>IFERROR(__xludf.DUMMYFUNCTION("""COMPUTED_VALUE"""),0.9204907495688482)</f>
        <v>0.9204907496</v>
      </c>
      <c r="F55" s="5" t="str">
        <f>IFERROR(__xludf.DUMMYFUNCTION("""COMPUTED_VALUE"""),"")</f>
        <v/>
      </c>
      <c r="G55" s="5" t="str">
        <f>IFERROR(__xludf.DUMMYFUNCTION("""COMPUTED_VALUE"""),"")</f>
        <v/>
      </c>
      <c r="H55" s="5">
        <f>IFERROR(__xludf.DUMMYFUNCTION("""COMPUTED_VALUE"""),0.8228415853356936)</f>
        <v>0.8228415853</v>
      </c>
      <c r="I55" s="5">
        <v>0.31240684592578144</v>
      </c>
    </row>
    <row r="56">
      <c r="A56" s="5">
        <v>0.03948241539482415</v>
      </c>
      <c r="B56" s="5" t="s">
        <v>4495</v>
      </c>
      <c r="C56" s="5" t="s">
        <v>4495</v>
      </c>
      <c r="D56" s="5" t="str">
        <f>IFERROR(__xludf.DUMMYFUNCTION("""COMPUTED_VALUE"""),"")</f>
        <v/>
      </c>
      <c r="E56" s="5">
        <f>IFERROR(__xludf.DUMMYFUNCTION("""COMPUTED_VALUE"""),0.12364556257381001)</f>
        <v>0.1236455626</v>
      </c>
      <c r="F56" s="5" t="str">
        <f>IFERROR(__xludf.DUMMYFUNCTION("""COMPUTED_VALUE"""),"")</f>
        <v/>
      </c>
      <c r="G56" s="5">
        <f>IFERROR(__xludf.DUMMYFUNCTION("""COMPUTED_VALUE"""),1.0)</f>
        <v>1</v>
      </c>
      <c r="H56" s="5">
        <f>IFERROR(__xludf.DUMMYFUNCTION("""COMPUTED_VALUE"""),0.3951485412186882)</f>
        <v>0.3951485412</v>
      </c>
      <c r="I56" s="5">
        <v>0.2204262447653213</v>
      </c>
    </row>
    <row r="57">
      <c r="A57" s="5" t="s">
        <v>4495</v>
      </c>
      <c r="B57" s="5" t="s">
        <v>4495</v>
      </c>
      <c r="C57" s="5" t="s">
        <v>4495</v>
      </c>
      <c r="D57" s="5" t="str">
        <f>IFERROR(__xludf.DUMMYFUNCTION("""COMPUTED_VALUE"""),"")</f>
        <v/>
      </c>
      <c r="E57" s="5">
        <f>IFERROR(__xludf.DUMMYFUNCTION("""COMPUTED_VALUE"""),1.0)</f>
        <v>1</v>
      </c>
      <c r="F57" s="5" t="str">
        <f>IFERROR(__xludf.DUMMYFUNCTION("""COMPUTED_VALUE"""),"")</f>
        <v/>
      </c>
      <c r="G57" s="5" t="str">
        <f>IFERROR(__xludf.DUMMYFUNCTION("""COMPUTED_VALUE"""),"")</f>
        <v/>
      </c>
      <c r="H57" s="5">
        <f>IFERROR(__xludf.DUMMYFUNCTION("""COMPUTED_VALUE"""),0.4130723542258289)</f>
        <v>0.4130723542</v>
      </c>
      <c r="I57" s="5">
        <v>0.2913072354225829</v>
      </c>
    </row>
    <row r="58">
      <c r="A58" s="5" t="s">
        <v>4495</v>
      </c>
      <c r="B58" s="5" t="s">
        <v>4495</v>
      </c>
      <c r="C58" s="5" t="s">
        <v>4495</v>
      </c>
      <c r="D58" s="5" t="str">
        <f>IFERROR(__xludf.DUMMYFUNCTION("""COMPUTED_VALUE"""),"")</f>
        <v/>
      </c>
      <c r="E58" s="5">
        <f>IFERROR(__xludf.DUMMYFUNCTION("""COMPUTED_VALUE"""),0.823149971850111)</f>
        <v>0.8231499719</v>
      </c>
      <c r="F58" s="5" t="str">
        <f>IFERROR(__xludf.DUMMYFUNCTION("""COMPUTED_VALUE"""),"")</f>
        <v/>
      </c>
      <c r="G58" s="5" t="str">
        <f>IFERROR(__xludf.DUMMYFUNCTION("""COMPUTED_VALUE"""),"")</f>
        <v/>
      </c>
      <c r="H58" s="5">
        <f>IFERROR(__xludf.DUMMYFUNCTION("""COMPUTED_VALUE"""),0.29191618910194683)</f>
        <v>0.2919161891</v>
      </c>
      <c r="I58" s="5">
        <v>0.2349791118727224</v>
      </c>
    </row>
    <row r="59">
      <c r="A59" s="5">
        <v>0.2247462542290962</v>
      </c>
      <c r="B59" s="5" t="s">
        <v>4495</v>
      </c>
      <c r="C59" s="5" t="s">
        <v>4495</v>
      </c>
      <c r="D59" s="5" t="str">
        <f>IFERROR(__xludf.DUMMYFUNCTION("""COMPUTED_VALUE"""),"")</f>
        <v/>
      </c>
      <c r="E59" s="5">
        <f>IFERROR(__xludf.DUMMYFUNCTION("""COMPUTED_VALUE"""),0.7518563800998207)</f>
        <v>0.7518563801</v>
      </c>
      <c r="F59" s="5" t="str">
        <f>IFERROR(__xludf.DUMMYFUNCTION("""COMPUTED_VALUE"""),"")</f>
        <v/>
      </c>
      <c r="G59" s="5">
        <f>IFERROR(__xludf.DUMMYFUNCTION("""COMPUTED_VALUE"""),1.0)</f>
        <v>1</v>
      </c>
      <c r="H59" s="5">
        <f>IFERROR(__xludf.DUMMYFUNCTION("""COMPUTED_VALUE"""),0.5915600452615529)</f>
        <v>0.5915600453</v>
      </c>
      <c r="I59" s="5">
        <v>0.3971200995511105</v>
      </c>
    </row>
    <row r="60">
      <c r="A60" s="5">
        <v>0.11637080867850098</v>
      </c>
      <c r="B60" s="5">
        <v>0.0</v>
      </c>
      <c r="C60" s="5" t="s">
        <v>4495</v>
      </c>
      <c r="D60" s="5" t="str">
        <f>IFERROR(__xludf.DUMMYFUNCTION("""COMPUTED_VALUE"""),"")</f>
        <v/>
      </c>
      <c r="E60" s="5">
        <f>IFERROR(__xludf.DUMMYFUNCTION("""COMPUTED_VALUE"""),0.7586645771823989)</f>
        <v>0.7586645772</v>
      </c>
      <c r="F60" s="5">
        <f>IFERROR(__xludf.DUMMYFUNCTION("""COMPUTED_VALUE"""),1.0)</f>
        <v>1</v>
      </c>
      <c r="G60" s="5">
        <f>IFERROR(__xludf.DUMMYFUNCTION("""COMPUTED_VALUE"""),1.0)</f>
        <v>1</v>
      </c>
      <c r="H60" s="5">
        <f>IFERROR(__xludf.DUMMYFUNCTION("""COMPUTED_VALUE"""),0.6870647303206351)</f>
        <v>0.6870647303</v>
      </c>
      <c r="I60" s="5">
        <v>0.6083726173276633</v>
      </c>
    </row>
    <row r="61">
      <c r="A61" s="5" t="s">
        <v>4495</v>
      </c>
      <c r="B61" s="5" t="s">
        <v>4495</v>
      </c>
      <c r="C61" s="5" t="s">
        <v>4495</v>
      </c>
      <c r="D61" s="5" t="str">
        <f>IFERROR(__xludf.DUMMYFUNCTION("""COMPUTED_VALUE"""),"")</f>
        <v/>
      </c>
      <c r="E61" s="5">
        <f>IFERROR(__xludf.DUMMYFUNCTION("""COMPUTED_VALUE"""),0.10238989523252559)</f>
        <v>0.1023898952</v>
      </c>
      <c r="F61" s="5" t="str">
        <f>IFERROR(__xludf.DUMMYFUNCTION("""COMPUTED_VALUE"""),"")</f>
        <v/>
      </c>
      <c r="G61" s="5" t="str">
        <f>IFERROR(__xludf.DUMMYFUNCTION("""COMPUTED_VALUE"""),"")</f>
        <v/>
      </c>
      <c r="H61" s="5">
        <f>IFERROR(__xludf.DUMMYFUNCTION("""COMPUTED_VALUE"""),0.23164983571490277)</f>
        <v>0.2316498357</v>
      </c>
      <c r="I61" s="5">
        <v>0.048762457379621676</v>
      </c>
    </row>
    <row r="62">
      <c r="A62" s="5">
        <v>0.0457043679490888</v>
      </c>
      <c r="B62" s="5" t="s">
        <v>4495</v>
      </c>
      <c r="C62" s="5" t="s">
        <v>4495</v>
      </c>
      <c r="D62" s="5" t="str">
        <f>IFERROR(__xludf.DUMMYFUNCTION("""COMPUTED_VALUE"""),"")</f>
        <v/>
      </c>
      <c r="E62" s="5">
        <f>IFERROR(__xludf.DUMMYFUNCTION("""COMPUTED_VALUE"""),0.25886312191752414)</f>
        <v>0.2588631219</v>
      </c>
      <c r="F62" s="5" t="str">
        <f>IFERROR(__xludf.DUMMYFUNCTION("""COMPUTED_VALUE"""),"")</f>
        <v/>
      </c>
      <c r="G62" s="5">
        <f>IFERROR(__xludf.DUMMYFUNCTION("""COMPUTED_VALUE"""),1.0)</f>
        <v>1</v>
      </c>
      <c r="H62" s="5">
        <f>IFERROR(__xludf.DUMMYFUNCTION("""COMPUTED_VALUE"""),0.336288352872133)</f>
        <v>0.3362883529</v>
      </c>
      <c r="I62" s="5">
        <v>0.24834461576659433</v>
      </c>
    </row>
    <row r="63">
      <c r="A63" s="5">
        <v>0.06027083730688537</v>
      </c>
      <c r="B63" s="5" t="s">
        <v>4495</v>
      </c>
      <c r="C63" s="5" t="s">
        <v>4495</v>
      </c>
      <c r="D63" s="5" t="str">
        <f>IFERROR(__xludf.DUMMYFUNCTION("""COMPUTED_VALUE"""),"")</f>
        <v/>
      </c>
      <c r="E63" s="5">
        <f>IFERROR(__xludf.DUMMYFUNCTION("""COMPUTED_VALUE"""),0.6753342500415529)</f>
        <v>0.67533425</v>
      </c>
      <c r="F63" s="5" t="str">
        <f>IFERROR(__xludf.DUMMYFUNCTION("""COMPUTED_VALUE"""),"")</f>
        <v/>
      </c>
      <c r="G63" s="5">
        <f>IFERROR(__xludf.DUMMYFUNCTION("""COMPUTED_VALUE"""),1.0)</f>
        <v>1</v>
      </c>
      <c r="H63" s="5">
        <f>IFERROR(__xludf.DUMMYFUNCTION("""COMPUTED_VALUE"""),0.5597603386555386)</f>
        <v>0.5597603387</v>
      </c>
      <c r="I63" s="5">
        <v>0.3748095963759421</v>
      </c>
    </row>
    <row r="64">
      <c r="A64" s="5">
        <v>0.12866603595080417</v>
      </c>
      <c r="B64" s="5" t="s">
        <v>4495</v>
      </c>
      <c r="C64" s="5" t="s">
        <v>4495</v>
      </c>
      <c r="D64" s="5" t="str">
        <f>IFERROR(__xludf.DUMMYFUNCTION("""COMPUTED_VALUE"""),"")</f>
        <v/>
      </c>
      <c r="E64" s="5">
        <f>IFERROR(__xludf.DUMMYFUNCTION("""COMPUTED_VALUE"""),0.9662442714017269)</f>
        <v>0.9662442714</v>
      </c>
      <c r="F64" s="5" t="str">
        <f>IFERROR(__xludf.DUMMYFUNCTION("""COMPUTED_VALUE"""),"")</f>
        <v/>
      </c>
      <c r="G64" s="5">
        <f>IFERROR(__xludf.DUMMYFUNCTION("""COMPUTED_VALUE"""),1.0)</f>
        <v>1</v>
      </c>
      <c r="H64" s="5">
        <f>IFERROR(__xludf.DUMMYFUNCTION("""COMPUTED_VALUE"""),0.4071821038264457)</f>
        <v>0.4071821038</v>
      </c>
      <c r="I64" s="5">
        <v>0.43227927823307627</v>
      </c>
    </row>
    <row r="65">
      <c r="A65" s="5">
        <v>0.19244604316546762</v>
      </c>
      <c r="B65" s="5">
        <v>1.0</v>
      </c>
      <c r="C65" s="5" t="s">
        <v>4495</v>
      </c>
      <c r="D65" s="5" t="str">
        <f>IFERROR(__xludf.DUMMYFUNCTION("""COMPUTED_VALUE"""),"")</f>
        <v/>
      </c>
      <c r="E65" s="5">
        <f>IFERROR(__xludf.DUMMYFUNCTION("""COMPUTED_VALUE"""),0.7586645771823989)</f>
        <v>0.7586645772</v>
      </c>
      <c r="F65" s="5">
        <f>IFERROR(__xludf.DUMMYFUNCTION("""COMPUTED_VALUE"""),1.0)</f>
        <v>1</v>
      </c>
      <c r="G65" s="5">
        <f>IFERROR(__xludf.DUMMYFUNCTION("""COMPUTED_VALUE"""),1.0)</f>
        <v>1</v>
      </c>
      <c r="H65" s="5">
        <f>IFERROR(__xludf.DUMMYFUNCTION("""COMPUTED_VALUE"""),0.5342285193497109)</f>
        <v>0.5342285193</v>
      </c>
      <c r="I65" s="5">
        <v>0.5930889962305709</v>
      </c>
    </row>
    <row r="66">
      <c r="A66" s="5" t="s">
        <v>4495</v>
      </c>
      <c r="B66" s="5" t="s">
        <v>4495</v>
      </c>
      <c r="C66" s="5" t="s">
        <v>4495</v>
      </c>
      <c r="D66" s="5" t="str">
        <f>IFERROR(__xludf.DUMMYFUNCTION("""COMPUTED_VALUE"""),"")</f>
        <v/>
      </c>
      <c r="E66" s="5">
        <f>IFERROR(__xludf.DUMMYFUNCTION("""COMPUTED_VALUE"""),1.0)</f>
        <v>1</v>
      </c>
      <c r="F66" s="5" t="str">
        <f>IFERROR(__xludf.DUMMYFUNCTION("""COMPUTED_VALUE"""),"")</f>
        <v/>
      </c>
      <c r="G66" s="5" t="str">
        <f>IFERROR(__xludf.DUMMYFUNCTION("""COMPUTED_VALUE"""),"")</f>
        <v/>
      </c>
      <c r="H66" s="5">
        <f>IFERROR(__xludf.DUMMYFUNCTION("""COMPUTED_VALUE"""),0.8590437017151352)</f>
        <v>0.8590437017</v>
      </c>
      <c r="I66" s="5">
        <v>0.33590437017151353</v>
      </c>
    </row>
    <row r="67">
      <c r="A67" s="5">
        <v>0.16947648624667258</v>
      </c>
      <c r="B67" s="5">
        <v>0.0</v>
      </c>
      <c r="C67" s="5" t="s">
        <v>4495</v>
      </c>
      <c r="D67" s="5" t="str">
        <f>IFERROR(__xludf.DUMMYFUNCTION("""COMPUTED_VALUE"""),"")</f>
        <v/>
      </c>
      <c r="E67" s="5">
        <f>IFERROR(__xludf.DUMMYFUNCTION("""COMPUTED_VALUE"""),1.0)</f>
        <v>1</v>
      </c>
      <c r="F67" s="5">
        <f>IFERROR(__xludf.DUMMYFUNCTION("""COMPUTED_VALUE"""),1.0)</f>
        <v>1</v>
      </c>
      <c r="G67" s="5">
        <f>IFERROR(__xludf.DUMMYFUNCTION("""COMPUTED_VALUE"""),1.0)</f>
        <v>1</v>
      </c>
      <c r="H67" s="5">
        <f>IFERROR(__xludf.DUMMYFUNCTION("""COMPUTED_VALUE"""),0.5646860794664548)</f>
        <v>0.5646860795</v>
      </c>
      <c r="I67" s="5">
        <v>0.6564686079466454</v>
      </c>
    </row>
    <row r="68">
      <c r="A68" s="5">
        <v>0.060218978102189784</v>
      </c>
      <c r="B68" s="5" t="s">
        <v>4495</v>
      </c>
      <c r="C68" s="5" t="s">
        <v>4495</v>
      </c>
      <c r="D68" s="5" t="str">
        <f>IFERROR(__xludf.DUMMYFUNCTION("""COMPUTED_VALUE"""),"")</f>
        <v/>
      </c>
      <c r="E68" s="5">
        <f>IFERROR(__xludf.DUMMYFUNCTION("""COMPUTED_VALUE"""),0.6096957991638974)</f>
        <v>0.6096957992</v>
      </c>
      <c r="F68" s="5" t="str">
        <f>IFERROR(__xludf.DUMMYFUNCTION("""COMPUTED_VALUE"""),"")</f>
        <v/>
      </c>
      <c r="G68" s="5">
        <f>IFERROR(__xludf.DUMMYFUNCTION("""COMPUTED_VALUE"""),1.0)</f>
        <v>1</v>
      </c>
      <c r="H68" s="5">
        <f>IFERROR(__xludf.DUMMYFUNCTION("""COMPUTED_VALUE"""),0.5471878814913675)</f>
        <v>0.5471878815</v>
      </c>
      <c r="I68" s="5">
        <v>0.3571427379401111</v>
      </c>
    </row>
    <row r="69">
      <c r="A69" s="5">
        <v>0.15954118873826903</v>
      </c>
      <c r="B69" s="5" t="s">
        <v>4495</v>
      </c>
      <c r="C69" s="5" t="s">
        <v>4495</v>
      </c>
      <c r="D69" s="5" t="str">
        <f>IFERROR(__xludf.DUMMYFUNCTION("""COMPUTED_VALUE"""),"")</f>
        <v/>
      </c>
      <c r="E69" s="5">
        <f>IFERROR(__xludf.DUMMYFUNCTION("""COMPUTED_VALUE"""),0.8653797340426068)</f>
        <v>0.865379734</v>
      </c>
      <c r="F69" s="5" t="str">
        <f>IFERROR(__xludf.DUMMYFUNCTION("""COMPUTED_VALUE"""),"")</f>
        <v/>
      </c>
      <c r="G69" s="5">
        <f>IFERROR(__xludf.DUMMYFUNCTION("""COMPUTED_VALUE"""),1.0)</f>
        <v>1</v>
      </c>
      <c r="H69" s="5">
        <f>IFERROR(__xludf.DUMMYFUNCTION("""COMPUTED_VALUE"""),0.873402343753667)</f>
        <v>0.8734023438</v>
      </c>
      <c r="I69" s="5">
        <v>0.45368516788601837</v>
      </c>
    </row>
    <row r="70">
      <c r="A70" s="5">
        <v>0.061068702290076333</v>
      </c>
      <c r="B70" s="5" t="s">
        <v>4495</v>
      </c>
      <c r="C70" s="5" t="s">
        <v>4495</v>
      </c>
      <c r="D70" s="5" t="str">
        <f>IFERROR(__xludf.DUMMYFUNCTION("""COMPUTED_VALUE"""),"")</f>
        <v/>
      </c>
      <c r="E70" s="5">
        <f>IFERROR(__xludf.DUMMYFUNCTION("""COMPUTED_VALUE"""),0.0)</f>
        <v>0</v>
      </c>
      <c r="F70" s="5" t="str">
        <f>IFERROR(__xludf.DUMMYFUNCTION("""COMPUTED_VALUE"""),"")</f>
        <v/>
      </c>
      <c r="G70" s="5">
        <f>IFERROR(__xludf.DUMMYFUNCTION("""COMPUTED_VALUE"""),1.0)</f>
        <v>1</v>
      </c>
      <c r="H70" s="5">
        <f>IFERROR(__xludf.DUMMYFUNCTION("""COMPUTED_VALUE"""),0.485446409123802)</f>
        <v>0.4854464091</v>
      </c>
      <c r="I70" s="5">
        <v>0.1985446409123802</v>
      </c>
    </row>
    <row r="71">
      <c r="A71" s="5">
        <v>0.10730743910467412</v>
      </c>
      <c r="B71" s="5">
        <v>0.0</v>
      </c>
      <c r="C71" s="5" t="s">
        <v>4495</v>
      </c>
      <c r="D71" s="5" t="str">
        <f>IFERROR(__xludf.DUMMYFUNCTION("""COMPUTED_VALUE"""),"")</f>
        <v/>
      </c>
      <c r="E71" s="5">
        <f>IFERROR(__xludf.DUMMYFUNCTION("""COMPUTED_VALUE"""),0.9204907495688482)</f>
        <v>0.9204907496</v>
      </c>
      <c r="F71" s="5">
        <f>IFERROR(__xludf.DUMMYFUNCTION("""COMPUTED_VALUE"""),1.0)</f>
        <v>1</v>
      </c>
      <c r="G71" s="5">
        <f>IFERROR(__xludf.DUMMYFUNCTION("""COMPUTED_VALUE"""),1.0)</f>
        <v>1</v>
      </c>
      <c r="H71" s="5">
        <f>IFERROR(__xludf.DUMMYFUNCTION("""COMPUTED_VALUE"""),0.6010243994745663)</f>
        <v>0.6010243995</v>
      </c>
      <c r="I71" s="5">
        <v>0.6402251273396687</v>
      </c>
    </row>
    <row r="72">
      <c r="A72" s="5">
        <v>0.041465766634522665</v>
      </c>
      <c r="B72" s="5">
        <v>0.0</v>
      </c>
      <c r="C72" s="5" t="s">
        <v>4495</v>
      </c>
      <c r="D72" s="5" t="str">
        <f>IFERROR(__xludf.DUMMYFUNCTION("""COMPUTED_VALUE"""),"")</f>
        <v/>
      </c>
      <c r="E72" s="5">
        <f>IFERROR(__xludf.DUMMYFUNCTION("""COMPUTED_VALUE"""),1.0)</f>
        <v>1</v>
      </c>
      <c r="F72" s="5">
        <f>IFERROR(__xludf.DUMMYFUNCTION("""COMPUTED_VALUE"""),1.0)</f>
        <v>1</v>
      </c>
      <c r="G72" s="5">
        <f>IFERROR(__xludf.DUMMYFUNCTION("""COMPUTED_VALUE"""),1.0)</f>
        <v>1</v>
      </c>
      <c r="H72" s="5">
        <f>IFERROR(__xludf.DUMMYFUNCTION("""COMPUTED_VALUE"""),0.5342285193497109)</f>
        <v>0.5342285193</v>
      </c>
      <c r="I72" s="5">
        <v>0.6534228519349711</v>
      </c>
    </row>
    <row r="73">
      <c r="A73" s="5">
        <v>0.05989260636100785</v>
      </c>
      <c r="B73" s="5">
        <v>1.0</v>
      </c>
      <c r="C73" s="5" t="s">
        <v>4495</v>
      </c>
      <c r="D73" s="5" t="str">
        <f>IFERROR(__xludf.DUMMYFUNCTION("""COMPUTED_VALUE"""),"")</f>
        <v/>
      </c>
      <c r="E73" s="5">
        <f>IFERROR(__xludf.DUMMYFUNCTION("""COMPUTED_VALUE"""),0.6753342500415529)</f>
        <v>0.67533425</v>
      </c>
      <c r="F73" s="5">
        <f>IFERROR(__xludf.DUMMYFUNCTION("""COMPUTED_VALUE"""),1.0)</f>
        <v>1</v>
      </c>
      <c r="G73" s="5">
        <f>IFERROR(__xludf.DUMMYFUNCTION("""COMPUTED_VALUE"""),1.0)</f>
        <v>1</v>
      </c>
      <c r="H73" s="5">
        <f>IFERROR(__xludf.DUMMYFUNCTION("""COMPUTED_VALUE"""),0.7288655627113247)</f>
        <v>0.7288655627</v>
      </c>
      <c r="I73" s="5">
        <v>0.5917201187815208</v>
      </c>
    </row>
    <row r="74">
      <c r="A74" s="5">
        <v>0.15520282186948853</v>
      </c>
      <c r="B74" s="5">
        <v>1.0</v>
      </c>
      <c r="C74" s="5" t="s">
        <v>4495</v>
      </c>
      <c r="D74" s="5" t="str">
        <f>IFERROR(__xludf.DUMMYFUNCTION("""COMPUTED_VALUE"""),"")</f>
        <v/>
      </c>
      <c r="E74" s="5">
        <f>IFERROR(__xludf.DUMMYFUNCTION("""COMPUTED_VALUE"""),0.7342340212618556)</f>
        <v>0.7342340213</v>
      </c>
      <c r="F74" s="5">
        <f>IFERROR(__xludf.DUMMYFUNCTION("""COMPUTED_VALUE"""),1.0)</f>
        <v>1</v>
      </c>
      <c r="G74" s="5">
        <f>IFERROR(__xludf.DUMMYFUNCTION("""COMPUTED_VALUE"""),1.0)</f>
        <v>1</v>
      </c>
      <c r="H74" s="5">
        <f>IFERROR(__xludf.DUMMYFUNCTION("""COMPUTED_VALUE"""),0.5289310150557403)</f>
        <v>0.5289310151</v>
      </c>
      <c r="I74" s="5">
        <v>0.5864516068210379</v>
      </c>
    </row>
    <row r="75">
      <c r="A75" s="5">
        <v>0.035543608124253286</v>
      </c>
      <c r="B75" s="5" t="s">
        <v>4495</v>
      </c>
      <c r="C75" s="5" t="s">
        <v>4495</v>
      </c>
      <c r="D75" s="5" t="str">
        <f>IFERROR(__xludf.DUMMYFUNCTION("""COMPUTED_VALUE"""),"")</f>
        <v/>
      </c>
      <c r="E75" s="5">
        <f>IFERROR(__xludf.DUMMYFUNCTION("""COMPUTED_VALUE"""),0.3867110571043727)</f>
        <v>0.3867110571</v>
      </c>
      <c r="F75" s="5" t="str">
        <f>IFERROR(__xludf.DUMMYFUNCTION("""COMPUTED_VALUE"""),"")</f>
        <v/>
      </c>
      <c r="G75" s="5">
        <f>IFERROR(__xludf.DUMMYFUNCTION("""COMPUTED_VALUE"""),1.0)</f>
        <v>1</v>
      </c>
      <c r="H75" s="5">
        <f>IFERROR(__xludf.DUMMYFUNCTION("""COMPUTED_VALUE"""),0.0)</f>
        <v>0</v>
      </c>
      <c r="I75" s="5">
        <v>0.24667776427609317</v>
      </c>
    </row>
    <row r="76">
      <c r="A76" s="5">
        <v>0.15443335290663535</v>
      </c>
      <c r="B76" s="5">
        <v>0.0</v>
      </c>
      <c r="C76" s="5" t="s">
        <v>4495</v>
      </c>
      <c r="D76" s="5" t="str">
        <f>IFERROR(__xludf.DUMMYFUNCTION("""COMPUTED_VALUE"""),"")</f>
        <v/>
      </c>
      <c r="E76" s="5">
        <f>IFERROR(__xludf.DUMMYFUNCTION("""COMPUTED_VALUE"""),0.928889022542185)</f>
        <v>0.9288890225</v>
      </c>
      <c r="F76" s="5">
        <f>IFERROR(__xludf.DUMMYFUNCTION("""COMPUTED_VALUE"""),1.0)</f>
        <v>1</v>
      </c>
      <c r="G76" s="5">
        <f>IFERROR(__xludf.DUMMYFUNCTION("""COMPUTED_VALUE"""),1.0)</f>
        <v>1</v>
      </c>
      <c r="H76" s="5">
        <f>IFERROR(__xludf.DUMMYFUNCTION("""COMPUTED_VALUE"""),0.6961219834498718)</f>
        <v>0.6961219834</v>
      </c>
      <c r="I76" s="5">
        <v>0.6518344539805335</v>
      </c>
    </row>
    <row r="77">
      <c r="A77" s="5">
        <v>0.1625</v>
      </c>
      <c r="B77" s="5">
        <v>1.0</v>
      </c>
      <c r="C77" s="5" t="s">
        <v>4495</v>
      </c>
      <c r="D77" s="5" t="str">
        <f>IFERROR(__xludf.DUMMYFUNCTION("""COMPUTED_VALUE"""),"")</f>
        <v/>
      </c>
      <c r="E77" s="5">
        <f>IFERROR(__xludf.DUMMYFUNCTION("""COMPUTED_VALUE"""),0.7518563800998207)</f>
        <v>0.7518563801</v>
      </c>
      <c r="F77" s="5">
        <f>IFERROR(__xludf.DUMMYFUNCTION("""COMPUTED_VALUE"""),1.0)</f>
        <v>1</v>
      </c>
      <c r="G77" s="5">
        <f>IFERROR(__xludf.DUMMYFUNCTION("""COMPUTED_VALUE"""),1.0)</f>
        <v>1</v>
      </c>
      <c r="H77" s="5">
        <f>IFERROR(__xludf.DUMMYFUNCTION("""COMPUTED_VALUE"""),0.6400685952060838)</f>
        <v>0.6400685952</v>
      </c>
      <c r="I77" s="5">
        <v>0.6019709545455636</v>
      </c>
    </row>
    <row r="78">
      <c r="A78" s="5">
        <v>0.05633147113594041</v>
      </c>
      <c r="B78" s="5" t="s">
        <v>4495</v>
      </c>
      <c r="C78" s="5" t="s">
        <v>4495</v>
      </c>
      <c r="D78" s="5" t="str">
        <f>IFERROR(__xludf.DUMMYFUNCTION("""COMPUTED_VALUE"""),"")</f>
        <v/>
      </c>
      <c r="E78" s="5">
        <f>IFERROR(__xludf.DUMMYFUNCTION("""COMPUTED_VALUE"""),1.0)</f>
        <v>1</v>
      </c>
      <c r="F78" s="5" t="str">
        <f>IFERROR(__xludf.DUMMYFUNCTION("""COMPUTED_VALUE"""),"")</f>
        <v/>
      </c>
      <c r="G78" s="5">
        <f>IFERROR(__xludf.DUMMYFUNCTION("""COMPUTED_VALUE"""),1.0)</f>
        <v>1</v>
      </c>
      <c r="H78" s="5">
        <f>IFERROR(__xludf.DUMMYFUNCTION("""COMPUTED_VALUE"""),0.37642785751330293)</f>
        <v>0.3764278575</v>
      </c>
      <c r="I78" s="5">
        <v>0.4376427857513303</v>
      </c>
    </row>
    <row r="79">
      <c r="A79" s="5">
        <v>0.0640636846095527</v>
      </c>
      <c r="B79" s="5" t="s">
        <v>4495</v>
      </c>
      <c r="C79" s="5" t="s">
        <v>4495</v>
      </c>
      <c r="D79" s="5" t="str">
        <f>IFERROR(__xludf.DUMMYFUNCTION("""COMPUTED_VALUE"""),"")</f>
        <v/>
      </c>
      <c r="E79" s="5">
        <f>IFERROR(__xludf.DUMMYFUNCTION("""COMPUTED_VALUE"""),0.7449133585076116)</f>
        <v>0.7449133585</v>
      </c>
      <c r="F79" s="5" t="str">
        <f>IFERROR(__xludf.DUMMYFUNCTION("""COMPUTED_VALUE"""),"")</f>
        <v/>
      </c>
      <c r="G79" s="5">
        <f>IFERROR(__xludf.DUMMYFUNCTION("""COMPUTED_VALUE"""),1.0)</f>
        <v>1</v>
      </c>
      <c r="H79" s="5">
        <f>IFERROR(__xludf.DUMMYFUNCTION("""COMPUTED_VALUE"""),0.6175420474412181)</f>
        <v>0.6175420474</v>
      </c>
      <c r="I79" s="5">
        <v>0.3979825443710247</v>
      </c>
    </row>
    <row r="80">
      <c r="A80" s="5">
        <v>0.015368023726071718</v>
      </c>
      <c r="B80" s="5" t="s">
        <v>4495</v>
      </c>
      <c r="C80" s="5" t="s">
        <v>4495</v>
      </c>
      <c r="D80" s="5" t="str">
        <f>IFERROR(__xludf.DUMMYFUNCTION("""COMPUTED_VALUE"""),"")</f>
        <v/>
      </c>
      <c r="E80" s="5">
        <f>IFERROR(__xludf.DUMMYFUNCTION("""COMPUTED_VALUE"""),0.0)</f>
        <v>0</v>
      </c>
      <c r="F80" s="5" t="str">
        <f>IFERROR(__xludf.DUMMYFUNCTION("""COMPUTED_VALUE"""),"")</f>
        <v/>
      </c>
      <c r="G80" s="5">
        <f>IFERROR(__xludf.DUMMYFUNCTION("""COMPUTED_VALUE"""),1.0)</f>
        <v>1</v>
      </c>
      <c r="H80" s="5">
        <f>IFERROR(__xludf.DUMMYFUNCTION("""COMPUTED_VALUE"""),0.5719683249718881)</f>
        <v>0.571968325</v>
      </c>
      <c r="I80" s="5">
        <v>0.20719683249718882</v>
      </c>
    </row>
    <row r="81">
      <c r="A81" s="5" t="s">
        <v>4495</v>
      </c>
      <c r="B81" s="5" t="s">
        <v>4495</v>
      </c>
      <c r="C81" s="5" t="s">
        <v>4495</v>
      </c>
      <c r="D81" s="5" t="str">
        <f>IFERROR(__xludf.DUMMYFUNCTION("""COMPUTED_VALUE"""),"")</f>
        <v/>
      </c>
      <c r="E81" s="5">
        <f>IFERROR(__xludf.DUMMYFUNCTION("""COMPUTED_VALUE"""),0.937090826553437)</f>
        <v>0.9370908266</v>
      </c>
      <c r="F81" s="5" t="str">
        <f>IFERROR(__xludf.DUMMYFUNCTION("""COMPUTED_VALUE"""),"")</f>
        <v/>
      </c>
      <c r="G81" s="5" t="str">
        <f>IFERROR(__xludf.DUMMYFUNCTION("""COMPUTED_VALUE"""),"")</f>
        <v/>
      </c>
      <c r="H81" s="5">
        <f>IFERROR(__xludf.DUMMYFUNCTION("""COMPUTED_VALUE"""),0.5597603386555386)</f>
        <v>0.5597603387</v>
      </c>
      <c r="I81" s="5">
        <v>0.29024874050391314</v>
      </c>
    </row>
    <row r="82">
      <c r="A82" s="5">
        <v>0.4267379679144385</v>
      </c>
      <c r="B82" s="5">
        <v>0.0</v>
      </c>
      <c r="C82" s="5" t="s">
        <v>4495</v>
      </c>
      <c r="D82" s="5" t="str">
        <f>IFERROR(__xludf.DUMMYFUNCTION("""COMPUTED_VALUE"""),"")</f>
        <v/>
      </c>
      <c r="E82" s="5">
        <f>IFERROR(__xludf.DUMMYFUNCTION("""COMPUTED_VALUE"""),0.9162149510524765)</f>
        <v>0.9162149511</v>
      </c>
      <c r="F82" s="5">
        <f>IFERROR(__xludf.DUMMYFUNCTION("""COMPUTED_VALUE"""),1.0)</f>
        <v>1</v>
      </c>
      <c r="G82" s="5">
        <f>IFERROR(__xludf.DUMMYFUNCTION("""COMPUTED_VALUE"""),1.0)</f>
        <v>1</v>
      </c>
      <c r="H82" s="5">
        <f>IFERROR(__xludf.DUMMYFUNCTION("""COMPUTED_VALUE"""),0.2094791359123752)</f>
        <v>0.2094791359</v>
      </c>
      <c r="I82" s="5">
        <v>0.6000016513543567</v>
      </c>
    </row>
    <row r="83">
      <c r="A83" s="5">
        <v>0.1099236641221374</v>
      </c>
      <c r="B83" s="5">
        <v>0.0</v>
      </c>
      <c r="C83" s="5" t="s">
        <v>4495</v>
      </c>
      <c r="D83" s="5" t="str">
        <f>IFERROR(__xludf.DUMMYFUNCTION("""COMPUTED_VALUE"""),"")</f>
        <v/>
      </c>
      <c r="E83" s="5">
        <f>IFERROR(__xludf.DUMMYFUNCTION("""COMPUTED_VALUE"""),0.9330139069776836)</f>
        <v>0.933013907</v>
      </c>
      <c r="F83" s="5">
        <f>IFERROR(__xludf.DUMMYFUNCTION("""COMPUTED_VALUE"""),1.0)</f>
        <v>1</v>
      </c>
      <c r="G83" s="5">
        <f>IFERROR(__xludf.DUMMYFUNCTION("""COMPUTED_VALUE"""),1.0)</f>
        <v>1</v>
      </c>
      <c r="H83" s="5">
        <f>IFERROR(__xludf.DUMMYFUNCTION("""COMPUTED_VALUE"""),0.7969543185154138)</f>
        <v>0.7969543185</v>
      </c>
      <c r="I83" s="5">
        <v>0.6629489085959623</v>
      </c>
    </row>
    <row r="84">
      <c r="A84" s="5">
        <v>0.0609801720912832</v>
      </c>
      <c r="B84" s="5" t="s">
        <v>4495</v>
      </c>
      <c r="C84" s="5" t="s">
        <v>4495</v>
      </c>
      <c r="D84" s="5" t="str">
        <f>IFERROR(__xludf.DUMMYFUNCTION("""COMPUTED_VALUE"""),"")</f>
        <v/>
      </c>
      <c r="E84" s="5">
        <f>IFERROR(__xludf.DUMMYFUNCTION("""COMPUTED_VALUE"""),0.6393425607818837)</f>
        <v>0.6393425608</v>
      </c>
      <c r="F84" s="5" t="str">
        <f>IFERROR(__xludf.DUMMYFUNCTION("""COMPUTED_VALUE"""),"")</f>
        <v/>
      </c>
      <c r="G84" s="5">
        <f>IFERROR(__xludf.DUMMYFUNCTION("""COMPUTED_VALUE"""),1.0)</f>
        <v>1</v>
      </c>
      <c r="H84" s="5">
        <f>IFERROR(__xludf.DUMMYFUNCTION("""COMPUTED_VALUE"""),0.6990982929283924)</f>
        <v>0.6990982929</v>
      </c>
      <c r="I84" s="5">
        <v>0.37974546948831017</v>
      </c>
    </row>
    <row r="85">
      <c r="A85" s="5">
        <v>0.041904387172929373</v>
      </c>
      <c r="B85" s="5" t="s">
        <v>4495</v>
      </c>
      <c r="C85" s="5" t="s">
        <v>4495</v>
      </c>
      <c r="D85" s="5" t="str">
        <f>IFERROR(__xludf.DUMMYFUNCTION("""COMPUTED_VALUE"""),"")</f>
        <v/>
      </c>
      <c r="E85" s="5">
        <f>IFERROR(__xludf.DUMMYFUNCTION("""COMPUTED_VALUE"""),0.77189675633534)</f>
        <v>0.7718967563</v>
      </c>
      <c r="F85" s="5" t="str">
        <f>IFERROR(__xludf.DUMMYFUNCTION("""COMPUTED_VALUE"""),"")</f>
        <v/>
      </c>
      <c r="G85" s="5">
        <f>IFERROR(__xludf.DUMMYFUNCTION("""COMPUTED_VALUE"""),1.0)</f>
        <v>1</v>
      </c>
      <c r="H85" s="5">
        <f>IFERROR(__xludf.DUMMYFUNCTION("""COMPUTED_VALUE"""),0.7597599030674651)</f>
        <v>0.7597599031</v>
      </c>
      <c r="I85" s="5">
        <v>0.41895017939058155</v>
      </c>
    </row>
    <row r="86">
      <c r="A86" s="5">
        <v>0.020123839009287926</v>
      </c>
      <c r="B86" s="5">
        <v>1.0</v>
      </c>
      <c r="C86" s="5" t="s">
        <v>4495</v>
      </c>
      <c r="D86" s="5" t="str">
        <f>IFERROR(__xludf.DUMMYFUNCTION("""COMPUTED_VALUE"""),"")</f>
        <v/>
      </c>
      <c r="E86" s="5">
        <f>IFERROR(__xludf.DUMMYFUNCTION("""COMPUTED_VALUE"""),0.3227870895109485)</f>
        <v>0.3227870895</v>
      </c>
      <c r="F86" s="5">
        <f>IFERROR(__xludf.DUMMYFUNCTION("""COMPUTED_VALUE"""),1.0)</f>
        <v>1</v>
      </c>
      <c r="G86" s="5">
        <f>IFERROR(__xludf.DUMMYFUNCTION("""COMPUTED_VALUE"""),1.0)</f>
        <v>1</v>
      </c>
      <c r="H86" s="5">
        <f>IFERROR(__xludf.DUMMYFUNCTION("""COMPUTED_VALUE"""),0.648752326325584)</f>
        <v>0.6487523263</v>
      </c>
      <c r="I86" s="5">
        <v>0.4955720050102956</v>
      </c>
    </row>
    <row r="87">
      <c r="A87" s="5">
        <v>0.03546099290780142</v>
      </c>
      <c r="B87" s="5">
        <v>0.0</v>
      </c>
      <c r="C87" s="5" t="s">
        <v>4495</v>
      </c>
      <c r="D87" s="5" t="str">
        <f>IFERROR(__xludf.DUMMYFUNCTION("""COMPUTED_VALUE"""),"")</f>
        <v/>
      </c>
      <c r="E87" s="5">
        <f>IFERROR(__xludf.DUMMYFUNCTION("""COMPUTED_VALUE"""),0.31090082806830316)</f>
        <v>0.3109008281</v>
      </c>
      <c r="F87" s="5">
        <f>IFERROR(__xludf.DUMMYFUNCTION("""COMPUTED_VALUE"""),1.0)</f>
        <v>1</v>
      </c>
      <c r="G87" s="5">
        <f>IFERROR(__xludf.DUMMYFUNCTION("""COMPUTED_VALUE"""),1.0)</f>
        <v>1</v>
      </c>
      <c r="H87" s="5">
        <f>IFERROR(__xludf.DUMMYFUNCTION("""COMPUTED_VALUE"""),0.8678764495390385)</f>
        <v>0.8678764495</v>
      </c>
      <c r="I87" s="5">
        <v>0.5145128519709797</v>
      </c>
    </row>
    <row r="88">
      <c r="A88" s="5">
        <v>0.1493437389145087</v>
      </c>
      <c r="B88" s="5" t="s">
        <v>4495</v>
      </c>
      <c r="C88" s="5" t="s">
        <v>4495</v>
      </c>
      <c r="D88" s="5" t="str">
        <f>IFERROR(__xludf.DUMMYFUNCTION("""COMPUTED_VALUE"""),"")</f>
        <v/>
      </c>
      <c r="E88" s="5">
        <f>IFERROR(__xludf.DUMMYFUNCTION("""COMPUTED_VALUE"""),0.5884401318226129)</f>
        <v>0.5884401318</v>
      </c>
      <c r="F88" s="5" t="str">
        <f>IFERROR(__xludf.DUMMYFUNCTION("""COMPUTED_VALUE"""),"")</f>
        <v/>
      </c>
      <c r="G88" s="5">
        <f>IFERROR(__xludf.DUMMYFUNCTION("""COMPUTED_VALUE"""),1.0)</f>
        <v>1</v>
      </c>
      <c r="H88" s="5">
        <f>IFERROR(__xludf.DUMMYFUNCTION("""COMPUTED_VALUE"""),0.8454372130709235)</f>
        <v>0.8454372131</v>
      </c>
      <c r="I88" s="5">
        <v>0.38165375426274556</v>
      </c>
    </row>
    <row r="89">
      <c r="A89" s="5">
        <v>0.053166897827092004</v>
      </c>
      <c r="B89" s="5">
        <v>0.0</v>
      </c>
      <c r="C89" s="5" t="s">
        <v>4495</v>
      </c>
      <c r="D89" s="5" t="str">
        <f>IFERROR(__xludf.DUMMYFUNCTION("""COMPUTED_VALUE"""),"")</f>
        <v/>
      </c>
      <c r="E89" s="5">
        <f>IFERROR(__xludf.DUMMYFUNCTION("""COMPUTED_VALUE"""),0.7342340212618556)</f>
        <v>0.7342340213</v>
      </c>
      <c r="F89" s="5">
        <f>IFERROR(__xludf.DUMMYFUNCTION("""COMPUTED_VALUE"""),1.0)</f>
        <v>1</v>
      </c>
      <c r="G89" s="5">
        <f>IFERROR(__xludf.DUMMYFUNCTION("""COMPUTED_VALUE"""),1.0)</f>
        <v>1</v>
      </c>
      <c r="H89" s="5">
        <f>IFERROR(__xludf.DUMMYFUNCTION("""COMPUTED_VALUE"""),0.6175420474412181)</f>
        <v>0.6175420474</v>
      </c>
      <c r="I89" s="5">
        <v>0.5953127100595857</v>
      </c>
    </row>
    <row r="90">
      <c r="A90" s="5">
        <v>0.11078199052132702</v>
      </c>
      <c r="B90" s="5">
        <v>0.0</v>
      </c>
      <c r="C90" s="5" t="s">
        <v>4495</v>
      </c>
      <c r="D90" s="5" t="str">
        <f>IFERROR(__xludf.DUMMYFUNCTION("""COMPUTED_VALUE"""),"")</f>
        <v/>
      </c>
      <c r="E90" s="5">
        <f>IFERROR(__xludf.DUMMYFUNCTION("""COMPUTED_VALUE"""),0.8775973859947773)</f>
        <v>0.877597386</v>
      </c>
      <c r="F90" s="5">
        <f>IFERROR(__xludf.DUMMYFUNCTION("""COMPUTED_VALUE"""),1.0)</f>
        <v>1</v>
      </c>
      <c r="G90" s="5">
        <f>IFERROR(__xludf.DUMMYFUNCTION("""COMPUTED_VALUE"""),1.0)</f>
        <v>1</v>
      </c>
      <c r="H90" s="5">
        <f>IFERROR(__xludf.DUMMYFUNCTION("""COMPUTED_VALUE"""),0.8985187633496309)</f>
        <v>0.8985187633</v>
      </c>
      <c r="I90" s="5">
        <v>0.6592512228336574</v>
      </c>
    </row>
    <row r="91">
      <c r="A91" s="5" t="s">
        <v>4495</v>
      </c>
      <c r="B91" s="5" t="s">
        <v>4495</v>
      </c>
      <c r="C91" s="5" t="s">
        <v>4495</v>
      </c>
      <c r="D91" s="5" t="str">
        <f>IFERROR(__xludf.DUMMYFUNCTION("""COMPUTED_VALUE"""),"")</f>
        <v/>
      </c>
      <c r="E91" s="5">
        <f>IFERROR(__xludf.DUMMYFUNCTION("""COMPUTED_VALUE"""),0.8628842706042471)</f>
        <v>0.8628842706</v>
      </c>
      <c r="F91" s="5" t="str">
        <f>IFERROR(__xludf.DUMMYFUNCTION("""COMPUTED_VALUE"""),"")</f>
        <v/>
      </c>
      <c r="G91" s="5" t="str">
        <f>IFERROR(__xludf.DUMMYFUNCTION("""COMPUTED_VALUE"""),"")</f>
        <v/>
      </c>
      <c r="H91" s="5">
        <f>IFERROR(__xludf.DUMMYFUNCTION("""COMPUTED_VALUE"""),0.7427283489499527)</f>
        <v>0.7427283489</v>
      </c>
      <c r="I91" s="5">
        <v>0.28999390254605706</v>
      </c>
    </row>
    <row r="92">
      <c r="A92" s="5">
        <v>0.07306459001374256</v>
      </c>
      <c r="B92" s="5" t="s">
        <v>4495</v>
      </c>
      <c r="C92" s="5" t="s">
        <v>4495</v>
      </c>
      <c r="D92" s="5" t="str">
        <f>IFERROR(__xludf.DUMMYFUNCTION("""COMPUTED_VALUE"""),"")</f>
        <v/>
      </c>
      <c r="E92" s="5">
        <f>IFERROR(__xludf.DUMMYFUNCTION("""COMPUTED_VALUE"""),0.6198591523092037)</f>
        <v>0.6198591523</v>
      </c>
      <c r="F92" s="5" t="str">
        <f>IFERROR(__xludf.DUMMYFUNCTION("""COMPUTED_VALUE"""),"")</f>
        <v/>
      </c>
      <c r="G92" s="5">
        <f>IFERROR(__xludf.DUMMYFUNCTION("""COMPUTED_VALUE"""),1.0)</f>
        <v>1</v>
      </c>
      <c r="H92" s="5">
        <f>IFERROR(__xludf.DUMMYFUNCTION("""COMPUTED_VALUE"""),0.16552832889406768)</f>
        <v>0.1655283289</v>
      </c>
      <c r="I92" s="5">
        <v>0.3215176209667077</v>
      </c>
    </row>
    <row r="93">
      <c r="A93" s="5" t="s">
        <v>4495</v>
      </c>
      <c r="B93" s="5" t="s">
        <v>4495</v>
      </c>
      <c r="C93" s="5" t="s">
        <v>4495</v>
      </c>
      <c r="D93" s="5" t="str">
        <f>IFERROR(__xludf.DUMMYFUNCTION("""COMPUTED_VALUE"""),"")</f>
        <v/>
      </c>
      <c r="E93" s="5">
        <f>IFERROR(__xludf.DUMMYFUNCTION("""COMPUTED_VALUE"""),0.4570684369953818)</f>
        <v>0.457068437</v>
      </c>
      <c r="F93" s="5" t="str">
        <f>IFERROR(__xludf.DUMMYFUNCTION("""COMPUTED_VALUE"""),"")</f>
        <v/>
      </c>
      <c r="G93" s="5" t="str">
        <f>IFERROR(__xludf.DUMMYFUNCTION("""COMPUTED_VALUE"""),"")</f>
        <v/>
      </c>
      <c r="H93" s="5">
        <f>IFERROR(__xludf.DUMMYFUNCTION("""COMPUTED_VALUE"""),0.4188813571978567)</f>
        <v>0.4188813572</v>
      </c>
      <c r="I93" s="5">
        <v>0.15615524496863112</v>
      </c>
    </row>
    <row r="94">
      <c r="A94" s="5">
        <v>0.08123393316195372</v>
      </c>
      <c r="B94" s="5">
        <v>0.0</v>
      </c>
      <c r="C94" s="5" t="s">
        <v>4495</v>
      </c>
      <c r="D94" s="5" t="str">
        <f>IFERROR(__xludf.DUMMYFUNCTION("""COMPUTED_VALUE"""),"")</f>
        <v/>
      </c>
      <c r="E94" s="5">
        <f>IFERROR(__xludf.DUMMYFUNCTION("""COMPUTED_VALUE"""),0.9411208839467466)</f>
        <v>0.9411208839</v>
      </c>
      <c r="F94" s="5">
        <f>IFERROR(__xludf.DUMMYFUNCTION("""COMPUTED_VALUE"""),1.0)</f>
        <v>1</v>
      </c>
      <c r="G94" s="5">
        <f>IFERROR(__xludf.DUMMYFUNCTION("""COMPUTED_VALUE"""),1.0)</f>
        <v>1</v>
      </c>
      <c r="H94" s="5">
        <f>IFERROR(__xludf.DUMMYFUNCTION("""COMPUTED_VALUE"""),0.5526220993195275)</f>
        <v>0.5526220993</v>
      </c>
      <c r="I94" s="5">
        <v>0.6405424309186394</v>
      </c>
    </row>
    <row r="95">
      <c r="A95" s="5">
        <v>0.039549741405536964</v>
      </c>
      <c r="B95" s="5" t="s">
        <v>4495</v>
      </c>
      <c r="C95" s="5" t="s">
        <v>4495</v>
      </c>
      <c r="D95" s="5" t="str">
        <f>IFERROR(__xludf.DUMMYFUNCTION("""COMPUTED_VALUE"""),"")</f>
        <v/>
      </c>
      <c r="E95" s="5">
        <f>IFERROR(__xludf.DUMMYFUNCTION("""COMPUTED_VALUE"""),0.8963010807295607)</f>
        <v>0.8963010807</v>
      </c>
      <c r="F95" s="5" t="str">
        <f>IFERROR(__xludf.DUMMYFUNCTION("""COMPUTED_VALUE"""),"")</f>
        <v/>
      </c>
      <c r="G95" s="5">
        <f>IFERROR(__xludf.DUMMYFUNCTION("""COMPUTED_VALUE"""),1.0)</f>
        <v>1</v>
      </c>
      <c r="H95" s="5">
        <f>IFERROR(__xludf.DUMMYFUNCTION("""COMPUTED_VALUE"""),0.7788377172062704)</f>
        <v>0.7788377172</v>
      </c>
      <c r="I95" s="5">
        <v>0.4519590419030172</v>
      </c>
    </row>
    <row r="96">
      <c r="A96" s="5" t="s">
        <v>4495</v>
      </c>
      <c r="B96" s="5" t="s">
        <v>4495</v>
      </c>
      <c r="C96" s="5" t="s">
        <v>4495</v>
      </c>
      <c r="D96" s="5" t="str">
        <f>IFERROR(__xludf.DUMMYFUNCTION("""COMPUTED_VALUE"""),"")</f>
        <v/>
      </c>
      <c r="E96" s="5">
        <f>IFERROR(__xludf.DUMMYFUNCTION("""COMPUTED_VALUE"""),0.5829185825435077)</f>
        <v>0.5829185825</v>
      </c>
      <c r="F96" s="5" t="str">
        <f>IFERROR(__xludf.DUMMYFUNCTION("""COMPUTED_VALUE"""),"")</f>
        <v/>
      </c>
      <c r="G96" s="5" t="str">
        <f>IFERROR(__xludf.DUMMYFUNCTION("""COMPUTED_VALUE"""),"")</f>
        <v/>
      </c>
      <c r="H96" s="5">
        <f>IFERROR(__xludf.DUMMYFUNCTION("""COMPUTED_VALUE"""),0.37642785751330293)</f>
        <v>0.3764278575</v>
      </c>
      <c r="I96" s="5">
        <v>0.1833724313872072</v>
      </c>
    </row>
    <row r="97">
      <c r="A97" s="5">
        <v>0.027699265121537593</v>
      </c>
      <c r="B97" s="5" t="s">
        <v>4495</v>
      </c>
      <c r="C97" s="5" t="s">
        <v>4495</v>
      </c>
      <c r="D97" s="5" t="str">
        <f>IFERROR(__xludf.DUMMYFUNCTION("""COMPUTED_VALUE"""),"")</f>
        <v/>
      </c>
      <c r="E97" s="5">
        <f>IFERROR(__xludf.DUMMYFUNCTION("""COMPUTED_VALUE"""),0.5288716380402964)</f>
        <v>0.528871638</v>
      </c>
      <c r="F97" s="5" t="str">
        <f>IFERROR(__xludf.DUMMYFUNCTION("""COMPUTED_VALUE"""),"")</f>
        <v/>
      </c>
      <c r="G97" s="5">
        <f>IFERROR(__xludf.DUMMYFUNCTION("""COMPUTED_VALUE"""),1.0)</f>
        <v>1</v>
      </c>
      <c r="H97" s="5">
        <f>IFERROR(__xludf.DUMMYFUNCTION("""COMPUTED_VALUE"""),0.0)</f>
        <v>0</v>
      </c>
      <c r="I97" s="5">
        <v>0.2822179095100741</v>
      </c>
    </row>
    <row r="98">
      <c r="A98" s="5">
        <v>0.10586176727909011</v>
      </c>
      <c r="B98" s="5" t="s">
        <v>4495</v>
      </c>
      <c r="C98" s="5" t="s">
        <v>4495</v>
      </c>
      <c r="D98" s="5" t="str">
        <f>IFERROR(__xludf.DUMMYFUNCTION("""COMPUTED_VALUE"""),"")</f>
        <v/>
      </c>
      <c r="E98" s="5">
        <f>IFERROR(__xludf.DUMMYFUNCTION("""COMPUTED_VALUE"""),0.0)</f>
        <v>0</v>
      </c>
      <c r="F98" s="5" t="str">
        <f>IFERROR(__xludf.DUMMYFUNCTION("""COMPUTED_VALUE"""),"")</f>
        <v/>
      </c>
      <c r="G98" s="5">
        <f>IFERROR(__xludf.DUMMYFUNCTION("""COMPUTED_VALUE"""),1.0)</f>
        <v>1</v>
      </c>
      <c r="H98" s="5">
        <f>IFERROR(__xludf.DUMMYFUNCTION("""COMPUTED_VALUE"""),0.3951485412186882)</f>
        <v>0.3951485412</v>
      </c>
      <c r="I98" s="5">
        <v>0.1895148541218688</v>
      </c>
    </row>
    <row r="99">
      <c r="A99" s="5">
        <v>0.07411858974358974</v>
      </c>
      <c r="B99" s="5" t="s">
        <v>4495</v>
      </c>
      <c r="C99" s="5" t="s">
        <v>4495</v>
      </c>
      <c r="D99" s="5" t="str">
        <f>IFERROR(__xludf.DUMMYFUNCTION("""COMPUTED_VALUE"""),"")</f>
        <v/>
      </c>
      <c r="E99" s="5">
        <f>IFERROR(__xludf.DUMMYFUNCTION("""COMPUTED_VALUE"""),0.614814300769033)</f>
        <v>0.6148143008</v>
      </c>
      <c r="F99" s="5" t="str">
        <f>IFERROR(__xludf.DUMMYFUNCTION("""COMPUTED_VALUE"""),"")</f>
        <v/>
      </c>
      <c r="G99" s="5">
        <f>IFERROR(__xludf.DUMMYFUNCTION("""COMPUTED_VALUE"""),1.0)</f>
        <v>1</v>
      </c>
      <c r="H99" s="5">
        <f>IFERROR(__xludf.DUMMYFUNCTION("""COMPUTED_VALUE"""),0.18607611324557238)</f>
        <v>0.1860761132</v>
      </c>
      <c r="I99" s="5">
        <v>0.32231118651681545</v>
      </c>
    </row>
    <row r="100">
      <c r="A100" s="5">
        <v>0.07212475633528265</v>
      </c>
      <c r="B100" s="5">
        <v>0.0</v>
      </c>
      <c r="C100" s="5" t="s">
        <v>4495</v>
      </c>
      <c r="D100" s="5" t="str">
        <f>IFERROR(__xludf.DUMMYFUNCTION("""COMPUTED_VALUE"""),"")</f>
        <v/>
      </c>
      <c r="E100" s="5">
        <f>IFERROR(__xludf.DUMMYFUNCTION("""COMPUTED_VALUE"""),0.6198591523092037)</f>
        <v>0.6198591523</v>
      </c>
      <c r="F100" s="5">
        <f>IFERROR(__xludf.DUMMYFUNCTION("""COMPUTED_VALUE"""),1.0)</f>
        <v>1</v>
      </c>
      <c r="G100" s="5">
        <f>IFERROR(__xludf.DUMMYFUNCTION("""COMPUTED_VALUE"""),1.0)</f>
        <v>1</v>
      </c>
      <c r="H100" s="5">
        <f>IFERROR(__xludf.DUMMYFUNCTION("""COMPUTED_VALUE"""),0.26784414955359176)</f>
        <v>0.2678441496</v>
      </c>
      <c r="I100" s="5">
        <v>0.5317492030326602</v>
      </c>
    </row>
    <row r="101">
      <c r="A101" s="5">
        <v>0.03488372093023256</v>
      </c>
      <c r="B101" s="5" t="s">
        <v>4495</v>
      </c>
      <c r="C101" s="5" t="s">
        <v>4495</v>
      </c>
      <c r="D101" s="5" t="str">
        <f>IFERROR(__xludf.DUMMYFUNCTION("""COMPUTED_VALUE"""),"")</f>
        <v/>
      </c>
      <c r="E101" s="5">
        <f>IFERROR(__xludf.DUMMYFUNCTION("""COMPUTED_VALUE"""),0.8029445633060727)</f>
        <v>0.8029445633</v>
      </c>
      <c r="F101" s="5" t="str">
        <f>IFERROR(__xludf.DUMMYFUNCTION("""COMPUTED_VALUE"""),"")</f>
        <v/>
      </c>
      <c r="G101" s="5">
        <f>IFERROR(__xludf.DUMMYFUNCTION("""COMPUTED_VALUE"""),1.0)</f>
        <v>1</v>
      </c>
      <c r="H101" s="5">
        <f>IFERROR(__xludf.DUMMYFUNCTION("""COMPUTED_VALUE"""),0.5208576808310391)</f>
        <v>0.5208576808</v>
      </c>
      <c r="I101" s="5">
        <v>0.4028219089096221</v>
      </c>
    </row>
    <row r="102">
      <c r="A102" s="5">
        <v>0.013058129738837404</v>
      </c>
      <c r="B102" s="5" t="s">
        <v>4495</v>
      </c>
      <c r="C102" s="5" t="s">
        <v>4495</v>
      </c>
      <c r="D102" s="5" t="str">
        <f>IFERROR(__xludf.DUMMYFUNCTION("""COMPUTED_VALUE"""),"")</f>
        <v/>
      </c>
      <c r="E102" s="5">
        <f>IFERROR(__xludf.DUMMYFUNCTION("""COMPUTED_VALUE"""),1.0)</f>
        <v>1</v>
      </c>
      <c r="F102" s="5" t="str">
        <f>IFERROR(__xludf.DUMMYFUNCTION("""COMPUTED_VALUE"""),"")</f>
        <v/>
      </c>
      <c r="G102" s="5">
        <f>IFERROR(__xludf.DUMMYFUNCTION("""COMPUTED_VALUE"""),1.0)</f>
        <v>1</v>
      </c>
      <c r="H102" s="5">
        <f>IFERROR(__xludf.DUMMYFUNCTION("""COMPUTED_VALUE"""),1.0)</f>
        <v>1</v>
      </c>
      <c r="I102" s="5">
        <v>0.5</v>
      </c>
    </row>
    <row r="103">
      <c r="A103" s="5">
        <v>0.05659163987138264</v>
      </c>
      <c r="B103" s="5">
        <v>0.0</v>
      </c>
      <c r="C103" s="5" t="s">
        <v>4495</v>
      </c>
      <c r="D103" s="5" t="str">
        <f>IFERROR(__xludf.DUMMYFUNCTION("""COMPUTED_VALUE"""),"")</f>
        <v/>
      </c>
      <c r="E103" s="5">
        <f>IFERROR(__xludf.DUMMYFUNCTION("""COMPUTED_VALUE"""),0.6920331742590979)</f>
        <v>0.6920331743</v>
      </c>
      <c r="F103" s="5">
        <f>IFERROR(__xludf.DUMMYFUNCTION("""COMPUTED_VALUE"""),1.0)</f>
        <v>1</v>
      </c>
      <c r="G103" s="5">
        <f>IFERROR(__xludf.DUMMYFUNCTION("""COMPUTED_VALUE"""),1.0)</f>
        <v>1</v>
      </c>
      <c r="H103" s="5">
        <f>IFERROR(__xludf.DUMMYFUNCTION("""COMPUTED_VALUE"""),0.5189124300822024)</f>
        <v>0.5189124301</v>
      </c>
      <c r="I103" s="5">
        <v>0.5748995365729948</v>
      </c>
    </row>
    <row r="104">
      <c r="A104" s="5">
        <v>0.12204951065054692</v>
      </c>
      <c r="B104" s="5">
        <v>0.0</v>
      </c>
      <c r="C104" s="5" t="s">
        <v>4495</v>
      </c>
      <c r="D104" s="5" t="str">
        <f>IFERROR(__xludf.DUMMYFUNCTION("""COMPUTED_VALUE"""),"")</f>
        <v/>
      </c>
      <c r="E104" s="5">
        <f>IFERROR(__xludf.DUMMYFUNCTION("""COMPUTED_VALUE"""),0.8174948309774762)</f>
        <v>0.817494831</v>
      </c>
      <c r="F104" s="5">
        <f>IFERROR(__xludf.DUMMYFUNCTION("""COMPUTED_VALUE"""),1.0)</f>
        <v>1</v>
      </c>
      <c r="G104" s="5">
        <f>IFERROR(__xludf.DUMMYFUNCTION("""COMPUTED_VALUE"""),1.0)</f>
        <v>1</v>
      </c>
      <c r="H104" s="5">
        <f>IFERROR(__xludf.DUMMYFUNCTION("""COMPUTED_VALUE"""),0.5896413811759237)</f>
        <v>0.5896413812</v>
      </c>
      <c r="I104" s="5">
        <v>0.6133378458619615</v>
      </c>
    </row>
    <row r="105">
      <c r="A105" s="5">
        <v>0.027662105889351578</v>
      </c>
      <c r="B105" s="5" t="s">
        <v>4495</v>
      </c>
      <c r="C105" s="5" t="s">
        <v>4495</v>
      </c>
      <c r="D105" s="5" t="str">
        <f>IFERROR(__xludf.DUMMYFUNCTION("""COMPUTED_VALUE"""),"")</f>
        <v/>
      </c>
      <c r="E105" s="5">
        <f>IFERROR(__xludf.DUMMYFUNCTION("""COMPUTED_VALUE"""),0.24455047616844922)</f>
        <v>0.2445504762</v>
      </c>
      <c r="F105" s="5" t="str">
        <f>IFERROR(__xludf.DUMMYFUNCTION("""COMPUTED_VALUE"""),"")</f>
        <v/>
      </c>
      <c r="G105" s="5">
        <f>IFERROR(__xludf.DUMMYFUNCTION("""COMPUTED_VALUE"""),1.0)</f>
        <v>1</v>
      </c>
      <c r="H105" s="5">
        <f>IFERROR(__xludf.DUMMYFUNCTION("""COMPUTED_VALUE"""),0.7846870617692479)</f>
        <v>0.7846870618</v>
      </c>
      <c r="I105" s="5">
        <v>0.2896063252190371</v>
      </c>
    </row>
    <row r="106">
      <c r="A106" s="5" t="s">
        <v>4495</v>
      </c>
      <c r="B106" s="5" t="s">
        <v>4495</v>
      </c>
      <c r="C106" s="5" t="s">
        <v>4495</v>
      </c>
      <c r="D106" s="5" t="str">
        <f>IFERROR(__xludf.DUMMYFUNCTION("""COMPUTED_VALUE"""),"")</f>
        <v/>
      </c>
      <c r="E106" s="5">
        <f>IFERROR(__xludf.DUMMYFUNCTION("""COMPUTED_VALUE"""),1.0)</f>
        <v>1</v>
      </c>
      <c r="F106" s="5" t="str">
        <f>IFERROR(__xludf.DUMMYFUNCTION("""COMPUTED_VALUE"""),"")</f>
        <v/>
      </c>
      <c r="G106" s="5" t="str">
        <f>IFERROR(__xludf.DUMMYFUNCTION("""COMPUTED_VALUE"""),"")</f>
        <v/>
      </c>
      <c r="H106" s="5">
        <f>IFERROR(__xludf.DUMMYFUNCTION("""COMPUTED_VALUE"""),0.862162032988152)</f>
        <v>0.862162033</v>
      </c>
      <c r="I106" s="5">
        <v>0.3362162032988152</v>
      </c>
    </row>
    <row r="107">
      <c r="A107" s="5">
        <v>0.10305059523809523</v>
      </c>
      <c r="B107" s="5" t="s">
        <v>4495</v>
      </c>
      <c r="C107" s="5" t="s">
        <v>4495</v>
      </c>
      <c r="D107" s="5" t="str">
        <f>IFERROR(__xludf.DUMMYFUNCTION("""COMPUTED_VALUE"""),"")</f>
        <v/>
      </c>
      <c r="E107" s="5">
        <f>IFERROR(__xludf.DUMMYFUNCTION("""COMPUTED_VALUE"""),0.9162149510524765)</f>
        <v>0.9162149511</v>
      </c>
      <c r="F107" s="5" t="str">
        <f>IFERROR(__xludf.DUMMYFUNCTION("""COMPUTED_VALUE"""),"")</f>
        <v/>
      </c>
      <c r="G107" s="5">
        <f>IFERROR(__xludf.DUMMYFUNCTION("""COMPUTED_VALUE"""),1.0)</f>
        <v>1</v>
      </c>
      <c r="H107" s="5">
        <f>IFERROR(__xludf.DUMMYFUNCTION("""COMPUTED_VALUE"""),0.3146863851457374)</f>
        <v>0.3146863851</v>
      </c>
      <c r="I107" s="5">
        <v>0.41052237627769284</v>
      </c>
    </row>
    <row r="108">
      <c r="A108" s="5">
        <v>0.05246383917626869</v>
      </c>
      <c r="B108" s="5" t="s">
        <v>4495</v>
      </c>
      <c r="C108" s="5" t="s">
        <v>4495</v>
      </c>
      <c r="D108" s="5" t="str">
        <f>IFERROR(__xludf.DUMMYFUNCTION("""COMPUTED_VALUE"""),"")</f>
        <v/>
      </c>
      <c r="E108" s="5">
        <f>IFERROR(__xludf.DUMMYFUNCTION("""COMPUTED_VALUE"""),0.8395878790200708)</f>
        <v>0.839587879</v>
      </c>
      <c r="F108" s="5" t="str">
        <f>IFERROR(__xludf.DUMMYFUNCTION("""COMPUTED_VALUE"""),"")</f>
        <v/>
      </c>
      <c r="G108" s="5">
        <f>IFERROR(__xludf.DUMMYFUNCTION("""COMPUTED_VALUE"""),1.0)</f>
        <v>1</v>
      </c>
      <c r="H108" s="5">
        <f>IFERROR(__xludf.DUMMYFUNCTION("""COMPUTED_VALUE"""),0.4467820234631535)</f>
        <v>0.4467820235</v>
      </c>
      <c r="I108" s="5">
        <v>0.4045751721013331</v>
      </c>
    </row>
    <row r="109">
      <c r="A109" s="5">
        <v>0.024278215223097113</v>
      </c>
      <c r="B109" s="5">
        <v>0.0</v>
      </c>
      <c r="C109" s="5" t="s">
        <v>4495</v>
      </c>
      <c r="D109" s="5" t="str">
        <f>IFERROR(__xludf.DUMMYFUNCTION("""COMPUTED_VALUE"""),"")</f>
        <v/>
      </c>
      <c r="E109" s="5">
        <f>IFERROR(__xludf.DUMMYFUNCTION("""COMPUTED_VALUE"""),0.8369011905248982)</f>
        <v>0.8369011905</v>
      </c>
      <c r="F109" s="5">
        <f>IFERROR(__xludf.DUMMYFUNCTION("""COMPUTED_VALUE"""),1.0)</f>
        <v>1</v>
      </c>
      <c r="G109" s="5">
        <f>IFERROR(__xludf.DUMMYFUNCTION("""COMPUTED_VALUE"""),1.0)</f>
        <v>1</v>
      </c>
      <c r="H109" s="5">
        <f>IFERROR(__xludf.DUMMYFUNCTION("""COMPUTED_VALUE"""),0.044372163770186025)</f>
        <v>0.04437216377</v>
      </c>
      <c r="I109" s="5">
        <v>0.5636625140082431</v>
      </c>
    </row>
    <row r="110">
      <c r="A110" s="5" t="s">
        <v>4495</v>
      </c>
      <c r="B110" s="5" t="s">
        <v>4495</v>
      </c>
      <c r="C110" s="5" t="s">
        <v>4495</v>
      </c>
      <c r="D110" s="5" t="str">
        <f>IFERROR(__xludf.DUMMYFUNCTION("""COMPUTED_VALUE"""),"")</f>
        <v/>
      </c>
      <c r="E110" s="5">
        <f>IFERROR(__xludf.DUMMYFUNCTION("""COMPUTED_VALUE"""),0.33428356644099017)</f>
        <v>0.3342835664</v>
      </c>
      <c r="F110" s="5" t="str">
        <f>IFERROR(__xludf.DUMMYFUNCTION("""COMPUTED_VALUE"""),"")</f>
        <v/>
      </c>
      <c r="G110" s="5" t="str">
        <f>IFERROR(__xludf.DUMMYFUNCTION("""COMPUTED_VALUE"""),"")</f>
        <v/>
      </c>
      <c r="H110" s="5">
        <f>IFERROR(__xludf.DUMMYFUNCTION("""COMPUTED_VALUE"""),0.7846870617692479)</f>
        <v>0.7846870618</v>
      </c>
      <c r="I110" s="5">
        <v>0.16203959778717233</v>
      </c>
    </row>
    <row r="111">
      <c r="A111" s="5">
        <v>0.01321253303133258</v>
      </c>
      <c r="B111" s="5" t="s">
        <v>4495</v>
      </c>
      <c r="C111" s="5" t="s">
        <v>4495</v>
      </c>
      <c r="D111" s="5" t="str">
        <f>IFERROR(__xludf.DUMMYFUNCTION("""COMPUTED_VALUE"""),"")</f>
        <v/>
      </c>
      <c r="E111" s="5">
        <f>IFERROR(__xludf.DUMMYFUNCTION("""COMPUTED_VALUE"""),0.31090082806830316)</f>
        <v>0.3109008281</v>
      </c>
      <c r="F111" s="5" t="str">
        <f>IFERROR(__xludf.DUMMYFUNCTION("""COMPUTED_VALUE"""),"")</f>
        <v/>
      </c>
      <c r="G111" s="5">
        <f>IFERROR(__xludf.DUMMYFUNCTION("""COMPUTED_VALUE"""),1.0)</f>
        <v>1</v>
      </c>
      <c r="H111" s="5">
        <f>IFERROR(__xludf.DUMMYFUNCTION("""COMPUTED_VALUE"""),0.43860417353165637)</f>
        <v>0.4386041735</v>
      </c>
      <c r="I111" s="5">
        <v>0.2715856243702414</v>
      </c>
    </row>
    <row r="112">
      <c r="A112" s="5" t="s">
        <v>4495</v>
      </c>
      <c r="B112" s="5" t="s">
        <v>4495</v>
      </c>
      <c r="C112" s="5" t="s">
        <v>4495</v>
      </c>
      <c r="D112" s="5" t="str">
        <f>IFERROR(__xludf.DUMMYFUNCTION("""COMPUTED_VALUE"""),"")</f>
        <v/>
      </c>
      <c r="E112" s="5">
        <f>IFERROR(__xludf.DUMMYFUNCTION("""COMPUTED_VALUE"""),0.79085332604176)</f>
        <v>0.790853326</v>
      </c>
      <c r="F112" s="5" t="str">
        <f>IFERROR(__xludf.DUMMYFUNCTION("""COMPUTED_VALUE"""),"")</f>
        <v/>
      </c>
      <c r="G112" s="5" t="str">
        <f>IFERROR(__xludf.DUMMYFUNCTION("""COMPUTED_VALUE"""),"")</f>
        <v/>
      </c>
      <c r="H112" s="5">
        <f>IFERROR(__xludf.DUMMYFUNCTION("""COMPUTED_VALUE"""),0.969724589930209)</f>
        <v>0.9697245899</v>
      </c>
      <c r="I112" s="5">
        <v>0.2946857905034609</v>
      </c>
    </row>
    <row r="113">
      <c r="A113" s="5">
        <v>0.042868589743589744</v>
      </c>
      <c r="B113" s="5" t="s">
        <v>4495</v>
      </c>
      <c r="C113" s="5" t="s">
        <v>4495</v>
      </c>
      <c r="D113" s="5" t="str">
        <f>IFERROR(__xludf.DUMMYFUNCTION("""COMPUTED_VALUE"""),"")</f>
        <v/>
      </c>
      <c r="E113" s="5">
        <f>IFERROR(__xludf.DUMMYFUNCTION("""COMPUTED_VALUE"""),0.055572302376616874)</f>
        <v>0.05557230238</v>
      </c>
      <c r="F113" s="5" t="str">
        <f>IFERROR(__xludf.DUMMYFUNCTION("""COMPUTED_VALUE"""),"")</f>
        <v/>
      </c>
      <c r="G113" s="5">
        <f>IFERROR(__xludf.DUMMYFUNCTION("""COMPUTED_VALUE"""),1.0)</f>
        <v>1</v>
      </c>
      <c r="H113" s="5">
        <f>IFERROR(__xludf.DUMMYFUNCTION("""COMPUTED_VALUE"""),0.07155230626969915)</f>
        <v>0.07155230627</v>
      </c>
      <c r="I113" s="5">
        <v>0.17104830622112413</v>
      </c>
    </row>
    <row r="114">
      <c r="A114" s="5">
        <v>0.05322415557830092</v>
      </c>
      <c r="B114" s="5" t="s">
        <v>4495</v>
      </c>
      <c r="C114" s="5" t="s">
        <v>4495</v>
      </c>
      <c r="D114" s="5" t="str">
        <f>IFERROR(__xludf.DUMMYFUNCTION("""COMPUTED_VALUE"""),"")</f>
        <v/>
      </c>
      <c r="E114" s="5">
        <f>IFERROR(__xludf.DUMMYFUNCTION("""COMPUTED_VALUE"""),0.8578394190640767)</f>
        <v>0.8578394191</v>
      </c>
      <c r="F114" s="5" t="str">
        <f>IFERROR(__xludf.DUMMYFUNCTION("""COMPUTED_VALUE"""),"")</f>
        <v/>
      </c>
      <c r="G114" s="5">
        <f>IFERROR(__xludf.DUMMYFUNCTION("""COMPUTED_VALUE"""),1.0)</f>
        <v>1</v>
      </c>
      <c r="H114" s="5">
        <f>IFERROR(__xludf.DUMMYFUNCTION("""COMPUTED_VALUE"""),0.648752326325584)</f>
        <v>0.6487523263</v>
      </c>
      <c r="I114" s="5">
        <v>0.42933508739857756</v>
      </c>
    </row>
    <row r="115">
      <c r="A115" s="5">
        <v>0.09731343283582089</v>
      </c>
      <c r="B115" s="5">
        <v>0.0</v>
      </c>
      <c r="C115" s="5" t="s">
        <v>4495</v>
      </c>
      <c r="D115" s="5" t="str">
        <f>IFERROR(__xludf.DUMMYFUNCTION("""COMPUTED_VALUE"""),"")</f>
        <v/>
      </c>
      <c r="E115" s="5">
        <f>IFERROR(__xludf.DUMMYFUNCTION("""COMPUTED_VALUE"""),0.882367679076927)</f>
        <v>0.8823676791</v>
      </c>
      <c r="F115" s="5">
        <f>IFERROR(__xludf.DUMMYFUNCTION("""COMPUTED_VALUE"""),1.0)</f>
        <v>1</v>
      </c>
      <c r="G115" s="5">
        <f>IFERROR(__xludf.DUMMYFUNCTION("""COMPUTED_VALUE"""),1.0)</f>
        <v>1</v>
      </c>
      <c r="H115" s="5">
        <f>IFERROR(__xludf.DUMMYFUNCTION("""COMPUTED_VALUE"""),0.6246802867772283)</f>
        <v>0.6246802868</v>
      </c>
      <c r="I115" s="5">
        <v>0.6330599484469546</v>
      </c>
    </row>
    <row r="116">
      <c r="A116" s="5">
        <v>0.06792091836734694</v>
      </c>
      <c r="B116" s="5" t="s">
        <v>4495</v>
      </c>
      <c r="C116" s="5" t="s">
        <v>4495</v>
      </c>
      <c r="D116" s="5" t="str">
        <f>IFERROR(__xludf.DUMMYFUNCTION("""COMPUTED_VALUE"""),"")</f>
        <v/>
      </c>
      <c r="E116" s="5">
        <f>IFERROR(__xludf.DUMMYFUNCTION("""COMPUTED_VALUE"""),0.6393425607818837)</f>
        <v>0.6393425608</v>
      </c>
      <c r="F116" s="5" t="str">
        <f>IFERROR(__xludf.DUMMYFUNCTION("""COMPUTED_VALUE"""),"")</f>
        <v/>
      </c>
      <c r="G116" s="5">
        <f>IFERROR(__xludf.DUMMYFUNCTION("""COMPUTED_VALUE"""),1.0)</f>
        <v>1</v>
      </c>
      <c r="H116" s="5">
        <f>IFERROR(__xludf.DUMMYFUNCTION("""COMPUTED_VALUE"""),0.6961219834498718)</f>
        <v>0.6961219834</v>
      </c>
      <c r="I116" s="5">
        <v>0.3794478385404581</v>
      </c>
    </row>
    <row r="117">
      <c r="A117" s="5">
        <v>0.09267431597528684</v>
      </c>
      <c r="B117" s="5">
        <v>0.0</v>
      </c>
      <c r="C117" s="5" t="s">
        <v>4495</v>
      </c>
      <c r="D117" s="5" t="str">
        <f>IFERROR(__xludf.DUMMYFUNCTION("""COMPUTED_VALUE"""),"")</f>
        <v/>
      </c>
      <c r="E117" s="5">
        <f>IFERROR(__xludf.DUMMYFUNCTION("""COMPUTED_VALUE"""),0.7079727887419157)</f>
        <v>0.7079727887</v>
      </c>
      <c r="F117" s="5">
        <f>IFERROR(__xludf.DUMMYFUNCTION("""COMPUTED_VALUE"""),1.0)</f>
        <v>1</v>
      </c>
      <c r="G117" s="5">
        <f>IFERROR(__xludf.DUMMYFUNCTION("""COMPUTED_VALUE"""),1.0)</f>
        <v>1</v>
      </c>
      <c r="H117" s="5">
        <f>IFERROR(__xludf.DUMMYFUNCTION("""COMPUTED_VALUE"""),0.044372163770186025)</f>
        <v>0.04437216377</v>
      </c>
      <c r="I117" s="5">
        <v>0.5314304135624975</v>
      </c>
    </row>
    <row r="118">
      <c r="A118" s="5">
        <v>0.048083789573910976</v>
      </c>
      <c r="B118" s="5" t="s">
        <v>4495</v>
      </c>
      <c r="C118" s="5" t="s">
        <v>4495</v>
      </c>
      <c r="D118" s="5" t="str">
        <f>IFERROR(__xludf.DUMMYFUNCTION("""COMPUTED_VALUE"""),"")</f>
        <v/>
      </c>
      <c r="E118" s="5">
        <f>IFERROR(__xludf.DUMMYFUNCTION("""COMPUTED_VALUE"""),0.8501333696778393)</f>
        <v>0.8501333697</v>
      </c>
      <c r="F118" s="5" t="str">
        <f>IFERROR(__xludf.DUMMYFUNCTION("""COMPUTED_VALUE"""),"")</f>
        <v/>
      </c>
      <c r="G118" s="5">
        <f>IFERROR(__xludf.DUMMYFUNCTION("""COMPUTED_VALUE"""),1.0)</f>
        <v>1</v>
      </c>
      <c r="H118" s="5">
        <f>IFERROR(__xludf.DUMMYFUNCTION("""COMPUTED_VALUE"""),0.7989645659521445)</f>
        <v>0.798964566</v>
      </c>
      <c r="I118" s="5">
        <v>0.4424297990146742</v>
      </c>
    </row>
    <row r="119">
      <c r="A119" s="5" t="s">
        <v>4495</v>
      </c>
      <c r="B119" s="5" t="s">
        <v>4495</v>
      </c>
      <c r="C119" s="5" t="s">
        <v>4495</v>
      </c>
      <c r="D119" s="5" t="str">
        <f>IFERROR(__xludf.DUMMYFUNCTION("""COMPUTED_VALUE"""),"")</f>
        <v/>
      </c>
      <c r="E119" s="5">
        <f>IFERROR(__xludf.DUMMYFUNCTION("""COMPUTED_VALUE"""),0.0)</f>
        <v>0</v>
      </c>
      <c r="F119" s="5" t="str">
        <f>IFERROR(__xludf.DUMMYFUNCTION("""COMPUTED_VALUE"""),"")</f>
        <v/>
      </c>
      <c r="G119" s="5" t="str">
        <f>IFERROR(__xludf.DUMMYFUNCTION("""COMPUTED_VALUE"""),"")</f>
        <v/>
      </c>
      <c r="H119" s="5">
        <f>IFERROR(__xludf.DUMMYFUNCTION("""COMPUTED_VALUE"""),0.7545924021819583)</f>
        <v>0.7545924022</v>
      </c>
      <c r="I119" s="5">
        <v>0.07545924021819583</v>
      </c>
    </row>
    <row r="120">
      <c r="A120" s="5">
        <v>0.07469654528478058</v>
      </c>
      <c r="B120" s="5">
        <v>0.0</v>
      </c>
      <c r="C120" s="5" t="s">
        <v>4495</v>
      </c>
      <c r="D120" s="5" t="str">
        <f>IFERROR(__xludf.DUMMYFUNCTION("""COMPUTED_VALUE"""),"")</f>
        <v/>
      </c>
      <c r="E120" s="5">
        <f>IFERROR(__xludf.DUMMYFUNCTION("""COMPUTED_VALUE"""),0.8751876780008897)</f>
        <v>0.875187678</v>
      </c>
      <c r="F120" s="5">
        <f>IFERROR(__xludf.DUMMYFUNCTION("""COMPUTED_VALUE"""),1.0)</f>
        <v>1</v>
      </c>
      <c r="G120" s="5">
        <f>IFERROR(__xludf.DUMMYFUNCTION("""COMPUTED_VALUE"""),1.0)</f>
        <v>1</v>
      </c>
      <c r="H120" s="5">
        <f>IFERROR(__xludf.DUMMYFUNCTION("""COMPUTED_VALUE"""),0.38900031467747265)</f>
        <v>0.3890003147</v>
      </c>
      <c r="I120" s="5">
        <v>0.6076969509679697</v>
      </c>
    </row>
    <row r="121">
      <c r="A121" s="5">
        <v>0.03128666405944466</v>
      </c>
      <c r="B121" s="5" t="s">
        <v>4495</v>
      </c>
      <c r="C121" s="5" t="s">
        <v>4495</v>
      </c>
      <c r="D121" s="5" t="str">
        <f>IFERROR(__xludf.DUMMYFUNCTION("""COMPUTED_VALUE"""),"")</f>
        <v/>
      </c>
      <c r="E121" s="5">
        <f>IFERROR(__xludf.DUMMYFUNCTION("""COMPUTED_VALUE"""),0.6345722676997336)</f>
        <v>0.6345722677</v>
      </c>
      <c r="F121" s="5" t="str">
        <f>IFERROR(__xludf.DUMMYFUNCTION("""COMPUTED_VALUE"""),"")</f>
        <v/>
      </c>
      <c r="G121" s="5">
        <f>IFERROR(__xludf.DUMMYFUNCTION("""COMPUTED_VALUE"""),1.0)</f>
        <v>1</v>
      </c>
      <c r="H121" s="5">
        <f>IFERROR(__xludf.DUMMYFUNCTION("""COMPUTED_VALUE"""),0.37642785751330293)</f>
        <v>0.3764278575</v>
      </c>
      <c r="I121" s="5">
        <v>0.34628585267626366</v>
      </c>
    </row>
    <row r="122">
      <c r="A122" s="5">
        <v>0.02261574567953915</v>
      </c>
      <c r="B122" s="5" t="s">
        <v>4495</v>
      </c>
      <c r="C122" s="5" t="s">
        <v>4495</v>
      </c>
      <c r="D122" s="5" t="str">
        <f>IFERROR(__xludf.DUMMYFUNCTION("""COMPUTED_VALUE"""),"")</f>
        <v/>
      </c>
      <c r="E122" s="5">
        <f>IFERROR(__xludf.DUMMYFUNCTION("""COMPUTED_VALUE"""),0.07976197121590477)</f>
        <v>0.07976197122</v>
      </c>
      <c r="F122" s="5" t="str">
        <f>IFERROR(__xludf.DUMMYFUNCTION("""COMPUTED_VALUE"""),"")</f>
        <v/>
      </c>
      <c r="G122" s="5">
        <f>IFERROR(__xludf.DUMMYFUNCTION("""COMPUTED_VALUE"""),1.0)</f>
        <v>1</v>
      </c>
      <c r="H122" s="5">
        <f>IFERROR(__xludf.DUMMYFUNCTION("""COMPUTED_VALUE"""),0.7433009473228254)</f>
        <v>0.7433009473</v>
      </c>
      <c r="I122" s="5">
        <v>0.24427058753625874</v>
      </c>
    </row>
    <row r="123">
      <c r="A123" s="5">
        <v>0.03339517625231911</v>
      </c>
      <c r="B123" s="5">
        <v>0.0</v>
      </c>
      <c r="C123" s="5" t="s">
        <v>4495</v>
      </c>
      <c r="D123" s="5" t="str">
        <f>IFERROR(__xludf.DUMMYFUNCTION("""COMPUTED_VALUE"""),"")</f>
        <v/>
      </c>
      <c r="E123" s="5">
        <f>IFERROR(__xludf.DUMMYFUNCTION("""COMPUTED_VALUE"""),0.949044636620311)</f>
        <v>0.9490446366</v>
      </c>
      <c r="F123" s="5">
        <f>IFERROR(__xludf.DUMMYFUNCTION("""COMPUTED_VALUE"""),1.0)</f>
        <v>1</v>
      </c>
      <c r="G123" s="5">
        <f>IFERROR(__xludf.DUMMYFUNCTION("""COMPUTED_VALUE"""),1.0)</f>
        <v>1</v>
      </c>
      <c r="H123" s="5">
        <f>IFERROR(__xludf.DUMMYFUNCTION("""COMPUTED_VALUE"""),0.29191618910194683)</f>
        <v>0.2919161891</v>
      </c>
      <c r="I123" s="5">
        <v>0.6164527780652725</v>
      </c>
    </row>
    <row r="124">
      <c r="A124" s="5">
        <v>0.016897081413210446</v>
      </c>
      <c r="B124" s="5" t="s">
        <v>4495</v>
      </c>
      <c r="C124" s="5" t="s">
        <v>4495</v>
      </c>
      <c r="D124" s="5" t="str">
        <f>IFERROR(__xludf.DUMMYFUNCTION("""COMPUTED_VALUE"""),"")</f>
        <v/>
      </c>
      <c r="E124" s="5">
        <f>IFERROR(__xludf.DUMMYFUNCTION("""COMPUTED_VALUE"""),0.33428356644099017)</f>
        <v>0.3342835664</v>
      </c>
      <c r="F124" s="5" t="str">
        <f>IFERROR(__xludf.DUMMYFUNCTION("""COMPUTED_VALUE"""),"")</f>
        <v/>
      </c>
      <c r="G124" s="5">
        <f>IFERROR(__xludf.DUMMYFUNCTION("""COMPUTED_VALUE"""),1.0)</f>
        <v>1</v>
      </c>
      <c r="H124" s="5">
        <f>IFERROR(__xludf.DUMMYFUNCTION("""COMPUTED_VALUE"""),0.0)</f>
        <v>0</v>
      </c>
      <c r="I124" s="5">
        <v>0.23357089161024752</v>
      </c>
    </row>
    <row r="125">
      <c r="A125" s="5">
        <v>0.07424242424242425</v>
      </c>
      <c r="B125" s="5">
        <v>0.0</v>
      </c>
      <c r="C125" s="5" t="s">
        <v>4495</v>
      </c>
      <c r="D125" s="5" t="str">
        <f>IFERROR(__xludf.DUMMYFUNCTION("""COMPUTED_VALUE"""),"")</f>
        <v/>
      </c>
      <c r="E125" s="5">
        <f>IFERROR(__xludf.DUMMYFUNCTION("""COMPUTED_VALUE"""),0.8259437008385514)</f>
        <v>0.8259437008</v>
      </c>
      <c r="F125" s="5">
        <f>IFERROR(__xludf.DUMMYFUNCTION("""COMPUTED_VALUE"""),1.0)</f>
        <v>1</v>
      </c>
      <c r="G125" s="5">
        <f>IFERROR(__xludf.DUMMYFUNCTION("""COMPUTED_VALUE"""),1.0)</f>
        <v>1</v>
      </c>
      <c r="H125" s="5">
        <f>IFERROR(__xludf.DUMMYFUNCTION("""COMPUTED_VALUE"""),0.46784371396551677)</f>
        <v>0.467843714</v>
      </c>
      <c r="I125" s="5">
        <v>0.6032702966061896</v>
      </c>
    </row>
    <row r="126">
      <c r="A126" s="5" t="s">
        <v>4495</v>
      </c>
      <c r="B126" s="5" t="s">
        <v>4495</v>
      </c>
      <c r="C126" s="5" t="s">
        <v>4495</v>
      </c>
      <c r="D126" s="5" t="str">
        <f>IFERROR(__xludf.DUMMYFUNCTION("""COMPUTED_VALUE"""),"")</f>
        <v/>
      </c>
      <c r="E126" s="5">
        <f>IFERROR(__xludf.DUMMYFUNCTION("""COMPUTED_VALUE"""),0.4801940348116395)</f>
        <v>0.4801940348</v>
      </c>
      <c r="F126" s="5" t="str">
        <f>IFERROR(__xludf.DUMMYFUNCTION("""COMPUTED_VALUE"""),"")</f>
        <v/>
      </c>
      <c r="G126" s="5" t="str">
        <f>IFERROR(__xludf.DUMMYFUNCTION("""COMPUTED_VALUE"""),"")</f>
        <v/>
      </c>
      <c r="H126" s="5">
        <f>IFERROR(__xludf.DUMMYFUNCTION("""COMPUTED_VALUE"""),0.5163047063425695)</f>
        <v>0.5163047063</v>
      </c>
      <c r="I126" s="5">
        <v>0.17167897933716683</v>
      </c>
    </row>
    <row r="127">
      <c r="A127" s="5">
        <v>0.015501081470800288</v>
      </c>
      <c r="B127" s="5" t="s">
        <v>4495</v>
      </c>
      <c r="C127" s="5" t="s">
        <v>4495</v>
      </c>
      <c r="D127" s="5" t="str">
        <f>IFERROR(__xludf.DUMMYFUNCTION("""COMPUTED_VALUE"""),"")</f>
        <v/>
      </c>
      <c r="E127" s="5">
        <f>IFERROR(__xludf.DUMMYFUNCTION("""COMPUTED_VALUE"""),0.2726143405923116)</f>
        <v>0.2726143406</v>
      </c>
      <c r="F127" s="5" t="str">
        <f>IFERROR(__xludf.DUMMYFUNCTION("""COMPUTED_VALUE"""),"")</f>
        <v/>
      </c>
      <c r="G127" s="5">
        <f>IFERROR(__xludf.DUMMYFUNCTION("""COMPUTED_VALUE"""),1.0)</f>
        <v>1</v>
      </c>
      <c r="H127" s="5">
        <f>IFERROR(__xludf.DUMMYFUNCTION("""COMPUTED_VALUE"""),0.8578247542986999)</f>
        <v>0.8578247543</v>
      </c>
      <c r="I127" s="5">
        <v>0.30393606057794786</v>
      </c>
    </row>
    <row r="128">
      <c r="A128" s="5">
        <v>0.04941969299887682</v>
      </c>
      <c r="B128" s="5">
        <v>0.0</v>
      </c>
      <c r="C128" s="5" t="s">
        <v>4495</v>
      </c>
      <c r="D128" s="5" t="str">
        <f>IFERROR(__xludf.DUMMYFUNCTION("""COMPUTED_VALUE"""),"")</f>
        <v/>
      </c>
      <c r="E128" s="5">
        <f>IFERROR(__xludf.DUMMYFUNCTION("""COMPUTED_VALUE"""),0.7653430864022164)</f>
        <v>0.7653430864</v>
      </c>
      <c r="F128" s="5">
        <f>IFERROR(__xludf.DUMMYFUNCTION("""COMPUTED_VALUE"""),1.0)</f>
        <v>1</v>
      </c>
      <c r="G128" s="5">
        <f>IFERROR(__xludf.DUMMYFUNCTION("""COMPUTED_VALUE"""),1.0)</f>
        <v>1</v>
      </c>
      <c r="H128" s="5">
        <f>IFERROR(__xludf.DUMMYFUNCTION("""COMPUTED_VALUE"""),0.5526220993195275)</f>
        <v>0.5526220993</v>
      </c>
      <c r="I128" s="5">
        <v>0.5965979815325069</v>
      </c>
    </row>
    <row r="129">
      <c r="A129" s="5">
        <v>0.01379483320792576</v>
      </c>
      <c r="B129" s="5" t="s">
        <v>4495</v>
      </c>
      <c r="C129" s="5" t="s">
        <v>4495</v>
      </c>
      <c r="D129" s="5" t="str">
        <f>IFERROR(__xludf.DUMMYFUNCTION("""COMPUTED_VALUE"""),"")</f>
        <v/>
      </c>
      <c r="E129" s="5">
        <f>IFERROR(__xludf.DUMMYFUNCTION("""COMPUTED_VALUE"""),0.14368593880932898)</f>
        <v>0.1436859388</v>
      </c>
      <c r="F129" s="5" t="str">
        <f>IFERROR(__xludf.DUMMYFUNCTION("""COMPUTED_VALUE"""),"")</f>
        <v/>
      </c>
      <c r="G129" s="5">
        <f>IFERROR(__xludf.DUMMYFUNCTION("""COMPUTED_VALUE"""),1.0)</f>
        <v>1</v>
      </c>
      <c r="H129" s="5">
        <f>IFERROR(__xludf.DUMMYFUNCTION("""COMPUTED_VALUE"""),0.4130723542258289)</f>
        <v>0.4130723542</v>
      </c>
      <c r="I129" s="5">
        <v>0.22722872012491513</v>
      </c>
    </row>
    <row r="130">
      <c r="A130" s="5">
        <v>0.08051420838971583</v>
      </c>
      <c r="B130" s="5">
        <v>0.0</v>
      </c>
      <c r="C130" s="5" t="s">
        <v>4495</v>
      </c>
      <c r="D130" s="5" t="str">
        <f>IFERROR(__xludf.DUMMYFUNCTION("""COMPUTED_VALUE"""),"")</f>
        <v/>
      </c>
      <c r="E130" s="5">
        <f>IFERROR(__xludf.DUMMYFUNCTION("""COMPUTED_VALUE"""),0.5156394588873553)</f>
        <v>0.5156394589</v>
      </c>
      <c r="F130" s="5">
        <f>IFERROR(__xludf.DUMMYFUNCTION("""COMPUTED_VALUE"""),1.0)</f>
        <v>1</v>
      </c>
      <c r="G130" s="5">
        <f>IFERROR(__xludf.DUMMYFUNCTION("""COMPUTED_VALUE"""),1.0)</f>
        <v>1</v>
      </c>
      <c r="H130" s="5">
        <f>IFERROR(__xludf.DUMMYFUNCTION("""COMPUTED_VALUE"""),0.4268816582066704)</f>
        <v>0.4268816582</v>
      </c>
      <c r="I130" s="5">
        <v>0.5215980305425059</v>
      </c>
    </row>
    <row r="131">
      <c r="A131" s="5">
        <v>0.06647398843930635</v>
      </c>
      <c r="B131" s="5">
        <v>0.0</v>
      </c>
      <c r="C131" s="5" t="s">
        <v>4495</v>
      </c>
      <c r="D131" s="5" t="str">
        <f>IFERROR(__xludf.DUMMYFUNCTION("""COMPUTED_VALUE"""),"")</f>
        <v/>
      </c>
      <c r="E131" s="5">
        <f>IFERROR(__xludf.DUMMYFUNCTION("""COMPUTED_VALUE"""),0.6096957991638974)</f>
        <v>0.6096957992</v>
      </c>
      <c r="F131" s="5">
        <f>IFERROR(__xludf.DUMMYFUNCTION("""COMPUTED_VALUE"""),1.0)</f>
        <v>1</v>
      </c>
      <c r="G131" s="5">
        <f>IFERROR(__xludf.DUMMYFUNCTION("""COMPUTED_VALUE"""),1.0)</f>
        <v>1</v>
      </c>
      <c r="H131" s="5">
        <f>IFERROR(__xludf.DUMMYFUNCTION("""COMPUTED_VALUE"""),0.20566783353523804)</f>
        <v>0.2056678335</v>
      </c>
      <c r="I131" s="5">
        <v>0.5229907331444982</v>
      </c>
    </row>
    <row r="132">
      <c r="A132" s="5">
        <v>0.016428419031363346</v>
      </c>
      <c r="B132" s="5" t="s">
        <v>4495</v>
      </c>
      <c r="C132" s="5" t="s">
        <v>4495</v>
      </c>
      <c r="D132" s="5" t="str">
        <f>IFERROR(__xludf.DUMMYFUNCTION("""COMPUTED_VALUE"""),"")</f>
        <v/>
      </c>
      <c r="E132" s="5">
        <f>IFERROR(__xludf.DUMMYFUNCTION("""COMPUTED_VALUE"""),0.22962860153806564)</f>
        <v>0.2296286015</v>
      </c>
      <c r="F132" s="5" t="str">
        <f>IFERROR(__xludf.DUMMYFUNCTION("""COMPUTED_VALUE"""),"")</f>
        <v/>
      </c>
      <c r="G132" s="5">
        <f>IFERROR(__xludf.DUMMYFUNCTION("""COMPUTED_VALUE"""),1.0)</f>
        <v>1</v>
      </c>
      <c r="H132" s="5">
        <f>IFERROR(__xludf.DUMMYFUNCTION("""COMPUTED_VALUE"""),0.26784414955359176)</f>
        <v>0.2678441496</v>
      </c>
      <c r="I132" s="5">
        <v>0.2341915653398756</v>
      </c>
    </row>
    <row r="133">
      <c r="A133" s="5">
        <v>0.0735140771637122</v>
      </c>
      <c r="B133" s="5" t="s">
        <v>4495</v>
      </c>
      <c r="C133" s="5" t="s">
        <v>4495</v>
      </c>
      <c r="D133" s="5" t="str">
        <f>IFERROR(__xludf.DUMMYFUNCTION("""COMPUTED_VALUE"""),"")</f>
        <v/>
      </c>
      <c r="E133" s="5">
        <f>IFERROR(__xludf.DUMMYFUNCTION("""COMPUTED_VALUE"""),0.5658122078059921)</f>
        <v>0.5658122078</v>
      </c>
      <c r="F133" s="5" t="str">
        <f>IFERROR(__xludf.DUMMYFUNCTION("""COMPUTED_VALUE"""),"")</f>
        <v/>
      </c>
      <c r="G133" s="5">
        <f>IFERROR(__xludf.DUMMYFUNCTION("""COMPUTED_VALUE"""),1.0)</f>
        <v>1</v>
      </c>
      <c r="H133" s="5">
        <f>IFERROR(__xludf.DUMMYFUNCTION("""COMPUTED_VALUE"""),0.6870647303206351)</f>
        <v>0.6870647303</v>
      </c>
      <c r="I133" s="5">
        <v>0.3601595249835615</v>
      </c>
    </row>
    <row r="134">
      <c r="A134" s="5" t="s">
        <v>4495</v>
      </c>
      <c r="B134" s="5" t="s">
        <v>4495</v>
      </c>
      <c r="C134" s="5" t="s">
        <v>4495</v>
      </c>
      <c r="D134" s="5" t="str">
        <f>IFERROR(__xludf.DUMMYFUNCTION("""COMPUTED_VALUE"""),"")</f>
        <v/>
      </c>
      <c r="E134" s="5">
        <f>IFERROR(__xludf.DUMMYFUNCTION("""COMPUTED_VALUE"""),0.8059033246030324)</f>
        <v>0.8059033246</v>
      </c>
      <c r="F134" s="5" t="str">
        <f>IFERROR(__xludf.DUMMYFUNCTION("""COMPUTED_VALUE"""),"")</f>
        <v/>
      </c>
      <c r="G134" s="5" t="str">
        <f>IFERROR(__xludf.DUMMYFUNCTION("""COMPUTED_VALUE"""),"")</f>
        <v/>
      </c>
      <c r="H134" s="5">
        <f>IFERROR(__xludf.DUMMYFUNCTION("""COMPUTED_VALUE"""),0.7634125368778296)</f>
        <v>0.7634125369</v>
      </c>
      <c r="I134" s="5">
        <v>0.27781708483854106</v>
      </c>
    </row>
    <row r="135">
      <c r="A135" s="5">
        <v>0.1574074074074074</v>
      </c>
      <c r="B135" s="5" t="s">
        <v>4495</v>
      </c>
      <c r="C135" s="5" t="s">
        <v>4495</v>
      </c>
      <c r="D135" s="5" t="str">
        <f>IFERROR(__xludf.DUMMYFUNCTION("""COMPUTED_VALUE"""),"")</f>
        <v/>
      </c>
      <c r="E135" s="5">
        <f>IFERROR(__xludf.DUMMYFUNCTION("""COMPUTED_VALUE"""),0.49480494611079556)</f>
        <v>0.4948049461</v>
      </c>
      <c r="F135" s="5" t="str">
        <f>IFERROR(__xludf.DUMMYFUNCTION("""COMPUTED_VALUE"""),"")</f>
        <v/>
      </c>
      <c r="G135" s="5">
        <f>IFERROR(__xludf.DUMMYFUNCTION("""COMPUTED_VALUE"""),1.0)</f>
        <v>1</v>
      </c>
      <c r="H135" s="5">
        <f>IFERROR(__xludf.DUMMYFUNCTION("""COMPUTED_VALUE"""),0.0)</f>
        <v>0</v>
      </c>
      <c r="I135" s="5">
        <v>0.2737012365276989</v>
      </c>
    </row>
    <row r="136">
      <c r="A136" s="5">
        <v>0.0876944837340877</v>
      </c>
      <c r="B136" s="5" t="s">
        <v>4495</v>
      </c>
      <c r="C136" s="5" t="s">
        <v>4495</v>
      </c>
      <c r="D136" s="5" t="str">
        <f>IFERROR(__xludf.DUMMYFUNCTION("""COMPUTED_VALUE"""),"")</f>
        <v/>
      </c>
      <c r="E136" s="5">
        <f>IFERROR(__xludf.DUMMYFUNCTION("""COMPUTED_VALUE"""),0.7000935552904257)</f>
        <v>0.7000935553</v>
      </c>
      <c r="F136" s="5" t="str">
        <f>IFERROR(__xludf.DUMMYFUNCTION("""COMPUTED_VALUE"""),"")</f>
        <v/>
      </c>
      <c r="G136" s="5">
        <f>IFERROR(__xludf.DUMMYFUNCTION("""COMPUTED_VALUE"""),1.0)</f>
        <v>1</v>
      </c>
      <c r="H136" s="5">
        <f>IFERROR(__xludf.DUMMYFUNCTION("""COMPUTED_VALUE"""),0.4467820234631535)</f>
        <v>0.4467820235</v>
      </c>
      <c r="I136" s="5">
        <v>0.36970159116892176</v>
      </c>
    </row>
    <row r="137">
      <c r="A137" s="5" t="s">
        <v>4495</v>
      </c>
      <c r="B137" s="5" t="s">
        <v>4495</v>
      </c>
      <c r="C137" s="5" t="s">
        <v>4495</v>
      </c>
      <c r="D137" s="5" t="str">
        <f>IFERROR(__xludf.DUMMYFUNCTION("""COMPUTED_VALUE"""),"")</f>
        <v/>
      </c>
      <c r="E137" s="5">
        <f>IFERROR(__xludf.DUMMYFUNCTION("""COMPUTED_VALUE"""),0.5478282077467163)</f>
        <v>0.5478282077</v>
      </c>
      <c r="F137" s="5" t="str">
        <f>IFERROR(__xludf.DUMMYFUNCTION("""COMPUTED_VALUE"""),"")</f>
        <v/>
      </c>
      <c r="G137" s="5" t="str">
        <f>IFERROR(__xludf.DUMMYFUNCTION("""COMPUTED_VALUE"""),"")</f>
        <v/>
      </c>
      <c r="H137" s="5">
        <f>IFERROR(__xludf.DUMMYFUNCTION("""COMPUTED_VALUE"""),0.9650189986477627)</f>
        <v>0.9650189986</v>
      </c>
      <c r="I137" s="5">
        <v>0.23345895180145534</v>
      </c>
    </row>
    <row r="138">
      <c r="A138" s="5">
        <v>0.029774127310061602</v>
      </c>
      <c r="B138" s="5">
        <v>0.0</v>
      </c>
      <c r="C138" s="5" t="s">
        <v>4495</v>
      </c>
      <c r="D138" s="5" t="str">
        <f>IFERROR(__xludf.DUMMYFUNCTION("""COMPUTED_VALUE"""),"")</f>
        <v/>
      </c>
      <c r="E138" s="5">
        <f>IFERROR(__xludf.DUMMYFUNCTION("""COMPUTED_VALUE"""),0.8088373261010358)</f>
        <v>0.8088373261</v>
      </c>
      <c r="F138" s="5">
        <f>IFERROR(__xludf.DUMMYFUNCTION("""COMPUTED_VALUE"""),1.0)</f>
        <v>1</v>
      </c>
      <c r="G138" s="5">
        <f>IFERROR(__xludf.DUMMYFUNCTION("""COMPUTED_VALUE"""),1.0)</f>
        <v>1</v>
      </c>
      <c r="H138" s="5">
        <f>IFERROR(__xludf.DUMMYFUNCTION("""COMPUTED_VALUE"""),0.3634684953716459)</f>
        <v>0.3634684954</v>
      </c>
      <c r="I138" s="5">
        <v>0.5885561810624236</v>
      </c>
    </row>
    <row r="139">
      <c r="A139" s="5">
        <v>0.04184100418410042</v>
      </c>
      <c r="B139" s="5">
        <v>0.0</v>
      </c>
      <c r="C139" s="5" t="s">
        <v>4495</v>
      </c>
      <c r="D139" s="5" t="str">
        <f>IFERROR(__xludf.DUMMYFUNCTION("""COMPUTED_VALUE"""),"")</f>
        <v/>
      </c>
      <c r="E139" s="5">
        <f>IFERROR(__xludf.DUMMYFUNCTION("""COMPUTED_VALUE"""),0.7620197332451271)</f>
        <v>0.7620197332</v>
      </c>
      <c r="F139" s="5">
        <f>IFERROR(__xludf.DUMMYFUNCTION("""COMPUTED_VALUE"""),1.0)</f>
        <v>1</v>
      </c>
      <c r="G139" s="5">
        <f>IFERROR(__xludf.DUMMYFUNCTION("""COMPUTED_VALUE"""),1.0)</f>
        <v>1</v>
      </c>
      <c r="H139" s="5">
        <f>IFERROR(__xludf.DUMMYFUNCTION("""COMPUTED_VALUE"""),0.40802862881170937)</f>
        <v>0.4080286288</v>
      </c>
      <c r="I139" s="5">
        <v>0.5813077961924528</v>
      </c>
    </row>
    <row r="140">
      <c r="A140" s="5">
        <v>0.1046831955922865</v>
      </c>
      <c r="B140" s="5" t="s">
        <v>4495</v>
      </c>
      <c r="C140" s="5" t="s">
        <v>4495</v>
      </c>
      <c r="D140" s="5" t="str">
        <f>IFERROR(__xludf.DUMMYFUNCTION("""COMPUTED_VALUE"""),"")</f>
        <v/>
      </c>
      <c r="E140" s="5">
        <f>IFERROR(__xludf.DUMMYFUNCTION("""COMPUTED_VALUE"""),0.842254136226349)</f>
        <v>0.8422541362</v>
      </c>
      <c r="F140" s="5" t="str">
        <f>IFERROR(__xludf.DUMMYFUNCTION("""COMPUTED_VALUE"""),"")</f>
        <v/>
      </c>
      <c r="G140" s="5">
        <f>IFERROR(__xludf.DUMMYFUNCTION("""COMPUTED_VALUE"""),1.0)</f>
        <v>1</v>
      </c>
      <c r="H140" s="5">
        <f>IFERROR(__xludf.DUMMYFUNCTION("""COMPUTED_VALUE"""),0.7846870617692479)</f>
        <v>0.7846870618</v>
      </c>
      <c r="I140" s="5">
        <v>0.43903224023351206</v>
      </c>
    </row>
    <row r="141">
      <c r="A141" s="5" t="s">
        <v>4495</v>
      </c>
      <c r="B141" s="5" t="s">
        <v>4495</v>
      </c>
      <c r="C141" s="5" t="s">
        <v>4495</v>
      </c>
      <c r="D141" s="5" t="str">
        <f>IFERROR(__xludf.DUMMYFUNCTION("""COMPUTED_VALUE"""),"")</f>
        <v/>
      </c>
      <c r="E141" s="5">
        <f>IFERROR(__xludf.DUMMYFUNCTION("""COMPUTED_VALUE"""),0.949044636620311)</f>
        <v>0.9490446366</v>
      </c>
      <c r="F141" s="5" t="str">
        <f>IFERROR(__xludf.DUMMYFUNCTION("""COMPUTED_VALUE"""),"")</f>
        <v/>
      </c>
      <c r="G141" s="5" t="str">
        <f>IFERROR(__xludf.DUMMYFUNCTION("""COMPUTED_VALUE"""),"")</f>
        <v/>
      </c>
      <c r="H141" s="5">
        <f>IFERROR(__xludf.DUMMYFUNCTION("""COMPUTED_VALUE"""),0.17739238212607333)</f>
        <v>0.1773923821</v>
      </c>
      <c r="I141" s="5">
        <v>0.2550003973676851</v>
      </c>
    </row>
    <row r="142">
      <c r="A142" s="5">
        <v>0.029473684210526315</v>
      </c>
      <c r="B142" s="5" t="s">
        <v>4495</v>
      </c>
      <c r="C142" s="5" t="s">
        <v>4495</v>
      </c>
      <c r="D142" s="5" t="str">
        <f>IFERROR(__xludf.DUMMYFUNCTION("""COMPUTED_VALUE"""),"")</f>
        <v/>
      </c>
      <c r="E142" s="5">
        <f>IFERROR(__xludf.DUMMYFUNCTION("""COMPUTED_VALUE"""),0.0)</f>
        <v>0</v>
      </c>
      <c r="F142" s="5" t="str">
        <f>IFERROR(__xludf.DUMMYFUNCTION("""COMPUTED_VALUE"""),"")</f>
        <v/>
      </c>
      <c r="G142" s="5">
        <f>IFERROR(__xludf.DUMMYFUNCTION("""COMPUTED_VALUE"""),1.0)</f>
        <v>1</v>
      </c>
      <c r="H142" s="5">
        <f>IFERROR(__xludf.DUMMYFUNCTION("""COMPUTED_VALUE"""),0.25271152621726806)</f>
        <v>0.2527115262</v>
      </c>
      <c r="I142" s="5">
        <v>0.1752711526217268</v>
      </c>
    </row>
    <row r="143">
      <c r="A143" s="5">
        <v>0.044131455399061034</v>
      </c>
      <c r="B143" s="5">
        <v>2.0</v>
      </c>
      <c r="C143" s="5" t="s">
        <v>4495</v>
      </c>
      <c r="D143" s="5" t="str">
        <f>IFERROR(__xludf.DUMMYFUNCTION("""COMPUTED_VALUE"""),"")</f>
        <v/>
      </c>
      <c r="E143" s="5">
        <f>IFERROR(__xludf.DUMMYFUNCTION("""COMPUTED_VALUE"""),0.5416225389667044)</f>
        <v>0.541622539</v>
      </c>
      <c r="F143" s="5">
        <f>IFERROR(__xludf.DUMMYFUNCTION("""COMPUTED_VALUE"""),1.0)</f>
        <v>1</v>
      </c>
      <c r="G143" s="5">
        <f>IFERROR(__xludf.DUMMYFUNCTION("""COMPUTED_VALUE"""),1.0)</f>
        <v>1</v>
      </c>
      <c r="H143" s="5">
        <f>IFERROR(__xludf.DUMMYFUNCTION("""COMPUTED_VALUE"""),0.21513218774825074)</f>
        <v>0.2151321877</v>
      </c>
      <c r="I143" s="5">
        <v>0.5069188535165011</v>
      </c>
    </row>
    <row r="144">
      <c r="A144" s="5">
        <v>0.04660045836516425</v>
      </c>
      <c r="B144" s="5">
        <v>0.0</v>
      </c>
      <c r="C144" s="5" t="s">
        <v>4495</v>
      </c>
      <c r="D144" s="5" t="str">
        <f>IFERROR(__xludf.DUMMYFUNCTION("""COMPUTED_VALUE"""),"")</f>
        <v/>
      </c>
      <c r="E144" s="5">
        <f>IFERROR(__xludf.DUMMYFUNCTION("""COMPUTED_VALUE"""),0.5353050503378812)</f>
        <v>0.5353050503</v>
      </c>
      <c r="F144" s="5">
        <f>IFERROR(__xludf.DUMMYFUNCTION("""COMPUTED_VALUE"""),1.0)</f>
        <v>1</v>
      </c>
      <c r="G144" s="5">
        <f>IFERROR(__xludf.DUMMYFUNCTION("""COMPUTED_VALUE"""),1.0)</f>
        <v>1</v>
      </c>
      <c r="H144" s="5">
        <f>IFERROR(__xludf.DUMMYFUNCTION("""COMPUTED_VALUE"""),0.495665358551555)</f>
        <v>0.4956653586</v>
      </c>
      <c r="I144" s="5">
        <v>0.5333927984396258</v>
      </c>
    </row>
    <row r="145">
      <c r="A145" s="5">
        <v>0.041379310344827586</v>
      </c>
      <c r="B145" s="5" t="s">
        <v>4495</v>
      </c>
      <c r="C145" s="5" t="s">
        <v>4495</v>
      </c>
      <c r="D145" s="5" t="str">
        <f>IFERROR(__xludf.DUMMYFUNCTION("""COMPUTED_VALUE"""),"")</f>
        <v/>
      </c>
      <c r="E145" s="5">
        <f>IFERROR(__xludf.DUMMYFUNCTION("""COMPUTED_VALUE"""),0.7269293584483356)</f>
        <v>0.7269293584</v>
      </c>
      <c r="F145" s="5" t="str">
        <f>IFERROR(__xludf.DUMMYFUNCTION("""COMPUTED_VALUE"""),"")</f>
        <v/>
      </c>
      <c r="G145" s="5">
        <f>IFERROR(__xludf.DUMMYFUNCTION("""COMPUTED_VALUE"""),1.0)</f>
        <v>1</v>
      </c>
      <c r="H145" s="5">
        <f>IFERROR(__xludf.DUMMYFUNCTION("""COMPUTED_VALUE"""),0.8698583169064583)</f>
        <v>0.8698583169</v>
      </c>
      <c r="I145" s="5">
        <v>0.41871817130272976</v>
      </c>
    </row>
    <row r="146">
      <c r="A146" s="5">
        <v>0.04475781729000613</v>
      </c>
      <c r="B146" s="5">
        <v>0.0</v>
      </c>
      <c r="C146" s="5" t="s">
        <v>4495</v>
      </c>
      <c r="D146" s="5" t="str">
        <f>IFERROR(__xludf.DUMMYFUNCTION("""COMPUTED_VALUE"""),"")</f>
        <v/>
      </c>
      <c r="E146" s="5">
        <f>IFERROR(__xludf.DUMMYFUNCTION("""COMPUTED_VALUE"""),0.7232191531066832)</f>
        <v>0.7232191531</v>
      </c>
      <c r="F146" s="5">
        <f>IFERROR(__xludf.DUMMYFUNCTION("""COMPUTED_VALUE"""),1.0)</f>
        <v>1</v>
      </c>
      <c r="G146" s="5">
        <f>IFERROR(__xludf.DUMMYFUNCTION("""COMPUTED_VALUE"""),1.0)</f>
        <v>1</v>
      </c>
      <c r="H146" s="5">
        <f>IFERROR(__xludf.DUMMYFUNCTION("""COMPUTED_VALUE"""),0.0)</f>
        <v>0</v>
      </c>
      <c r="I146" s="5">
        <v>0.5308047882766708</v>
      </c>
    </row>
    <row r="147">
      <c r="A147" s="5">
        <v>0.019067175124669992</v>
      </c>
      <c r="B147" s="5" t="s">
        <v>4495</v>
      </c>
      <c r="C147" s="5" t="s">
        <v>4495</v>
      </c>
      <c r="D147" s="5" t="str">
        <f>IFERROR(__xludf.DUMMYFUNCTION("""COMPUTED_VALUE"""),"")</f>
        <v/>
      </c>
      <c r="E147" s="5">
        <f>IFERROR(__xludf.DUMMYFUNCTION("""COMPUTED_VALUE"""),0.2726143405923116)</f>
        <v>0.2726143406</v>
      </c>
      <c r="F147" s="5" t="str">
        <f>IFERROR(__xludf.DUMMYFUNCTION("""COMPUTED_VALUE"""),"")</f>
        <v/>
      </c>
      <c r="G147" s="5">
        <f>IFERROR(__xludf.DUMMYFUNCTION("""COMPUTED_VALUE"""),1.0)</f>
        <v>1</v>
      </c>
      <c r="H147" s="5">
        <f>IFERROR(__xludf.DUMMYFUNCTION("""COMPUTED_VALUE"""),0.6961219834498718)</f>
        <v>0.6961219834</v>
      </c>
      <c r="I147" s="5">
        <v>0.2877657834930651</v>
      </c>
    </row>
    <row r="148">
      <c r="A148" s="5">
        <v>0.046012269938650305</v>
      </c>
      <c r="B148" s="5">
        <v>0.0</v>
      </c>
      <c r="C148" s="5" t="s">
        <v>4495</v>
      </c>
      <c r="D148" s="5" t="str">
        <f>IFERROR(__xludf.DUMMYFUNCTION("""COMPUTED_VALUE"""),"")</f>
        <v/>
      </c>
      <c r="E148" s="5">
        <f>IFERROR(__xludf.DUMMYFUNCTION("""COMPUTED_VALUE"""),0.7118469843264902)</f>
        <v>0.7118469843</v>
      </c>
      <c r="F148" s="5">
        <f>IFERROR(__xludf.DUMMYFUNCTION("""COMPUTED_VALUE"""),1.0)</f>
        <v>1</v>
      </c>
      <c r="G148" s="5">
        <f>IFERROR(__xludf.DUMMYFUNCTION("""COMPUTED_VALUE"""),1.0)</f>
        <v>1</v>
      </c>
      <c r="H148" s="5">
        <f>IFERROR(__xludf.DUMMYFUNCTION("""COMPUTED_VALUE"""),0.03009465958728923)</f>
        <v>0.03009465959</v>
      </c>
      <c r="I148" s="5">
        <v>0.5309712120403516</v>
      </c>
    </row>
    <row r="149">
      <c r="A149" s="5">
        <v>0.12685125563425628</v>
      </c>
      <c r="B149" s="5" t="s">
        <v>4495</v>
      </c>
      <c r="C149" s="5" t="s">
        <v>4495</v>
      </c>
      <c r="D149" s="5" t="str">
        <f>IFERROR(__xludf.DUMMYFUNCTION("""COMPUTED_VALUE"""),"")</f>
        <v/>
      </c>
      <c r="E149" s="5">
        <f>IFERROR(__xludf.DUMMYFUNCTION("""COMPUTED_VALUE"""),0.975447191684463)</f>
        <v>0.9754471917</v>
      </c>
      <c r="F149" s="5" t="str">
        <f>IFERROR(__xludf.DUMMYFUNCTION("""COMPUTED_VALUE"""),"")</f>
        <v/>
      </c>
      <c r="G149" s="5">
        <f>IFERROR(__xludf.DUMMYFUNCTION("""COMPUTED_VALUE"""),1.0)</f>
        <v>1</v>
      </c>
      <c r="H149" s="5">
        <f>IFERROR(__xludf.DUMMYFUNCTION("""COMPUTED_VALUE"""),0.6282045419740796)</f>
        <v>0.628204542</v>
      </c>
      <c r="I149" s="5">
        <v>0.4566822521185237</v>
      </c>
    </row>
    <row r="150">
      <c r="A150" s="5">
        <v>0.046804680468046804</v>
      </c>
      <c r="B150" s="5" t="s">
        <v>4495</v>
      </c>
      <c r="C150" s="5" t="s">
        <v>4495</v>
      </c>
      <c r="D150" s="5" t="str">
        <f>IFERROR(__xludf.DUMMYFUNCTION("""COMPUTED_VALUE"""),"")</f>
        <v/>
      </c>
      <c r="E150" s="5">
        <f>IFERROR(__xludf.DUMMYFUNCTION("""COMPUTED_VALUE"""),0.945105144241996)</f>
        <v>0.9451051442</v>
      </c>
      <c r="F150" s="5" t="str">
        <f>IFERROR(__xludf.DUMMYFUNCTION("""COMPUTED_VALUE"""),"")</f>
        <v/>
      </c>
      <c r="G150" s="5">
        <f>IFERROR(__xludf.DUMMYFUNCTION("""COMPUTED_VALUE"""),1.0)</f>
        <v>1</v>
      </c>
      <c r="H150" s="5">
        <f>IFERROR(__xludf.DUMMYFUNCTION("""COMPUTED_VALUE"""),0.9939699049545205)</f>
        <v>0.993969905</v>
      </c>
      <c r="I150" s="5">
        <v>0.48567327655595105</v>
      </c>
    </row>
    <row r="151">
      <c r="A151" s="5">
        <v>0.009297520661157025</v>
      </c>
      <c r="B151" s="5" t="s">
        <v>4495</v>
      </c>
      <c r="C151" s="5" t="s">
        <v>4495</v>
      </c>
      <c r="D151" s="5" t="str">
        <f>IFERROR(__xludf.DUMMYFUNCTION("""COMPUTED_VALUE"""),"")</f>
        <v/>
      </c>
      <c r="E151" s="5">
        <f>IFERROR(__xludf.DUMMYFUNCTION("""COMPUTED_VALUE"""),0.2726143405923116)</f>
        <v>0.2726143406</v>
      </c>
      <c r="F151" s="5" t="str">
        <f>IFERROR(__xludf.DUMMYFUNCTION("""COMPUTED_VALUE"""),"")</f>
        <v/>
      </c>
      <c r="G151" s="5">
        <f>IFERROR(__xludf.DUMMYFUNCTION("""COMPUTED_VALUE"""),1.0)</f>
        <v>1</v>
      </c>
      <c r="H151" s="5">
        <f>IFERROR(__xludf.DUMMYFUNCTION("""COMPUTED_VALUE"""),0.5471878814913675)</f>
        <v>0.5471878815</v>
      </c>
      <c r="I151" s="5">
        <v>0.27287237329721464</v>
      </c>
    </row>
    <row r="152">
      <c r="A152" s="5">
        <v>0.03892543859649123</v>
      </c>
      <c r="B152" s="5" t="s">
        <v>4495</v>
      </c>
      <c r="C152" s="5" t="s">
        <v>4495</v>
      </c>
      <c r="D152" s="5" t="str">
        <f>IFERROR(__xludf.DUMMYFUNCTION("""COMPUTED_VALUE"""),"")</f>
        <v/>
      </c>
      <c r="E152" s="5">
        <f>IFERROR(__xludf.DUMMYFUNCTION("""COMPUTED_VALUE"""),0.9350582925541416)</f>
        <v>0.9350582926</v>
      </c>
      <c r="F152" s="5" t="str">
        <f>IFERROR(__xludf.DUMMYFUNCTION("""COMPUTED_VALUE"""),"")</f>
        <v/>
      </c>
      <c r="G152" s="5">
        <f>IFERROR(__xludf.DUMMYFUNCTION("""COMPUTED_VALUE"""),1.0)</f>
        <v>1</v>
      </c>
      <c r="H152" s="5">
        <f>IFERROR(__xludf.DUMMYFUNCTION("""COMPUTED_VALUE"""),0.7107975462998052)</f>
        <v>0.7107975463</v>
      </c>
      <c r="I152" s="5">
        <v>0.4548443277685159</v>
      </c>
    </row>
    <row r="153">
      <c r="A153" s="5" t="s">
        <v>4495</v>
      </c>
      <c r="B153" s="5" t="s">
        <v>4495</v>
      </c>
      <c r="C153" s="5" t="s">
        <v>4495</v>
      </c>
      <c r="D153" s="5" t="str">
        <f>IFERROR(__xludf.DUMMYFUNCTION("""COMPUTED_VALUE"""),"")</f>
        <v/>
      </c>
      <c r="E153" s="5">
        <f>IFERROR(__xludf.DUMMYFUNCTION("""COMPUTED_VALUE"""),0.36667068086885374)</f>
        <v>0.3666706809</v>
      </c>
      <c r="F153" s="5" t="str">
        <f>IFERROR(__xludf.DUMMYFUNCTION("""COMPUTED_VALUE"""),"")</f>
        <v/>
      </c>
      <c r="G153" s="5" t="str">
        <f>IFERROR(__xludf.DUMMYFUNCTION("""COMPUTED_VALUE"""),"")</f>
        <v/>
      </c>
      <c r="H153" s="5">
        <f>IFERROR(__xludf.DUMMYFUNCTION("""COMPUTED_VALUE"""),0.336288352872133)</f>
        <v>0.3362883529</v>
      </c>
      <c r="I153" s="5">
        <v>0.12529650550442673</v>
      </c>
    </row>
    <row r="154">
      <c r="A154" s="5">
        <v>0.0118324272465622</v>
      </c>
      <c r="B154" s="5" t="s">
        <v>4495</v>
      </c>
      <c r="C154" s="5" t="s">
        <v>4495</v>
      </c>
      <c r="D154" s="5" t="str">
        <f>IFERROR(__xludf.DUMMYFUNCTION("""COMPUTED_VALUE"""),"")</f>
        <v/>
      </c>
      <c r="E154" s="5">
        <f>IFERROR(__xludf.DUMMYFUNCTION("""COMPUTED_VALUE"""),0.0)</f>
        <v>0</v>
      </c>
      <c r="F154" s="5" t="str">
        <f>IFERROR(__xludf.DUMMYFUNCTION("""COMPUTED_VALUE"""),"")</f>
        <v/>
      </c>
      <c r="G154" s="5">
        <f>IFERROR(__xludf.DUMMYFUNCTION("""COMPUTED_VALUE"""),1.0)</f>
        <v>1</v>
      </c>
      <c r="H154" s="5">
        <f>IFERROR(__xludf.DUMMYFUNCTION("""COMPUTED_VALUE"""),0.12115616512388203)</f>
        <v>0.1211561651</v>
      </c>
      <c r="I154" s="5">
        <v>0.1621156165123882</v>
      </c>
    </row>
    <row r="155">
      <c r="A155" s="5" t="s">
        <v>4495</v>
      </c>
      <c r="B155" s="5" t="s">
        <v>4495</v>
      </c>
      <c r="C155" s="5" t="s">
        <v>4495</v>
      </c>
      <c r="D155" s="5" t="str">
        <f>IFERROR(__xludf.DUMMYFUNCTION("""COMPUTED_VALUE"""),"")</f>
        <v/>
      </c>
      <c r="E155" s="5">
        <f>IFERROR(__xludf.DUMMYFUNCTION("""COMPUTED_VALUE"""),1.0)</f>
        <v>1</v>
      </c>
      <c r="F155" s="5" t="str">
        <f>IFERROR(__xludf.DUMMYFUNCTION("""COMPUTED_VALUE"""),"")</f>
        <v/>
      </c>
      <c r="G155" s="5" t="str">
        <f>IFERROR(__xludf.DUMMYFUNCTION("""COMPUTED_VALUE"""),"")</f>
        <v/>
      </c>
      <c r="H155" s="5">
        <f>IFERROR(__xludf.DUMMYFUNCTION("""COMPUTED_VALUE"""),0.7954403107552936)</f>
        <v>0.7954403108</v>
      </c>
      <c r="I155" s="5">
        <v>0.3295440310755294</v>
      </c>
    </row>
    <row r="156">
      <c r="A156" s="5" t="s">
        <v>4495</v>
      </c>
      <c r="B156" s="5" t="s">
        <v>4495</v>
      </c>
      <c r="C156" s="5" t="s">
        <v>4495</v>
      </c>
      <c r="D156" s="5" t="str">
        <f>IFERROR(__xludf.DUMMYFUNCTION("""COMPUTED_VALUE"""),"")</f>
        <v/>
      </c>
      <c r="E156" s="5">
        <f>IFERROR(__xludf.DUMMYFUNCTION("""COMPUTED_VALUE"""),0.8117469787582382)</f>
        <v>0.8117469788</v>
      </c>
      <c r="F156" s="5" t="str">
        <f>IFERROR(__xludf.DUMMYFUNCTION("""COMPUTED_VALUE"""),"")</f>
        <v/>
      </c>
      <c r="G156" s="5" t="str">
        <f>IFERROR(__xludf.DUMMYFUNCTION("""COMPUTED_VALUE"""),"")</f>
        <v/>
      </c>
      <c r="H156" s="5">
        <f>IFERROR(__xludf.DUMMYFUNCTION("""COMPUTED_VALUE"""),0.7607858378948519)</f>
        <v>0.7607858379</v>
      </c>
      <c r="I156" s="5">
        <v>0.27901532847904476</v>
      </c>
    </row>
    <row r="157">
      <c r="A157" s="5">
        <v>0.08113489298158287</v>
      </c>
      <c r="B157" s="5">
        <v>0.0</v>
      </c>
      <c r="C157" s="5" t="s">
        <v>4495</v>
      </c>
      <c r="D157" s="5" t="str">
        <f>IFERROR(__xludf.DUMMYFUNCTION("""COMPUTED_VALUE"""),"")</f>
        <v/>
      </c>
      <c r="E157" s="5">
        <f>IFERROR(__xludf.DUMMYFUNCTION("""COMPUTED_VALUE"""),0.6795841339910054)</f>
        <v>0.679584134</v>
      </c>
      <c r="F157" s="5">
        <f>IFERROR(__xludf.DUMMYFUNCTION("""COMPUTED_VALUE"""),1.0)</f>
        <v>1</v>
      </c>
      <c r="G157" s="5">
        <f>IFERROR(__xludf.DUMMYFUNCTION("""COMPUTED_VALUE"""),1.0)</f>
        <v>1</v>
      </c>
      <c r="H157" s="5">
        <f>IFERROR(__xludf.DUMMYFUNCTION("""COMPUTED_VALUE"""),0.5471878814913675)</f>
        <v>0.5471878815</v>
      </c>
      <c r="I157" s="5">
        <v>0.5746148216468882</v>
      </c>
    </row>
    <row r="158">
      <c r="A158" s="5" t="s">
        <v>4495</v>
      </c>
      <c r="B158" s="5" t="s">
        <v>4495</v>
      </c>
      <c r="C158" s="5" t="s">
        <v>4495</v>
      </c>
      <c r="D158" s="5" t="str">
        <f>IFERROR(__xludf.DUMMYFUNCTION("""COMPUTED_VALUE"""),"")</f>
        <v/>
      </c>
      <c r="E158" s="5">
        <f>IFERROR(__xludf.DUMMYFUNCTION("""COMPUTED_VALUE"""),0.029589222297267914)</f>
        <v>0.0295892223</v>
      </c>
      <c r="F158" s="5" t="str">
        <f>IFERROR(__xludf.DUMMYFUNCTION("""COMPUTED_VALUE"""),"")</f>
        <v/>
      </c>
      <c r="G158" s="5" t="str">
        <f>IFERROR(__xludf.DUMMYFUNCTION("""COMPUTED_VALUE"""),"")</f>
        <v/>
      </c>
      <c r="H158" s="5">
        <f>IFERROR(__xludf.DUMMYFUNCTION("""COMPUTED_VALUE"""),0.0)</f>
        <v>0</v>
      </c>
      <c r="I158" s="5">
        <v>0.007397305574316978</v>
      </c>
    </row>
    <row r="159">
      <c r="A159" s="5">
        <v>0.1059322033898305</v>
      </c>
      <c r="B159" s="5">
        <v>0.0</v>
      </c>
      <c r="C159" s="5" t="s">
        <v>4495</v>
      </c>
      <c r="D159" s="5" t="str">
        <f>IFERROR(__xludf.DUMMYFUNCTION("""COMPUTED_VALUE"""),"")</f>
        <v/>
      </c>
      <c r="E159" s="5">
        <f>IFERROR(__xludf.DUMMYFUNCTION("""COMPUTED_VALUE"""),0.5716075650904038)</f>
        <v>0.5716075651</v>
      </c>
      <c r="F159" s="5">
        <f>IFERROR(__xludf.DUMMYFUNCTION("""COMPUTED_VALUE"""),1.0)</f>
        <v>1</v>
      </c>
      <c r="G159" s="5">
        <f>IFERROR(__xludf.DUMMYFUNCTION("""COMPUTED_VALUE"""),1.0)</f>
        <v>1</v>
      </c>
      <c r="H159" s="5">
        <f>IFERROR(__xludf.DUMMYFUNCTION("""COMPUTED_VALUE"""),0.7467202844151569)</f>
        <v>0.7467202844</v>
      </c>
      <c r="I159" s="5">
        <v>0.5675739197141166</v>
      </c>
    </row>
    <row r="160">
      <c r="A160" s="5" t="s">
        <v>4495</v>
      </c>
      <c r="B160" s="5" t="s">
        <v>4495</v>
      </c>
      <c r="C160" s="5" t="s">
        <v>4495</v>
      </c>
      <c r="D160" s="5" t="str">
        <f>IFERROR(__xludf.DUMMYFUNCTION("""COMPUTED_VALUE"""),"")</f>
        <v/>
      </c>
      <c r="E160" s="5">
        <f>IFERROR(__xludf.DUMMYFUNCTION("""COMPUTED_VALUE"""),0.0)</f>
        <v>0</v>
      </c>
      <c r="F160" s="5" t="str">
        <f>IFERROR(__xludf.DUMMYFUNCTION("""COMPUTED_VALUE"""),"")</f>
        <v/>
      </c>
      <c r="G160" s="5" t="str">
        <f>IFERROR(__xludf.DUMMYFUNCTION("""COMPUTED_VALUE"""),"")</f>
        <v/>
      </c>
      <c r="H160" s="5">
        <f>IFERROR(__xludf.DUMMYFUNCTION("""COMPUTED_VALUE"""),0.0)</f>
        <v>0</v>
      </c>
      <c r="I160" s="5">
        <v>0.0</v>
      </c>
    </row>
    <row r="161">
      <c r="A161" s="5" t="s">
        <v>4495</v>
      </c>
      <c r="B161" s="5" t="s">
        <v>4495</v>
      </c>
      <c r="C161" s="5" t="s">
        <v>4495</v>
      </c>
      <c r="D161" s="5" t="str">
        <f>IFERROR(__xludf.DUMMYFUNCTION("""COMPUTED_VALUE"""),"")</f>
        <v/>
      </c>
      <c r="E161" s="5">
        <f>IFERROR(__xludf.DUMMYFUNCTION("""COMPUTED_VALUE"""),0.7342340212618556)</f>
        <v>0.7342340213</v>
      </c>
      <c r="F161" s="5" t="str">
        <f>IFERROR(__xludf.DUMMYFUNCTION("""COMPUTED_VALUE"""),"")</f>
        <v/>
      </c>
      <c r="G161" s="5" t="str">
        <f>IFERROR(__xludf.DUMMYFUNCTION("""COMPUTED_VALUE"""),"")</f>
        <v/>
      </c>
      <c r="H161" s="5">
        <f>IFERROR(__xludf.DUMMYFUNCTION("""COMPUTED_VALUE"""),0.4130723542258289)</f>
        <v>0.4130723542</v>
      </c>
      <c r="I161" s="5">
        <v>0.22486574073804677</v>
      </c>
    </row>
    <row r="162">
      <c r="A162" s="5">
        <v>0.009642654566080544</v>
      </c>
      <c r="B162" s="5" t="s">
        <v>4495</v>
      </c>
      <c r="C162" s="5" t="s">
        <v>4495</v>
      </c>
      <c r="D162" s="5" t="str">
        <f>IFERROR(__xludf.DUMMYFUNCTION("""COMPUTED_VALUE"""),"")</f>
        <v/>
      </c>
      <c r="E162" s="5">
        <f>IFERROR(__xludf.DUMMYFUNCTION("""COMPUTED_VALUE"""),0.2726143405923116)</f>
        <v>0.2726143406</v>
      </c>
      <c r="F162" s="5" t="str">
        <f>IFERROR(__xludf.DUMMYFUNCTION("""COMPUTED_VALUE"""),"")</f>
        <v/>
      </c>
      <c r="G162" s="5">
        <f>IFERROR(__xludf.DUMMYFUNCTION("""COMPUTED_VALUE"""),1.0)</f>
        <v>1</v>
      </c>
      <c r="H162" s="5">
        <f>IFERROR(__xludf.DUMMYFUNCTION("""COMPUTED_VALUE"""),0.8985187633496309)</f>
        <v>0.8985187633</v>
      </c>
      <c r="I162" s="5">
        <v>0.308005461483041</v>
      </c>
    </row>
    <row r="163">
      <c r="A163" s="5" t="s">
        <v>4495</v>
      </c>
      <c r="B163" s="5" t="s">
        <v>4495</v>
      </c>
      <c r="C163" s="5" t="s">
        <v>4495</v>
      </c>
      <c r="D163" s="5" t="str">
        <f>IFERROR(__xludf.DUMMYFUNCTION("""COMPUTED_VALUE"""),"")</f>
        <v/>
      </c>
      <c r="E163" s="5">
        <f>IFERROR(__xludf.DUMMYFUNCTION("""COMPUTED_VALUE"""),0.0)</f>
        <v>0</v>
      </c>
      <c r="F163" s="5" t="str">
        <f>IFERROR(__xludf.DUMMYFUNCTION("""COMPUTED_VALUE"""),"")</f>
        <v/>
      </c>
      <c r="G163" s="5" t="str">
        <f>IFERROR(__xludf.DUMMYFUNCTION("""COMPUTED_VALUE"""),"")</f>
        <v/>
      </c>
      <c r="H163" s="5">
        <f>IFERROR(__xludf.DUMMYFUNCTION("""COMPUTED_VALUE"""),0.6420138459549198)</f>
        <v>0.642013846</v>
      </c>
      <c r="I163" s="5">
        <v>0.06420138459549199</v>
      </c>
    </row>
    <row r="164">
      <c r="A164" s="5">
        <v>0.009115963536145855</v>
      </c>
      <c r="B164" s="5">
        <v>1.0</v>
      </c>
      <c r="C164" s="5" t="s">
        <v>4495</v>
      </c>
      <c r="D164" s="5" t="str">
        <f>IFERROR(__xludf.DUMMYFUNCTION("""COMPUTED_VALUE"""),"")</f>
        <v/>
      </c>
      <c r="E164" s="5">
        <f>IFERROR(__xludf.DUMMYFUNCTION("""COMPUTED_VALUE"""),0.3227870895109485)</f>
        <v>0.3227870895</v>
      </c>
      <c r="F164" s="5">
        <f>IFERROR(__xludf.DUMMYFUNCTION("""COMPUTED_VALUE"""),1.0)</f>
        <v>1</v>
      </c>
      <c r="G164" s="5">
        <f>IFERROR(__xludf.DUMMYFUNCTION("""COMPUTED_VALUE"""),1.0)</f>
        <v>1</v>
      </c>
      <c r="H164" s="5">
        <f>IFERROR(__xludf.DUMMYFUNCTION("""COMPUTED_VALUE"""),0.5838323782038936)</f>
        <v>0.5838323782</v>
      </c>
      <c r="I164" s="5">
        <v>0.4890800101981265</v>
      </c>
    </row>
    <row r="165">
      <c r="A165" s="5">
        <v>0.10876451953537487</v>
      </c>
      <c r="B165" s="5" t="s">
        <v>4495</v>
      </c>
      <c r="C165" s="5" t="s">
        <v>4495</v>
      </c>
      <c r="D165" s="5" t="str">
        <f>IFERROR(__xludf.DUMMYFUNCTION("""COMPUTED_VALUE"""),"")</f>
        <v/>
      </c>
      <c r="E165" s="5">
        <f>IFERROR(__xludf.DUMMYFUNCTION("""COMPUTED_VALUE"""),0.6486927451058364)</f>
        <v>0.6486927451</v>
      </c>
      <c r="F165" s="5" t="str">
        <f>IFERROR(__xludf.DUMMYFUNCTION("""COMPUTED_VALUE"""),"")</f>
        <v/>
      </c>
      <c r="G165" s="5">
        <f>IFERROR(__xludf.DUMMYFUNCTION("""COMPUTED_VALUE"""),1.0)</f>
        <v>1</v>
      </c>
      <c r="H165" s="5">
        <f>IFERROR(__xludf.DUMMYFUNCTION("""COMPUTED_VALUE"""),0.5597603386555386)</f>
        <v>0.5597603387</v>
      </c>
      <c r="I165" s="5">
        <v>0.36814922014201296</v>
      </c>
    </row>
    <row r="166">
      <c r="A166" s="5">
        <v>0.009930486593843098</v>
      </c>
      <c r="B166" s="5">
        <v>0.0</v>
      </c>
      <c r="C166" s="5" t="s">
        <v>4495</v>
      </c>
      <c r="D166" s="5" t="str">
        <f>IFERROR(__xludf.DUMMYFUNCTION("""COMPUTED_VALUE"""),"")</f>
        <v/>
      </c>
      <c r="E166" s="5">
        <f>IFERROR(__xludf.DUMMYFUNCTION("""COMPUTED_VALUE"""),0.5884401318226129)</f>
        <v>0.5884401318</v>
      </c>
      <c r="F166" s="5">
        <f>IFERROR(__xludf.DUMMYFUNCTION("""COMPUTED_VALUE"""),1.0)</f>
        <v>1</v>
      </c>
      <c r="G166" s="5">
        <f>IFERROR(__xludf.DUMMYFUNCTION("""COMPUTED_VALUE"""),1.0)</f>
        <v>1</v>
      </c>
      <c r="H166" s="5">
        <f>IFERROR(__xludf.DUMMYFUNCTION("""COMPUTED_VALUE"""),0.87183090148872)</f>
        <v>0.8718309015</v>
      </c>
      <c r="I166" s="5">
        <v>0.5842931231045253</v>
      </c>
    </row>
    <row r="167">
      <c r="A167" s="5">
        <v>0.08405797101449275</v>
      </c>
      <c r="B167" s="5">
        <v>0.0</v>
      </c>
      <c r="C167" s="5" t="s">
        <v>4495</v>
      </c>
      <c r="D167" s="5" t="str">
        <f>IFERROR(__xludf.DUMMYFUNCTION("""COMPUTED_VALUE"""),"")</f>
        <v/>
      </c>
      <c r="E167" s="5">
        <f>IFERROR(__xludf.DUMMYFUNCTION("""COMPUTED_VALUE"""),1.0)</f>
        <v>1</v>
      </c>
      <c r="F167" s="5">
        <f>IFERROR(__xludf.DUMMYFUNCTION("""COMPUTED_VALUE"""),1.0)</f>
        <v>1</v>
      </c>
      <c r="G167" s="5">
        <f>IFERROR(__xludf.DUMMYFUNCTION("""COMPUTED_VALUE"""),1.0)</f>
        <v>1</v>
      </c>
      <c r="H167" s="5">
        <f>IFERROR(__xludf.DUMMYFUNCTION("""COMPUTED_VALUE"""),0.7875815476535016)</f>
        <v>0.7875815477</v>
      </c>
      <c r="I167" s="5">
        <v>0.6787581547653502</v>
      </c>
    </row>
    <row r="168">
      <c r="A168" s="5">
        <v>0.008252703471826979</v>
      </c>
      <c r="B168" s="5" t="s">
        <v>4495</v>
      </c>
      <c r="C168" s="5" t="s">
        <v>4495</v>
      </c>
      <c r="D168" s="5" t="str">
        <f>IFERROR(__xludf.DUMMYFUNCTION("""COMPUTED_VALUE"""),"")</f>
        <v/>
      </c>
      <c r="E168" s="5">
        <f>IFERROR(__xludf.DUMMYFUNCTION("""COMPUTED_VALUE"""),0.21404331870033824)</f>
        <v>0.2140433187</v>
      </c>
      <c r="F168" s="5" t="str">
        <f>IFERROR(__xludf.DUMMYFUNCTION("""COMPUTED_VALUE"""),"")</f>
        <v/>
      </c>
      <c r="G168" s="5">
        <f>IFERROR(__xludf.DUMMYFUNCTION("""COMPUTED_VALUE"""),1.0)</f>
        <v>1</v>
      </c>
      <c r="H168" s="5">
        <f>IFERROR(__xludf.DUMMYFUNCTION("""COMPUTED_VALUE"""),0.015316089267507091)</f>
        <v>0.01531608927</v>
      </c>
      <c r="I168" s="5">
        <v>0.20504243860183527</v>
      </c>
    </row>
    <row r="169">
      <c r="A169" s="5">
        <v>0.08705114254624592</v>
      </c>
      <c r="B169" s="5" t="s">
        <v>4495</v>
      </c>
      <c r="C169" s="5" t="s">
        <v>4495</v>
      </c>
      <c r="D169" s="5" t="str">
        <f>IFERROR(__xludf.DUMMYFUNCTION("""COMPUTED_VALUE"""),"")</f>
        <v/>
      </c>
      <c r="E169" s="5">
        <f>IFERROR(__xludf.DUMMYFUNCTION("""COMPUTED_VALUE"""),1.0)</f>
        <v>1</v>
      </c>
      <c r="F169" s="5" t="str">
        <f>IFERROR(__xludf.DUMMYFUNCTION("""COMPUTED_VALUE"""),"")</f>
        <v/>
      </c>
      <c r="G169" s="5">
        <f>IFERROR(__xludf.DUMMYFUNCTION("""COMPUTED_VALUE"""),1.0)</f>
        <v>1</v>
      </c>
      <c r="H169" s="5">
        <f>IFERROR(__xludf.DUMMYFUNCTION("""COMPUTED_VALUE"""),0.821734761995934)</f>
        <v>0.821734762</v>
      </c>
      <c r="I169" s="5">
        <v>0.48217347619959344</v>
      </c>
    </row>
    <row r="170">
      <c r="A170" s="5">
        <v>0.010502793296089385</v>
      </c>
      <c r="B170" s="5" t="s">
        <v>4495</v>
      </c>
      <c r="C170" s="5" t="s">
        <v>4495</v>
      </c>
      <c r="D170" s="5" t="str">
        <f>IFERROR(__xludf.DUMMYFUNCTION("""COMPUTED_VALUE"""),"")</f>
        <v/>
      </c>
      <c r="E170" s="5">
        <f>IFERROR(__xludf.DUMMYFUNCTION("""COMPUTED_VALUE"""),0.6622664840841103)</f>
        <v>0.6622664841</v>
      </c>
      <c r="F170" s="5" t="str">
        <f>IFERROR(__xludf.DUMMYFUNCTION("""COMPUTED_VALUE"""),"")</f>
        <v/>
      </c>
      <c r="G170" s="5">
        <f>IFERROR(__xludf.DUMMYFUNCTION("""COMPUTED_VALUE"""),1.0)</f>
        <v>1</v>
      </c>
      <c r="H170" s="5">
        <f>IFERROR(__xludf.DUMMYFUNCTION("""COMPUTED_VALUE"""),0.4626762130800115)</f>
        <v>0.4626762131</v>
      </c>
      <c r="I170" s="5">
        <v>0.3618342423290287</v>
      </c>
    </row>
    <row r="171">
      <c r="A171" s="5">
        <v>0.025948660714285716</v>
      </c>
      <c r="B171" s="5" t="s">
        <v>4495</v>
      </c>
      <c r="C171" s="5" t="s">
        <v>4495</v>
      </c>
      <c r="D171" s="5" t="str">
        <f>IFERROR(__xludf.DUMMYFUNCTION("""COMPUTED_VALUE"""),"")</f>
        <v/>
      </c>
      <c r="E171" s="5">
        <f>IFERROR(__xludf.DUMMYFUNCTION("""COMPUTED_VALUE"""),0.5884401318226129)</f>
        <v>0.5884401318</v>
      </c>
      <c r="F171" s="5" t="str">
        <f>IFERROR(__xludf.DUMMYFUNCTION("""COMPUTED_VALUE"""),"")</f>
        <v/>
      </c>
      <c r="G171" s="5">
        <f>IFERROR(__xludf.DUMMYFUNCTION("""COMPUTED_VALUE"""),1.0)</f>
        <v>1</v>
      </c>
      <c r="H171" s="5">
        <f>IFERROR(__xludf.DUMMYFUNCTION("""COMPUTED_VALUE"""),0.648752326325584)</f>
        <v>0.6487523263</v>
      </c>
      <c r="I171" s="5">
        <v>0.3619852655882116</v>
      </c>
    </row>
    <row r="172">
      <c r="A172" s="5">
        <v>0.061027837259100645</v>
      </c>
      <c r="B172" s="5">
        <v>0.0</v>
      </c>
      <c r="C172" s="5" t="s">
        <v>4495</v>
      </c>
      <c r="D172" s="5" t="str">
        <f>IFERROR(__xludf.DUMMYFUNCTION("""COMPUTED_VALUE"""),"")</f>
        <v/>
      </c>
      <c r="E172" s="5">
        <f>IFERROR(__xludf.DUMMYFUNCTION("""COMPUTED_VALUE"""),0.7586645771823989)</f>
        <v>0.7586645772</v>
      </c>
      <c r="F172" s="5">
        <f>IFERROR(__xludf.DUMMYFUNCTION("""COMPUTED_VALUE"""),1.0)</f>
        <v>1</v>
      </c>
      <c r="G172" s="5">
        <f>IFERROR(__xludf.DUMMYFUNCTION("""COMPUTED_VALUE"""),1.0)</f>
        <v>1</v>
      </c>
      <c r="H172" s="5">
        <f>IFERROR(__xludf.DUMMYFUNCTION("""COMPUTED_VALUE"""),0.0)</f>
        <v>0</v>
      </c>
      <c r="I172" s="5">
        <v>0.5396661442955998</v>
      </c>
    </row>
    <row r="173">
      <c r="A173" s="5">
        <v>0.0072801941385103605</v>
      </c>
      <c r="B173" s="5">
        <v>3.0</v>
      </c>
      <c r="C173" s="5" t="s">
        <v>4495</v>
      </c>
      <c r="D173" s="5" t="str">
        <f>IFERROR(__xludf.DUMMYFUNCTION("""COMPUTED_VALUE"""),"")</f>
        <v/>
      </c>
      <c r="E173" s="5">
        <f>IFERROR(__xludf.DUMMYFUNCTION("""COMPUTED_VALUE"""),0.21404331870033824)</f>
        <v>0.2140433187</v>
      </c>
      <c r="F173" s="5">
        <f>IFERROR(__xludf.DUMMYFUNCTION("""COMPUTED_VALUE"""),1.0)</f>
        <v>1</v>
      </c>
      <c r="G173" s="5">
        <f>IFERROR(__xludf.DUMMYFUNCTION("""COMPUTED_VALUE"""),1.0)</f>
        <v>1</v>
      </c>
      <c r="H173" s="5">
        <f>IFERROR(__xludf.DUMMYFUNCTION("""COMPUTED_VALUE"""),0.12115616512388203)</f>
        <v>0.1211561651</v>
      </c>
      <c r="I173" s="5">
        <v>0.41562644618747274</v>
      </c>
    </row>
    <row r="174">
      <c r="A174" s="5">
        <v>0.006147134642078128</v>
      </c>
      <c r="B174" s="5" t="s">
        <v>4495</v>
      </c>
      <c r="C174" s="5" t="s">
        <v>4495</v>
      </c>
      <c r="D174" s="5" t="str">
        <f>IFERROR(__xludf.DUMMYFUNCTION("""COMPUTED_VALUE"""),"")</f>
        <v/>
      </c>
      <c r="E174" s="5">
        <f>IFERROR(__xludf.DUMMYFUNCTION("""COMPUTED_VALUE"""),0.33428356644099017)</f>
        <v>0.3342835664</v>
      </c>
      <c r="F174" s="5" t="str">
        <f>IFERROR(__xludf.DUMMYFUNCTION("""COMPUTED_VALUE"""),"")</f>
        <v/>
      </c>
      <c r="G174" s="5">
        <f>IFERROR(__xludf.DUMMYFUNCTION("""COMPUTED_VALUE"""),1.0)</f>
        <v>1</v>
      </c>
      <c r="H174" s="5">
        <f>IFERROR(__xludf.DUMMYFUNCTION("""COMPUTED_VALUE"""),0.22438851724062323)</f>
        <v>0.2243885172</v>
      </c>
      <c r="I174" s="5">
        <v>0.25600974333430987</v>
      </c>
    </row>
    <row r="175">
      <c r="A175" s="5">
        <v>0.06286186931348221</v>
      </c>
      <c r="B175" s="5" t="s">
        <v>4495</v>
      </c>
      <c r="C175" s="5" t="s">
        <v>4495</v>
      </c>
      <c r="D175" s="5" t="str">
        <f>IFERROR(__xludf.DUMMYFUNCTION("""COMPUTED_VALUE"""),"")</f>
        <v/>
      </c>
      <c r="E175" s="5">
        <f>IFERROR(__xludf.DUMMYFUNCTION("""COMPUTED_VALUE"""),0.5416225389667044)</f>
        <v>0.541622539</v>
      </c>
      <c r="F175" s="5" t="str">
        <f>IFERROR(__xludf.DUMMYFUNCTION("""COMPUTED_VALUE"""),"")</f>
        <v/>
      </c>
      <c r="G175" s="5">
        <f>IFERROR(__xludf.DUMMYFUNCTION("""COMPUTED_VALUE"""),1.0)</f>
        <v>1</v>
      </c>
      <c r="H175" s="5">
        <f>IFERROR(__xludf.DUMMYFUNCTION("""COMPUTED_VALUE"""),0.5838323782038936)</f>
        <v>0.5838323782</v>
      </c>
      <c r="I175" s="5">
        <v>0.3437888725620655</v>
      </c>
    </row>
    <row r="176">
      <c r="A176" s="5">
        <v>0.09072164948453608</v>
      </c>
      <c r="B176" s="5" t="s">
        <v>4495</v>
      </c>
      <c r="C176" s="5" t="s">
        <v>4495</v>
      </c>
      <c r="D176" s="5" t="str">
        <f>IFERROR(__xludf.DUMMYFUNCTION("""COMPUTED_VALUE"""),"")</f>
        <v/>
      </c>
      <c r="E176" s="5">
        <f>IFERROR(__xludf.DUMMYFUNCTION("""COMPUTED_VALUE"""),0.9914271735765677)</f>
        <v>0.9914271736</v>
      </c>
      <c r="F176" s="5" t="str">
        <f>IFERROR(__xludf.DUMMYFUNCTION("""COMPUTED_VALUE"""),"")</f>
        <v/>
      </c>
      <c r="G176" s="5">
        <f>IFERROR(__xludf.DUMMYFUNCTION("""COMPUTED_VALUE"""),1.0)</f>
        <v>1</v>
      </c>
      <c r="H176" s="5">
        <f>IFERROR(__xludf.DUMMYFUNCTION("""COMPUTED_VALUE"""),0.0)</f>
        <v>0</v>
      </c>
      <c r="I176" s="5">
        <v>0.3978567933941419</v>
      </c>
    </row>
    <row r="177">
      <c r="A177" s="5" t="s">
        <v>4495</v>
      </c>
      <c r="B177" s="5" t="s">
        <v>4495</v>
      </c>
      <c r="C177" s="5" t="s">
        <v>4495</v>
      </c>
      <c r="D177" s="5" t="str">
        <f>IFERROR(__xludf.DUMMYFUNCTION("""COMPUTED_VALUE"""),"")</f>
        <v/>
      </c>
      <c r="E177" s="5">
        <f>IFERROR(__xludf.DUMMYFUNCTION("""COMPUTED_VALUE"""),0.0)</f>
        <v>0</v>
      </c>
      <c r="F177" s="5" t="str">
        <f>IFERROR(__xludf.DUMMYFUNCTION("""COMPUTED_VALUE"""),"")</f>
        <v/>
      </c>
      <c r="G177" s="5" t="str">
        <f>IFERROR(__xludf.DUMMYFUNCTION("""COMPUTED_VALUE"""),"")</f>
        <v/>
      </c>
      <c r="H177" s="5">
        <f>IFERROR(__xludf.DUMMYFUNCTION("""COMPUTED_VALUE"""),0.0)</f>
        <v>0</v>
      </c>
      <c r="I177" s="5">
        <v>0.0</v>
      </c>
    </row>
    <row r="178">
      <c r="A178" s="5">
        <v>0.036580813736468834</v>
      </c>
      <c r="B178" s="5" t="s">
        <v>4495</v>
      </c>
      <c r="C178" s="5" t="s">
        <v>4495</v>
      </c>
      <c r="D178" s="5" t="str">
        <f>IFERROR(__xludf.DUMMYFUNCTION("""COMPUTED_VALUE"""),"")</f>
        <v/>
      </c>
      <c r="E178" s="5">
        <f>IFERROR(__xludf.DUMMYFUNCTION("""COMPUTED_VALUE"""),0.5018882402125678)</f>
        <v>0.5018882402</v>
      </c>
      <c r="F178" s="5" t="str">
        <f>IFERROR(__xludf.DUMMYFUNCTION("""COMPUTED_VALUE"""),"")</f>
        <v/>
      </c>
      <c r="G178" s="5">
        <f>IFERROR(__xludf.DUMMYFUNCTION("""COMPUTED_VALUE"""),1.0)</f>
        <v>1</v>
      </c>
      <c r="H178" s="5">
        <f>IFERROR(__xludf.DUMMYFUNCTION("""COMPUTED_VALUE"""),0.24231233024776405)</f>
        <v>0.2423123302</v>
      </c>
      <c r="I178" s="5">
        <v>0.2997032930779184</v>
      </c>
    </row>
    <row r="179">
      <c r="A179" s="5">
        <v>0.04292199752373091</v>
      </c>
      <c r="B179" s="5" t="s">
        <v>4495</v>
      </c>
      <c r="C179" s="5" t="s">
        <v>4495</v>
      </c>
      <c r="D179" s="5" t="str">
        <f>IFERROR(__xludf.DUMMYFUNCTION("""COMPUTED_VALUE"""),"")</f>
        <v/>
      </c>
      <c r="E179" s="5">
        <f>IFERROR(__xludf.DUMMYFUNCTION("""COMPUTED_VALUE"""),0.31090082806830316)</f>
        <v>0.3109008281</v>
      </c>
      <c r="F179" s="5" t="str">
        <f>IFERROR(__xludf.DUMMYFUNCTION("""COMPUTED_VALUE"""),"")</f>
        <v/>
      </c>
      <c r="G179" s="5">
        <f>IFERROR(__xludf.DUMMYFUNCTION("""COMPUTED_VALUE"""),1.0)</f>
        <v>1</v>
      </c>
      <c r="H179" s="5">
        <f>IFERROR(__xludf.DUMMYFUNCTION("""COMPUTED_VALUE"""),0.5342285193497109)</f>
        <v>0.5342285193</v>
      </c>
      <c r="I179" s="5">
        <v>0.28114805895204686</v>
      </c>
    </row>
    <row r="180">
      <c r="A180" s="5" t="s">
        <v>4495</v>
      </c>
      <c r="B180" s="5" t="s">
        <v>4495</v>
      </c>
      <c r="C180" s="5" t="s">
        <v>4495</v>
      </c>
      <c r="D180" s="5" t="str">
        <f>IFERROR(__xludf.DUMMYFUNCTION("""COMPUTED_VALUE"""),"")</f>
        <v/>
      </c>
      <c r="E180" s="5">
        <f>IFERROR(__xludf.DUMMYFUNCTION("""COMPUTED_VALUE"""),0.029589222297267914)</f>
        <v>0.0295892223</v>
      </c>
      <c r="F180" s="5" t="str">
        <f>IFERROR(__xludf.DUMMYFUNCTION("""COMPUTED_VALUE"""),"")</f>
        <v/>
      </c>
      <c r="G180" s="5" t="str">
        <f>IFERROR(__xludf.DUMMYFUNCTION("""COMPUTED_VALUE"""),"")</f>
        <v/>
      </c>
      <c r="H180" s="5">
        <f>IFERROR(__xludf.DUMMYFUNCTION("""COMPUTED_VALUE"""),0.09708412557552656)</f>
        <v>0.09708412558</v>
      </c>
      <c r="I180" s="5">
        <v>0.017105718131869636</v>
      </c>
    </row>
    <row r="181">
      <c r="A181" s="5">
        <v>0.055127810286418236</v>
      </c>
      <c r="B181" s="5" t="s">
        <v>4495</v>
      </c>
      <c r="C181" s="5" t="s">
        <v>4495</v>
      </c>
      <c r="D181" s="5" t="str">
        <f>IFERROR(__xludf.DUMMYFUNCTION("""COMPUTED_VALUE"""),"")</f>
        <v/>
      </c>
      <c r="E181" s="5">
        <f>IFERROR(__xludf.DUMMYFUNCTION("""COMPUTED_VALUE"""),0.715678838128153)</f>
        <v>0.7156788381</v>
      </c>
      <c r="F181" s="5" t="str">
        <f>IFERROR(__xludf.DUMMYFUNCTION("""COMPUTED_VALUE"""),"")</f>
        <v/>
      </c>
      <c r="G181" s="5">
        <f>IFERROR(__xludf.DUMMYFUNCTION("""COMPUTED_VALUE"""),1.0)</f>
        <v>1</v>
      </c>
      <c r="H181" s="5">
        <f>IFERROR(__xludf.DUMMYFUNCTION("""COMPUTED_VALUE"""),0.8668820074279364)</f>
        <v>0.8668820074</v>
      </c>
      <c r="I181" s="5">
        <v>0.4156079102748319</v>
      </c>
    </row>
    <row r="182">
      <c r="A182" s="5" t="s">
        <v>4495</v>
      </c>
      <c r="B182" s="5" t="s">
        <v>4495</v>
      </c>
      <c r="C182" s="5" t="s">
        <v>4495</v>
      </c>
      <c r="D182" s="5" t="str">
        <f>IFERROR(__xludf.DUMMYFUNCTION("""COMPUTED_VALUE"""),"")</f>
        <v/>
      </c>
      <c r="E182" s="5">
        <f>IFERROR(__xludf.DUMMYFUNCTION("""COMPUTED_VALUE"""),0.16264250851574893)</f>
        <v>0.1626425085</v>
      </c>
      <c r="F182" s="5" t="str">
        <f>IFERROR(__xludf.DUMMYFUNCTION("""COMPUTED_VALUE"""),"")</f>
        <v/>
      </c>
      <c r="G182" s="5" t="str">
        <f>IFERROR(__xludf.DUMMYFUNCTION("""COMPUTED_VALUE"""),"")</f>
        <v/>
      </c>
      <c r="H182" s="5">
        <f>IFERROR(__xludf.DUMMYFUNCTION("""COMPUTED_VALUE"""),0.17076002397806472)</f>
        <v>0.170760024</v>
      </c>
      <c r="I182" s="5">
        <v>0.0577366295267437</v>
      </c>
    </row>
    <row r="183">
      <c r="A183" s="5">
        <v>0.014708845456377191</v>
      </c>
      <c r="B183" s="5" t="s">
        <v>4495</v>
      </c>
      <c r="C183" s="5" t="s">
        <v>4495</v>
      </c>
      <c r="D183" s="5" t="str">
        <f>IFERROR(__xludf.DUMMYFUNCTION("""COMPUTED_VALUE"""),"")</f>
        <v/>
      </c>
      <c r="E183" s="5">
        <f>IFERROR(__xludf.DUMMYFUNCTION("""COMPUTED_VALUE"""),0.18062650857502485)</f>
        <v>0.1806265086</v>
      </c>
      <c r="F183" s="5" t="str">
        <f>IFERROR(__xludf.DUMMYFUNCTION("""COMPUTED_VALUE"""),"")</f>
        <v/>
      </c>
      <c r="G183" s="5">
        <f>IFERROR(__xludf.DUMMYFUNCTION("""COMPUTED_VALUE"""),1.0)</f>
        <v>1</v>
      </c>
      <c r="H183" s="5">
        <f>IFERROR(__xludf.DUMMYFUNCTION("""COMPUTED_VALUE"""),0.24231233024776405)</f>
        <v>0.2423123302</v>
      </c>
      <c r="I183" s="5">
        <v>0.21938786016853262</v>
      </c>
    </row>
    <row r="184">
      <c r="A184" s="5" t="s">
        <v>4495</v>
      </c>
      <c r="B184" s="5" t="s">
        <v>4495</v>
      </c>
      <c r="C184" s="5" t="s">
        <v>4495</v>
      </c>
      <c r="D184" s="5" t="str">
        <f>IFERROR(__xludf.DUMMYFUNCTION("""COMPUTED_VALUE"""),"")</f>
        <v/>
      </c>
      <c r="E184" s="5">
        <f>IFERROR(__xludf.DUMMYFUNCTION("""COMPUTED_VALUE"""),0.12364556257381001)</f>
        <v>0.1236455626</v>
      </c>
      <c r="F184" s="5" t="str">
        <f>IFERROR(__xludf.DUMMYFUNCTION("""COMPUTED_VALUE"""),"")</f>
        <v/>
      </c>
      <c r="G184" s="5" t="str">
        <f>IFERROR(__xludf.DUMMYFUNCTION("""COMPUTED_VALUE"""),"")</f>
        <v/>
      </c>
      <c r="H184" s="5">
        <f>IFERROR(__xludf.DUMMYFUNCTION("""COMPUTED_VALUE"""),0.044372163770186025)</f>
        <v>0.04437216377</v>
      </c>
      <c r="I184" s="5">
        <v>0.03534860702047111</v>
      </c>
    </row>
    <row r="185">
      <c r="A185" s="5">
        <v>0.06037735849056604</v>
      </c>
      <c r="B185" s="5" t="s">
        <v>4495</v>
      </c>
      <c r="C185" s="5" t="s">
        <v>4495</v>
      </c>
      <c r="D185" s="5" t="str">
        <f>IFERROR(__xludf.DUMMYFUNCTION("""COMPUTED_VALUE"""),"")</f>
        <v/>
      </c>
      <c r="E185" s="5">
        <f>IFERROR(__xludf.DUMMYFUNCTION("""COMPUTED_VALUE"""),0.0)</f>
        <v>0</v>
      </c>
      <c r="F185" s="5" t="str">
        <f>IFERROR(__xludf.DUMMYFUNCTION("""COMPUTED_VALUE"""),"")</f>
        <v/>
      </c>
      <c r="G185" s="5">
        <f>IFERROR(__xludf.DUMMYFUNCTION("""COMPUTED_VALUE"""),1.0)</f>
        <v>1</v>
      </c>
      <c r="H185" s="5">
        <f>IFERROR(__xludf.DUMMYFUNCTION("""COMPUTED_VALUE"""),0.4779923023475191)</f>
        <v>0.4779923023</v>
      </c>
      <c r="I185" s="5">
        <v>0.1977992302347519</v>
      </c>
    </row>
    <row r="186">
      <c r="A186" s="5">
        <v>0.10928616550852811</v>
      </c>
      <c r="B186" s="5" t="s">
        <v>4495</v>
      </c>
      <c r="C186" s="5" t="s">
        <v>4495</v>
      </c>
      <c r="D186" s="5" t="str">
        <f>IFERROR(__xludf.DUMMYFUNCTION("""COMPUTED_VALUE"""),"")</f>
        <v/>
      </c>
      <c r="E186" s="5">
        <f>IFERROR(__xludf.DUMMYFUNCTION("""COMPUTED_VALUE"""),0.7413895988672289)</f>
        <v>0.7413895989</v>
      </c>
      <c r="F186" s="5" t="str">
        <f>IFERROR(__xludf.DUMMYFUNCTION("""COMPUTED_VALUE"""),"")</f>
        <v/>
      </c>
      <c r="G186" s="5">
        <f>IFERROR(__xludf.DUMMYFUNCTION("""COMPUTED_VALUE"""),1.0)</f>
        <v>1</v>
      </c>
      <c r="H186" s="5">
        <f>IFERROR(__xludf.DUMMYFUNCTION("""COMPUTED_VALUE"""),0.5471878814913675)</f>
        <v>0.5471878815</v>
      </c>
      <c r="I186" s="5">
        <v>0.390066187865944</v>
      </c>
    </row>
    <row r="187">
      <c r="A187" s="5">
        <v>0.05960896518836433</v>
      </c>
      <c r="B187" s="5" t="s">
        <v>4495</v>
      </c>
      <c r="C187" s="5" t="s">
        <v>4495</v>
      </c>
      <c r="D187" s="5" t="str">
        <f>IFERROR(__xludf.DUMMYFUNCTION("""COMPUTED_VALUE"""),"")</f>
        <v/>
      </c>
      <c r="E187" s="5">
        <f>IFERROR(__xludf.DUMMYFUNCTION("""COMPUTED_VALUE"""),0.8775973859947773)</f>
        <v>0.877597386</v>
      </c>
      <c r="F187" s="5" t="str">
        <f>IFERROR(__xludf.DUMMYFUNCTION("""COMPUTED_VALUE"""),"")</f>
        <v/>
      </c>
      <c r="G187" s="5">
        <f>IFERROR(__xludf.DUMMYFUNCTION("""COMPUTED_VALUE"""),1.0)</f>
        <v>1</v>
      </c>
      <c r="H187" s="5">
        <f>IFERROR(__xludf.DUMMYFUNCTION("""COMPUTED_VALUE"""),0.49277087266730096)</f>
        <v>0.4927708727</v>
      </c>
      <c r="I187" s="5">
        <v>0.4186764337654244</v>
      </c>
    </row>
    <row r="188">
      <c r="A188" s="5">
        <v>0.017447758165956583</v>
      </c>
      <c r="B188" s="5" t="s">
        <v>4495</v>
      </c>
      <c r="C188" s="5" t="s">
        <v>4495</v>
      </c>
      <c r="D188" s="5" t="str">
        <f>IFERROR(__xludf.DUMMYFUNCTION("""COMPUTED_VALUE"""),"")</f>
        <v/>
      </c>
      <c r="E188" s="5">
        <f>IFERROR(__xludf.DUMMYFUNCTION("""COMPUTED_VALUE"""),0.16264250851574893)</f>
        <v>0.1626425085</v>
      </c>
      <c r="F188" s="5" t="str">
        <f>IFERROR(__xludf.DUMMYFUNCTION("""COMPUTED_VALUE"""),"")</f>
        <v/>
      </c>
      <c r="G188" s="5">
        <f>IFERROR(__xludf.DUMMYFUNCTION("""COMPUTED_VALUE"""),1.0)</f>
        <v>1</v>
      </c>
      <c r="H188" s="5">
        <f>IFERROR(__xludf.DUMMYFUNCTION("""COMPUTED_VALUE"""),0.5679381885870348)</f>
        <v>0.5679381886</v>
      </c>
      <c r="I188" s="5">
        <v>0.24745444598764071</v>
      </c>
    </row>
    <row r="189">
      <c r="A189" s="5" t="s">
        <v>4495</v>
      </c>
      <c r="B189" s="5" t="s">
        <v>4495</v>
      </c>
      <c r="C189" s="5" t="s">
        <v>4495</v>
      </c>
      <c r="D189" s="5" t="str">
        <f>IFERROR(__xludf.DUMMYFUNCTION("""COMPUTED_VALUE"""),"")</f>
        <v/>
      </c>
      <c r="E189" s="5">
        <f>IFERROR(__xludf.DUMMYFUNCTION("""COMPUTED_VALUE"""),0.21404331870033824)</f>
        <v>0.2140433187</v>
      </c>
      <c r="F189" s="5" t="str">
        <f>IFERROR(__xludf.DUMMYFUNCTION("""COMPUTED_VALUE"""),"")</f>
        <v/>
      </c>
      <c r="G189" s="5" t="str">
        <f>IFERROR(__xludf.DUMMYFUNCTION("""COMPUTED_VALUE"""),"")</f>
        <v/>
      </c>
      <c r="H189" s="5">
        <f>IFERROR(__xludf.DUMMYFUNCTION("""COMPUTED_VALUE"""),0.6282045419740796)</f>
        <v>0.628204542</v>
      </c>
      <c r="I189" s="5">
        <v>0.11633128387249253</v>
      </c>
    </row>
    <row r="190">
      <c r="A190" s="5">
        <v>0.013295832267962158</v>
      </c>
      <c r="B190" s="5" t="s">
        <v>4495</v>
      </c>
      <c r="C190" s="5" t="s">
        <v>4495</v>
      </c>
      <c r="D190" s="5" t="str">
        <f>IFERROR(__xludf.DUMMYFUNCTION("""COMPUTED_VALUE"""),"")</f>
        <v/>
      </c>
      <c r="E190" s="5">
        <f>IFERROR(__xludf.DUMMYFUNCTION("""COMPUTED_VALUE"""),0.5018882402125678)</f>
        <v>0.5018882402</v>
      </c>
      <c r="F190" s="5" t="str">
        <f>IFERROR(__xludf.DUMMYFUNCTION("""COMPUTED_VALUE"""),"")</f>
        <v/>
      </c>
      <c r="G190" s="5">
        <f>IFERROR(__xludf.DUMMYFUNCTION("""COMPUTED_VALUE"""),1.0)</f>
        <v>1</v>
      </c>
      <c r="H190" s="5">
        <f>IFERROR(__xludf.DUMMYFUNCTION("""COMPUTED_VALUE"""),0.08451166841135611)</f>
        <v>0.08451166841</v>
      </c>
      <c r="I190" s="5">
        <v>0.28392322689427757</v>
      </c>
    </row>
    <row r="191">
      <c r="A191" s="5">
        <v>0.012859633827375762</v>
      </c>
      <c r="B191" s="5">
        <v>1.0</v>
      </c>
      <c r="C191" s="5" t="s">
        <v>4495</v>
      </c>
      <c r="D191" s="5" t="str">
        <f>IFERROR(__xludf.DUMMYFUNCTION("""COMPUTED_VALUE"""),"")</f>
        <v/>
      </c>
      <c r="E191" s="5">
        <f>IFERROR(__xludf.DUMMYFUNCTION("""COMPUTED_VALUE"""),0.0)</f>
        <v>0</v>
      </c>
      <c r="F191" s="5">
        <f>IFERROR(__xludf.DUMMYFUNCTION("""COMPUTED_VALUE"""),1.0)</f>
        <v>1</v>
      </c>
      <c r="G191" s="5">
        <f>IFERROR(__xludf.DUMMYFUNCTION("""COMPUTED_VALUE"""),1.0)</f>
        <v>1</v>
      </c>
      <c r="H191" s="5">
        <f>IFERROR(__xludf.DUMMYFUNCTION("""COMPUTED_VALUE"""),0.4246113236606248)</f>
        <v>0.4246113237</v>
      </c>
      <c r="I191" s="5">
        <v>0.39246113236606245</v>
      </c>
    </row>
    <row r="192">
      <c r="A192" s="5">
        <v>0.03940886699507389</v>
      </c>
      <c r="B192" s="5">
        <v>0.0</v>
      </c>
      <c r="C192" s="5" t="s">
        <v>4495</v>
      </c>
      <c r="D192" s="5" t="str">
        <f>IFERROR(__xludf.DUMMYFUNCTION("""COMPUTED_VALUE"""),"")</f>
        <v/>
      </c>
      <c r="E192" s="5">
        <f>IFERROR(__xludf.DUMMYFUNCTION("""COMPUTED_VALUE"""),0.055572302376616874)</f>
        <v>0.05557230238</v>
      </c>
      <c r="F192" s="5">
        <f>IFERROR(__xludf.DUMMYFUNCTION("""COMPUTED_VALUE"""),1.0)</f>
        <v>1</v>
      </c>
      <c r="G192" s="5">
        <f>IFERROR(__xludf.DUMMYFUNCTION("""COMPUTED_VALUE"""),1.0)</f>
        <v>1</v>
      </c>
      <c r="H192" s="5">
        <f>IFERROR(__xludf.DUMMYFUNCTION("""COMPUTED_VALUE"""),0.29191618910194683)</f>
        <v>0.2919161891</v>
      </c>
      <c r="I192" s="5">
        <v>0.3930846945043489</v>
      </c>
    </row>
    <row r="193">
      <c r="A193" s="5">
        <v>0.018769096464426014</v>
      </c>
      <c r="B193" s="5" t="s">
        <v>4495</v>
      </c>
      <c r="C193" s="5" t="s">
        <v>4495</v>
      </c>
      <c r="D193" s="5" t="str">
        <f>IFERROR(__xludf.DUMMYFUNCTION("""COMPUTED_VALUE"""),"")</f>
        <v/>
      </c>
      <c r="E193" s="5">
        <f>IFERROR(__xludf.DUMMYFUNCTION("""COMPUTED_VALUE"""),0.5288716380402964)</f>
        <v>0.528871638</v>
      </c>
      <c r="F193" s="5" t="str">
        <f>IFERROR(__xludf.DUMMYFUNCTION("""COMPUTED_VALUE"""),"")</f>
        <v/>
      </c>
      <c r="G193" s="5">
        <f>IFERROR(__xludf.DUMMYFUNCTION("""COMPUTED_VALUE"""),1.0)</f>
        <v>1</v>
      </c>
      <c r="H193" s="5">
        <f>IFERROR(__xludf.DUMMYFUNCTION("""COMPUTED_VALUE"""),1.0)</f>
        <v>1</v>
      </c>
      <c r="I193" s="5">
        <v>0.38221790951007406</v>
      </c>
    </row>
    <row r="194">
      <c r="A194" s="5">
        <v>0.09701071630005641</v>
      </c>
      <c r="B194" s="5">
        <v>0.0</v>
      </c>
      <c r="C194" s="5" t="s">
        <v>4495</v>
      </c>
      <c r="D194" s="5" t="str">
        <f>IFERROR(__xludf.DUMMYFUNCTION("""COMPUTED_VALUE"""),"")</f>
        <v/>
      </c>
      <c r="E194" s="5">
        <f>IFERROR(__xludf.DUMMYFUNCTION("""COMPUTED_VALUE"""),0.7586645771823989)</f>
        <v>0.7586645772</v>
      </c>
      <c r="F194" s="5">
        <f>IFERROR(__xludf.DUMMYFUNCTION("""COMPUTED_VALUE"""),1.0)</f>
        <v>1</v>
      </c>
      <c r="G194" s="5">
        <f>IFERROR(__xludf.DUMMYFUNCTION("""COMPUTED_VALUE"""),1.0)</f>
        <v>1</v>
      </c>
      <c r="H194" s="5">
        <f>IFERROR(__xludf.DUMMYFUNCTION("""COMPUTED_VALUE"""),1.0)</f>
        <v>1</v>
      </c>
      <c r="I194" s="5">
        <v>0.6396661442955998</v>
      </c>
    </row>
    <row r="195">
      <c r="A195" s="5">
        <v>0.140011068068622</v>
      </c>
      <c r="B195" s="5" t="s">
        <v>4495</v>
      </c>
      <c r="C195" s="5" t="s">
        <v>4495</v>
      </c>
      <c r="D195" s="5" t="str">
        <f>IFERROR(__xludf.DUMMYFUNCTION("""COMPUTED_VALUE"""),"")</f>
        <v/>
      </c>
      <c r="E195" s="5">
        <f>IFERROR(__xludf.DUMMYFUNCTION("""COMPUTED_VALUE"""),1.0)</f>
        <v>1</v>
      </c>
      <c r="F195" s="5" t="str">
        <f>IFERROR(__xludf.DUMMYFUNCTION("""COMPUTED_VALUE"""),"")</f>
        <v/>
      </c>
      <c r="G195" s="5">
        <f>IFERROR(__xludf.DUMMYFUNCTION("""COMPUTED_VALUE"""),1.0)</f>
        <v>1</v>
      </c>
      <c r="H195" s="5">
        <f>IFERROR(__xludf.DUMMYFUNCTION("""COMPUTED_VALUE"""),0.6282045419740796)</f>
        <v>0.628204542</v>
      </c>
      <c r="I195" s="5">
        <v>0.46282045419740797</v>
      </c>
    </row>
    <row r="196">
      <c r="A196" s="5">
        <v>0.010801080108010801</v>
      </c>
      <c r="B196" s="5" t="s">
        <v>4495</v>
      </c>
      <c r="C196" s="5" t="s">
        <v>4495</v>
      </c>
      <c r="D196" s="5" t="str">
        <f>IFERROR(__xludf.DUMMYFUNCTION("""COMPUTED_VALUE"""),"")</f>
        <v/>
      </c>
      <c r="E196" s="5">
        <f>IFERROR(__xludf.DUMMYFUNCTION("""COMPUTED_VALUE"""),0.8059033246030324)</f>
        <v>0.8059033246</v>
      </c>
      <c r="F196" s="5" t="str">
        <f>IFERROR(__xludf.DUMMYFUNCTION("""COMPUTED_VALUE"""),"")</f>
        <v/>
      </c>
      <c r="G196" s="5">
        <f>IFERROR(__xludf.DUMMYFUNCTION("""COMPUTED_VALUE"""),1.0)</f>
        <v>1</v>
      </c>
      <c r="H196" s="5">
        <f>IFERROR(__xludf.DUMMYFUNCTION("""COMPUTED_VALUE"""),0.7989645659521445)</f>
        <v>0.798964566</v>
      </c>
      <c r="I196" s="5">
        <v>0.4313722877459725</v>
      </c>
    </row>
    <row r="197">
      <c r="A197" s="5">
        <v>0.015600624024960999</v>
      </c>
      <c r="B197" s="5" t="s">
        <v>4495</v>
      </c>
      <c r="C197" s="5" t="s">
        <v>4495</v>
      </c>
      <c r="D197" s="5" t="str">
        <f>IFERROR(__xludf.DUMMYFUNCTION("""COMPUTED_VALUE"""),"")</f>
        <v/>
      </c>
      <c r="E197" s="5">
        <f>IFERROR(__xludf.DUMMYFUNCTION("""COMPUTED_VALUE"""),0.43230913174650915)</f>
        <v>0.4323091317</v>
      </c>
      <c r="F197" s="5" t="str">
        <f>IFERROR(__xludf.DUMMYFUNCTION("""COMPUTED_VALUE"""),"")</f>
        <v/>
      </c>
      <c r="G197" s="5">
        <f>IFERROR(__xludf.DUMMYFUNCTION("""COMPUTED_VALUE"""),1.0)</f>
        <v>1</v>
      </c>
      <c r="H197" s="5">
        <f>IFERROR(__xludf.DUMMYFUNCTION("""COMPUTED_VALUE"""),0.7346291370615134)</f>
        <v>0.7346291371</v>
      </c>
      <c r="I197" s="5">
        <v>0.3315401966427787</v>
      </c>
    </row>
    <row r="198">
      <c r="A198" s="5">
        <v>0.026531901452937462</v>
      </c>
      <c r="B198" s="5" t="s">
        <v>4495</v>
      </c>
      <c r="C198" s="5" t="s">
        <v>4495</v>
      </c>
      <c r="D198" s="5" t="str">
        <f>IFERROR(__xludf.DUMMYFUNCTION("""COMPUTED_VALUE"""),"")</f>
        <v/>
      </c>
      <c r="E198" s="5">
        <f>IFERROR(__xludf.DUMMYFUNCTION("""COMPUTED_VALUE"""),0.8059033246030324)</f>
        <v>0.8059033246</v>
      </c>
      <c r="F198" s="5" t="str">
        <f>IFERROR(__xludf.DUMMYFUNCTION("""COMPUTED_VALUE"""),"")</f>
        <v/>
      </c>
      <c r="G198" s="5">
        <f>IFERROR(__xludf.DUMMYFUNCTION("""COMPUTED_VALUE"""),1.0)</f>
        <v>1</v>
      </c>
      <c r="H198" s="5">
        <f>IFERROR(__xludf.DUMMYFUNCTION("""COMPUTED_VALUE"""),0.6824619955629085)</f>
        <v>0.6824619956</v>
      </c>
      <c r="I198" s="5">
        <v>0.41972203070704894</v>
      </c>
    </row>
    <row r="199">
      <c r="A199" s="5">
        <v>0.05894308943089431</v>
      </c>
      <c r="B199" s="5">
        <v>0.0</v>
      </c>
      <c r="C199" s="5" t="s">
        <v>4495</v>
      </c>
      <c r="D199" s="5" t="str">
        <f>IFERROR(__xludf.DUMMYFUNCTION("""COMPUTED_VALUE"""),"")</f>
        <v/>
      </c>
      <c r="E199" s="5">
        <f>IFERROR(__xludf.DUMMYFUNCTION("""COMPUTED_VALUE"""),0.7194692656719576)</f>
        <v>0.7194692657</v>
      </c>
      <c r="F199" s="5">
        <f>IFERROR(__xludf.DUMMYFUNCTION("""COMPUTED_VALUE"""),1.0)</f>
        <v>1</v>
      </c>
      <c r="G199" s="5">
        <f>IFERROR(__xludf.DUMMYFUNCTION("""COMPUTED_VALUE"""),1.0)</f>
        <v>1</v>
      </c>
      <c r="H199" s="5">
        <f>IFERROR(__xludf.DUMMYFUNCTION("""COMPUTED_VALUE"""),0.2760219994850885)</f>
        <v>0.2760219995</v>
      </c>
      <c r="I199" s="5">
        <v>0.5574695163664983</v>
      </c>
    </row>
    <row r="200">
      <c r="A200" s="5">
        <v>0.019844357976653695</v>
      </c>
      <c r="B200" s="5" t="s">
        <v>4495</v>
      </c>
      <c r="C200" s="5" t="s">
        <v>4495</v>
      </c>
      <c r="D200" s="5" t="str">
        <f>IFERROR(__xludf.DUMMYFUNCTION("""COMPUTED_VALUE"""),"")</f>
        <v/>
      </c>
      <c r="E200" s="5">
        <f>IFERROR(__xludf.DUMMYFUNCTION("""COMPUTED_VALUE"""),0.7306007127585364)</f>
        <v>0.7306007128</v>
      </c>
      <c r="F200" s="5" t="str">
        <f>IFERROR(__xludf.DUMMYFUNCTION("""COMPUTED_VALUE"""),"")</f>
        <v/>
      </c>
      <c r="G200" s="5">
        <f>IFERROR(__xludf.DUMMYFUNCTION("""COMPUTED_VALUE"""),1.0)</f>
        <v>1</v>
      </c>
      <c r="H200" s="5">
        <f>IFERROR(__xludf.DUMMYFUNCTION("""COMPUTED_VALUE"""),0.6931244900957695)</f>
        <v>0.6931244901</v>
      </c>
      <c r="I200" s="5">
        <v>0.40196262719921105</v>
      </c>
    </row>
    <row r="201">
      <c r="A201" s="5">
        <v>0.025389497980380843</v>
      </c>
      <c r="B201" s="5" t="s">
        <v>4495</v>
      </c>
      <c r="C201" s="5" t="s">
        <v>4495</v>
      </c>
      <c r="D201" s="5" t="str">
        <f>IFERROR(__xludf.DUMMYFUNCTION("""COMPUTED_VALUE"""),"")</f>
        <v/>
      </c>
      <c r="E201" s="5">
        <f>IFERROR(__xludf.DUMMYFUNCTION("""COMPUTED_VALUE"""),0.5716075650904038)</f>
        <v>0.5716075651</v>
      </c>
      <c r="F201" s="5" t="str">
        <f>IFERROR(__xludf.DUMMYFUNCTION("""COMPUTED_VALUE"""),"")</f>
        <v/>
      </c>
      <c r="G201" s="5">
        <f>IFERROR(__xludf.DUMMYFUNCTION("""COMPUTED_VALUE"""),1.0)</f>
        <v>1</v>
      </c>
      <c r="H201" s="5">
        <f>IFERROR(__xludf.DUMMYFUNCTION("""COMPUTED_VALUE"""),0.6437086009114665)</f>
        <v>0.6437086009</v>
      </c>
      <c r="I201" s="5">
        <v>0.3572727513637476</v>
      </c>
    </row>
    <row r="202">
      <c r="A202" s="5" t="s">
        <v>4495</v>
      </c>
      <c r="B202" s="5" t="s">
        <v>4495</v>
      </c>
      <c r="C202" s="5" t="s">
        <v>4495</v>
      </c>
      <c r="D202" s="5" t="str">
        <f>IFERROR(__xludf.DUMMYFUNCTION("""COMPUTED_VALUE"""),"")</f>
        <v/>
      </c>
      <c r="E202" s="5">
        <f>IFERROR(__xludf.DUMMYFUNCTION("""COMPUTED_VALUE"""),0.18062650857502485)</f>
        <v>0.1806265086</v>
      </c>
      <c r="F202" s="5" t="str">
        <f>IFERROR(__xludf.DUMMYFUNCTION("""COMPUTED_VALUE"""),"")</f>
        <v/>
      </c>
      <c r="G202" s="5" t="str">
        <f>IFERROR(__xludf.DUMMYFUNCTION("""COMPUTED_VALUE"""),"")</f>
        <v/>
      </c>
      <c r="H202" s="5">
        <f>IFERROR(__xludf.DUMMYFUNCTION("""COMPUTED_VALUE"""),0.24231233024776405)</f>
        <v>0.2423123302</v>
      </c>
      <c r="I202" s="5">
        <v>0.06938786016853263</v>
      </c>
    </row>
    <row r="203">
      <c r="A203" s="5">
        <v>0.04168710152035311</v>
      </c>
      <c r="B203" s="5">
        <v>0.0</v>
      </c>
      <c r="C203" s="5" t="s">
        <v>4495</v>
      </c>
      <c r="D203" s="5" t="str">
        <f>IFERROR(__xludf.DUMMYFUNCTION("""COMPUTED_VALUE"""),"")</f>
        <v/>
      </c>
      <c r="E203" s="5">
        <f>IFERROR(__xludf.DUMMYFUNCTION("""COMPUTED_VALUE"""),0.6879324125063967)</f>
        <v>0.6879324125</v>
      </c>
      <c r="F203" s="5">
        <f>IFERROR(__xludf.DUMMYFUNCTION("""COMPUTED_VALUE"""),1.0)</f>
        <v>1</v>
      </c>
      <c r="G203" s="5">
        <f>IFERROR(__xludf.DUMMYFUNCTION("""COMPUTED_VALUE"""),1.0)</f>
        <v>1</v>
      </c>
      <c r="H203" s="5">
        <f>IFERROR(__xludf.DUMMYFUNCTION("""COMPUTED_VALUE"""),0.2840440713351452)</f>
        <v>0.2840440713</v>
      </c>
      <c r="I203" s="5">
        <v>0.5503875102601138</v>
      </c>
    </row>
    <row r="204">
      <c r="A204" s="5" t="s">
        <v>4495</v>
      </c>
      <c r="B204" s="5" t="s">
        <v>4495</v>
      </c>
      <c r="C204" s="5" t="s">
        <v>4495</v>
      </c>
      <c r="D204" s="5" t="str">
        <f>IFERROR(__xludf.DUMMYFUNCTION("""COMPUTED_VALUE"""),"")</f>
        <v/>
      </c>
      <c r="E204" s="5">
        <f>IFERROR(__xludf.DUMMYFUNCTION("""COMPUTED_VALUE"""),0.07976197121590477)</f>
        <v>0.07976197122</v>
      </c>
      <c r="F204" s="5" t="str">
        <f>IFERROR(__xludf.DUMMYFUNCTION("""COMPUTED_VALUE"""),"")</f>
        <v/>
      </c>
      <c r="G204" s="5" t="str">
        <f>IFERROR(__xludf.DUMMYFUNCTION("""COMPUTED_VALUE"""),"")</f>
        <v/>
      </c>
      <c r="H204" s="5">
        <f>IFERROR(__xludf.DUMMYFUNCTION("""COMPUTED_VALUE"""),0.37642785751330293)</f>
        <v>0.3764278575</v>
      </c>
      <c r="I204" s="5">
        <v>0.05758327855530648</v>
      </c>
    </row>
    <row r="205">
      <c r="A205" s="5">
        <v>0.007893005919754439</v>
      </c>
      <c r="B205" s="5" t="s">
        <v>4495</v>
      </c>
      <c r="C205" s="5" t="s">
        <v>4495</v>
      </c>
      <c r="D205" s="5" t="str">
        <f>IFERROR(__xludf.DUMMYFUNCTION("""COMPUTED_VALUE"""),"")</f>
        <v/>
      </c>
      <c r="E205" s="5">
        <f>IFERROR(__xludf.DUMMYFUNCTION("""COMPUTED_VALUE"""),0.055572302376616874)</f>
        <v>0.05557230238</v>
      </c>
      <c r="F205" s="5" t="str">
        <f>IFERROR(__xludf.DUMMYFUNCTION("""COMPUTED_VALUE"""),"")</f>
        <v/>
      </c>
      <c r="G205" s="5">
        <f>IFERROR(__xludf.DUMMYFUNCTION("""COMPUTED_VALUE"""),1.0)</f>
        <v>1</v>
      </c>
      <c r="H205" s="5">
        <f>IFERROR(__xludf.DUMMYFUNCTION("""COMPUTED_VALUE"""),0.3500976568529743)</f>
        <v>0.3500976569</v>
      </c>
      <c r="I205" s="5">
        <v>0.19890284127945165</v>
      </c>
    </row>
    <row r="206">
      <c r="A206" s="5" t="s">
        <v>4495</v>
      </c>
      <c r="B206" s="5" t="s">
        <v>4495</v>
      </c>
      <c r="C206" s="5" t="s">
        <v>4495</v>
      </c>
      <c r="D206" s="5" t="str">
        <f>IFERROR(__xludf.DUMMYFUNCTION("""COMPUTED_VALUE"""),"")</f>
        <v/>
      </c>
      <c r="E206" s="5">
        <f>IFERROR(__xludf.DUMMYFUNCTION("""COMPUTED_VALUE"""),0.5478282077467163)</f>
        <v>0.5478282077</v>
      </c>
      <c r="F206" s="5" t="str">
        <f>IFERROR(__xludf.DUMMYFUNCTION("""COMPUTED_VALUE"""),"")</f>
        <v/>
      </c>
      <c r="G206" s="5" t="str">
        <f>IFERROR(__xludf.DUMMYFUNCTION("""COMPUTED_VALUE"""),"")</f>
        <v/>
      </c>
      <c r="H206" s="5">
        <f>IFERROR(__xludf.DUMMYFUNCTION("""COMPUTED_VALUE"""),0.9789809194225819)</f>
        <v>0.9789809194</v>
      </c>
      <c r="I206" s="5">
        <v>0.23485514387893724</v>
      </c>
    </row>
    <row r="207">
      <c r="A207" s="5">
        <v>0.027292110874200425</v>
      </c>
      <c r="B207" s="5">
        <v>1.0</v>
      </c>
      <c r="C207" s="5" t="s">
        <v>4495</v>
      </c>
      <c r="D207" s="5" t="str">
        <f>IFERROR(__xludf.DUMMYFUNCTION("""COMPUTED_VALUE"""),"")</f>
        <v/>
      </c>
      <c r="E207" s="5">
        <f>IFERROR(__xludf.DUMMYFUNCTION("""COMPUTED_VALUE"""),0.6440488211484913)</f>
        <v>0.6440488211</v>
      </c>
      <c r="F207" s="5">
        <f>IFERROR(__xludf.DUMMYFUNCTION("""COMPUTED_VALUE"""),1.0)</f>
        <v>1</v>
      </c>
      <c r="G207" s="5">
        <f>IFERROR(__xludf.DUMMYFUNCTION("""COMPUTED_VALUE"""),1.0)</f>
        <v>1</v>
      </c>
      <c r="H207" s="5">
        <f>IFERROR(__xludf.DUMMYFUNCTION("""COMPUTED_VALUE"""),0.6870647303206351)</f>
        <v>0.6870647303</v>
      </c>
      <c r="I207" s="5">
        <v>0.5797186783191863</v>
      </c>
    </row>
    <row r="208">
      <c r="A208" s="5" t="s">
        <v>4495</v>
      </c>
      <c r="B208" s="5" t="s">
        <v>4495</v>
      </c>
      <c r="C208" s="5" t="s">
        <v>4495</v>
      </c>
      <c r="D208" s="5" t="str">
        <f>IFERROR(__xludf.DUMMYFUNCTION("""COMPUTED_VALUE"""),"")</f>
        <v/>
      </c>
      <c r="E208" s="5">
        <f>IFERROR(__xludf.DUMMYFUNCTION("""COMPUTED_VALUE"""),0.5223179681071728)</f>
        <v>0.5223179681</v>
      </c>
      <c r="F208" s="5" t="str">
        <f>IFERROR(__xludf.DUMMYFUNCTION("""COMPUTED_VALUE"""),"")</f>
        <v/>
      </c>
      <c r="G208" s="5" t="str">
        <f>IFERROR(__xludf.DUMMYFUNCTION("""COMPUTED_VALUE"""),"")</f>
        <v/>
      </c>
      <c r="H208" s="5">
        <f>IFERROR(__xludf.DUMMYFUNCTION("""COMPUTED_VALUE"""),0.37642785751330293)</f>
        <v>0.3764278575</v>
      </c>
      <c r="I208" s="5">
        <v>0.16822227777812349</v>
      </c>
    </row>
    <row r="209">
      <c r="A209" s="5">
        <v>0.06224899598393574</v>
      </c>
      <c r="B209" s="5" t="s">
        <v>4495</v>
      </c>
      <c r="C209" s="5" t="s">
        <v>4495</v>
      </c>
      <c r="D209" s="5" t="str">
        <f>IFERROR(__xludf.DUMMYFUNCTION("""COMPUTED_VALUE"""),"")</f>
        <v/>
      </c>
      <c r="E209" s="5">
        <f>IFERROR(__xludf.DUMMYFUNCTION("""COMPUTED_VALUE"""),0.0)</f>
        <v>0</v>
      </c>
      <c r="F209" s="5" t="str">
        <f>IFERROR(__xludf.DUMMYFUNCTION("""COMPUTED_VALUE"""),"")</f>
        <v/>
      </c>
      <c r="G209" s="5">
        <f>IFERROR(__xludf.DUMMYFUNCTION("""COMPUTED_VALUE"""),1.0)</f>
        <v>1</v>
      </c>
      <c r="H209" s="5">
        <f>IFERROR(__xludf.DUMMYFUNCTION("""COMPUTED_VALUE"""),0.485446409123802)</f>
        <v>0.4854464091</v>
      </c>
      <c r="I209" s="5">
        <v>0.1985446409123802</v>
      </c>
    </row>
    <row r="210">
      <c r="A210" s="5">
        <v>0.009427609427609427</v>
      </c>
      <c r="B210" s="5" t="s">
        <v>4495</v>
      </c>
      <c r="C210" s="5" t="s">
        <v>4495</v>
      </c>
      <c r="D210" s="5" t="str">
        <f>IFERROR(__xludf.DUMMYFUNCTION("""COMPUTED_VALUE"""),"")</f>
        <v/>
      </c>
      <c r="E210" s="5">
        <f>IFERROR(__xludf.DUMMYFUNCTION("""COMPUTED_VALUE"""),0.35620389963626176)</f>
        <v>0.3562038996</v>
      </c>
      <c r="F210" s="5" t="str">
        <f>IFERROR(__xludf.DUMMYFUNCTION("""COMPUTED_VALUE"""),"")</f>
        <v/>
      </c>
      <c r="G210" s="5">
        <f>IFERROR(__xludf.DUMMYFUNCTION("""COMPUTED_VALUE"""),1.0)</f>
        <v>1</v>
      </c>
      <c r="H210" s="5">
        <f>IFERROR(__xludf.DUMMYFUNCTION("""COMPUTED_VALUE"""),0.7648647660353476)</f>
        <v>0.764864766</v>
      </c>
      <c r="I210" s="5">
        <v>0.3155374515126002</v>
      </c>
    </row>
    <row r="211">
      <c r="A211" s="5">
        <v>0.014024152707440592</v>
      </c>
      <c r="B211" s="5" t="s">
        <v>4495</v>
      </c>
      <c r="C211" s="5" t="s">
        <v>4495</v>
      </c>
      <c r="D211" s="5" t="str">
        <f>IFERROR(__xludf.DUMMYFUNCTION("""COMPUTED_VALUE"""),"")</f>
        <v/>
      </c>
      <c r="E211" s="5">
        <f>IFERROR(__xludf.DUMMYFUNCTION("""COMPUTED_VALUE"""),0.36667068086885374)</f>
        <v>0.3666706809</v>
      </c>
      <c r="F211" s="5" t="str">
        <f>IFERROR(__xludf.DUMMYFUNCTION("""COMPUTED_VALUE"""),"")</f>
        <v/>
      </c>
      <c r="G211" s="5">
        <f>IFERROR(__xludf.DUMMYFUNCTION("""COMPUTED_VALUE"""),1.0)</f>
        <v>1</v>
      </c>
      <c r="H211" s="5">
        <f>IFERROR(__xludf.DUMMYFUNCTION("""COMPUTED_VALUE"""),0.12115616512388203)</f>
        <v>0.1211561651</v>
      </c>
      <c r="I211" s="5">
        <v>0.2537832867296016</v>
      </c>
    </row>
    <row r="212">
      <c r="A212" s="5" t="s">
        <v>4495</v>
      </c>
      <c r="B212" s="5" t="s">
        <v>4495</v>
      </c>
      <c r="C212" s="5" t="s">
        <v>4495</v>
      </c>
      <c r="D212" s="5" t="str">
        <f>IFERROR(__xludf.DUMMYFUNCTION("""COMPUTED_VALUE"""),"")</f>
        <v/>
      </c>
      <c r="E212" s="5">
        <f>IFERROR(__xludf.DUMMYFUNCTION("""COMPUTED_VALUE"""),1.0)</f>
        <v>1</v>
      </c>
      <c r="F212" s="5" t="str">
        <f>IFERROR(__xludf.DUMMYFUNCTION("""COMPUTED_VALUE"""),"")</f>
        <v/>
      </c>
      <c r="G212" s="5" t="str">
        <f>IFERROR(__xludf.DUMMYFUNCTION("""COMPUTED_VALUE"""),"")</f>
        <v/>
      </c>
      <c r="H212" s="5">
        <f>IFERROR(__xludf.DUMMYFUNCTION("""COMPUTED_VALUE"""),0.821734761995934)</f>
        <v>0.821734762</v>
      </c>
      <c r="I212" s="5">
        <v>0.3321734761995934</v>
      </c>
    </row>
    <row r="213">
      <c r="A213" s="5">
        <v>0.012002182214948172</v>
      </c>
      <c r="B213" s="5" t="s">
        <v>4495</v>
      </c>
      <c r="C213" s="5" t="s">
        <v>4495</v>
      </c>
      <c r="D213" s="5" t="str">
        <f>IFERROR(__xludf.DUMMYFUNCTION("""COMPUTED_VALUE"""),"")</f>
        <v/>
      </c>
      <c r="E213" s="5">
        <f>IFERROR(__xludf.DUMMYFUNCTION("""COMPUTED_VALUE"""),0.46494767044687196)</f>
        <v>0.4649476704</v>
      </c>
      <c r="F213" s="5" t="str">
        <f>IFERROR(__xludf.DUMMYFUNCTION("""COMPUTED_VALUE"""),"")</f>
        <v/>
      </c>
      <c r="G213" s="5">
        <f>IFERROR(__xludf.DUMMYFUNCTION("""COMPUTED_VALUE"""),1.0)</f>
        <v>1</v>
      </c>
      <c r="H213" s="5">
        <f>IFERROR(__xludf.DUMMYFUNCTION("""COMPUTED_VALUE"""),0.21513218774825074)</f>
        <v>0.2151321877</v>
      </c>
      <c r="I213" s="5">
        <v>0.28775013638654307</v>
      </c>
    </row>
    <row r="214">
      <c r="A214" s="5">
        <v>0.01048284625158831</v>
      </c>
      <c r="B214" s="5" t="s">
        <v>4495</v>
      </c>
      <c r="C214" s="5" t="s">
        <v>4495</v>
      </c>
      <c r="D214" s="5" t="str">
        <f>IFERROR(__xludf.DUMMYFUNCTION("""COMPUTED_VALUE"""),"")</f>
        <v/>
      </c>
      <c r="E214" s="5">
        <f>IFERROR(__xludf.DUMMYFUNCTION("""COMPUTED_VALUE"""),1.0)</f>
        <v>1</v>
      </c>
      <c r="F214" s="5" t="str">
        <f>IFERROR(__xludf.DUMMYFUNCTION("""COMPUTED_VALUE"""),"")</f>
        <v/>
      </c>
      <c r="G214" s="5">
        <f>IFERROR(__xludf.DUMMYFUNCTION("""COMPUTED_VALUE"""),1.0)</f>
        <v>1</v>
      </c>
      <c r="H214" s="5">
        <f>IFERROR(__xludf.DUMMYFUNCTION("""COMPUTED_VALUE"""),0.5953713476386906)</f>
        <v>0.5953713476</v>
      </c>
      <c r="I214" s="5">
        <v>0.4595371347638691</v>
      </c>
    </row>
    <row r="215">
      <c r="A215" s="5">
        <v>0.046261430876815494</v>
      </c>
      <c r="B215" s="5">
        <v>0.0</v>
      </c>
      <c r="C215" s="5" t="s">
        <v>4495</v>
      </c>
      <c r="D215" s="5" t="str">
        <f>IFERROR(__xludf.DUMMYFUNCTION("""COMPUTED_VALUE"""),"")</f>
        <v/>
      </c>
      <c r="E215" s="5">
        <f>IFERROR(__xludf.DUMMYFUNCTION("""COMPUTED_VALUE"""),0.33428356644099017)</f>
        <v>0.3342835664</v>
      </c>
      <c r="F215" s="5">
        <f>IFERROR(__xludf.DUMMYFUNCTION("""COMPUTED_VALUE"""),1.0)</f>
        <v>1</v>
      </c>
      <c r="G215" s="5">
        <f>IFERROR(__xludf.DUMMYFUNCTION("""COMPUTED_VALUE"""),1.0)</f>
        <v>1</v>
      </c>
      <c r="H215" s="5">
        <f>IFERROR(__xludf.DUMMYFUNCTION("""COMPUTED_VALUE"""),0.0)</f>
        <v>0</v>
      </c>
      <c r="I215" s="5">
        <v>0.43357089161024753</v>
      </c>
    </row>
    <row r="216">
      <c r="A216" s="5">
        <v>0.03832116788321168</v>
      </c>
      <c r="B216" s="5">
        <v>0.0</v>
      </c>
      <c r="C216" s="5" t="s">
        <v>4495</v>
      </c>
      <c r="D216" s="5" t="str">
        <f>IFERROR(__xludf.DUMMYFUNCTION("""COMPUTED_VALUE"""),"")</f>
        <v/>
      </c>
      <c r="E216" s="5">
        <f>IFERROR(__xludf.DUMMYFUNCTION("""COMPUTED_VALUE"""),0.6920331742590979)</f>
        <v>0.6920331743</v>
      </c>
      <c r="F216" s="5">
        <f>IFERROR(__xludf.DUMMYFUNCTION("""COMPUTED_VALUE"""),1.0)</f>
        <v>1</v>
      </c>
      <c r="G216" s="5">
        <f>IFERROR(__xludf.DUMMYFUNCTION("""COMPUTED_VALUE"""),1.0)</f>
        <v>1</v>
      </c>
      <c r="H216" s="5">
        <f>IFERROR(__xludf.DUMMYFUNCTION("""COMPUTED_VALUE"""),0.4130723542258289)</f>
        <v>0.4130723542</v>
      </c>
      <c r="I216" s="5">
        <v>0.5643155289873574</v>
      </c>
    </row>
    <row r="217">
      <c r="A217" s="5">
        <v>0.08705357142857142</v>
      </c>
      <c r="B217" s="5">
        <v>0.0</v>
      </c>
      <c r="C217" s="5" t="s">
        <v>4495</v>
      </c>
      <c r="D217" s="5" t="str">
        <f>IFERROR(__xludf.DUMMYFUNCTION("""COMPUTED_VALUE"""),"")</f>
        <v/>
      </c>
      <c r="E217" s="5">
        <f>IFERROR(__xludf.DUMMYFUNCTION("""COMPUTED_VALUE"""),1.0)</f>
        <v>1</v>
      </c>
      <c r="F217" s="5">
        <f>IFERROR(__xludf.DUMMYFUNCTION("""COMPUTED_VALUE"""),1.0)</f>
        <v>1</v>
      </c>
      <c r="G217" s="5">
        <f>IFERROR(__xludf.DUMMYFUNCTION("""COMPUTED_VALUE"""),1.0)</f>
        <v>1</v>
      </c>
      <c r="H217" s="5">
        <f>IFERROR(__xludf.DUMMYFUNCTION("""COMPUTED_VALUE"""),0.7493607070979608)</f>
        <v>0.7493607071</v>
      </c>
      <c r="I217" s="5">
        <v>0.674936070709796</v>
      </c>
    </row>
    <row r="218">
      <c r="A218" s="5">
        <v>0.013180192054227076</v>
      </c>
      <c r="B218" s="5" t="s">
        <v>4495</v>
      </c>
      <c r="C218" s="5" t="s">
        <v>4495</v>
      </c>
      <c r="D218" s="5" t="str">
        <f>IFERROR(__xludf.DUMMYFUNCTION("""COMPUTED_VALUE"""),"")</f>
        <v/>
      </c>
      <c r="E218" s="5">
        <f>IFERROR(__xludf.DUMMYFUNCTION("""COMPUTED_VALUE"""),0.5884401318226129)</f>
        <v>0.5884401318</v>
      </c>
      <c r="F218" s="5" t="str">
        <f>IFERROR(__xludf.DUMMYFUNCTION("""COMPUTED_VALUE"""),"")</f>
        <v/>
      </c>
      <c r="G218" s="5">
        <f>IFERROR(__xludf.DUMMYFUNCTION("""COMPUTED_VALUE"""),1.0)</f>
        <v>1</v>
      </c>
      <c r="H218" s="5">
        <f>IFERROR(__xludf.DUMMYFUNCTION("""COMPUTED_VALUE"""),0.565908565196753)</f>
        <v>0.5659085652</v>
      </c>
      <c r="I218" s="5">
        <v>0.3537008894753285</v>
      </c>
    </row>
    <row r="219">
      <c r="A219" s="5" t="s">
        <v>4495</v>
      </c>
      <c r="B219" s="5" t="s">
        <v>4495</v>
      </c>
      <c r="C219" s="5" t="s">
        <v>4495</v>
      </c>
      <c r="D219" s="5" t="str">
        <f>IFERROR(__xludf.DUMMYFUNCTION("""COMPUTED_VALUE"""),"")</f>
        <v/>
      </c>
      <c r="E219" s="5">
        <f>IFERROR(__xludf.DUMMYFUNCTION("""COMPUTED_VALUE"""),0.07976197121590477)</f>
        <v>0.07976197122</v>
      </c>
      <c r="F219" s="5" t="str">
        <f>IFERROR(__xludf.DUMMYFUNCTION("""COMPUTED_VALUE"""),"")</f>
        <v/>
      </c>
      <c r="G219" s="5" t="str">
        <f>IFERROR(__xludf.DUMMYFUNCTION("""COMPUTED_VALUE"""),"")</f>
        <v/>
      </c>
      <c r="H219" s="5">
        <f>IFERROR(__xludf.DUMMYFUNCTION("""COMPUTED_VALUE"""),0.4467820234631535)</f>
        <v>0.4467820235</v>
      </c>
      <c r="I219" s="5">
        <v>0.06461869515029155</v>
      </c>
    </row>
    <row r="220">
      <c r="A220" s="5">
        <v>0.03849518810148731</v>
      </c>
      <c r="B220" s="5">
        <v>8.0</v>
      </c>
      <c r="C220" s="5" t="s">
        <v>4495</v>
      </c>
      <c r="D220" s="5" t="str">
        <f>IFERROR(__xludf.DUMMYFUNCTION("""COMPUTED_VALUE"""),"")</f>
        <v/>
      </c>
      <c r="E220" s="5">
        <f>IFERROR(__xludf.DUMMYFUNCTION("""COMPUTED_VALUE"""),0.0)</f>
        <v>0</v>
      </c>
      <c r="F220" s="5">
        <f>IFERROR(__xludf.DUMMYFUNCTION("""COMPUTED_VALUE"""),1.0)</f>
        <v>1</v>
      </c>
      <c r="G220" s="5">
        <f>IFERROR(__xludf.DUMMYFUNCTION("""COMPUTED_VALUE"""),1.0)</f>
        <v>1</v>
      </c>
      <c r="H220" s="5">
        <f>IFERROR(__xludf.DUMMYFUNCTION("""COMPUTED_VALUE"""),0.044372163770186025)</f>
        <v>0.04437216377</v>
      </c>
      <c r="I220" s="5">
        <v>0.3544372163770186</v>
      </c>
    </row>
    <row r="221">
      <c r="A221" s="5">
        <v>0.14145810663764963</v>
      </c>
      <c r="B221" s="5" t="s">
        <v>4495</v>
      </c>
      <c r="C221" s="5" t="s">
        <v>4495</v>
      </c>
      <c r="D221" s="5" t="str">
        <f>IFERROR(__xludf.DUMMYFUNCTION("""COMPUTED_VALUE"""),"")</f>
        <v/>
      </c>
      <c r="E221" s="5">
        <f>IFERROR(__xludf.DUMMYFUNCTION("""COMPUTED_VALUE"""),0.8775973859947773)</f>
        <v>0.877597386</v>
      </c>
      <c r="F221" s="5" t="str">
        <f>IFERROR(__xludf.DUMMYFUNCTION("""COMPUTED_VALUE"""),"")</f>
        <v/>
      </c>
      <c r="G221" s="5">
        <f>IFERROR(__xludf.DUMMYFUNCTION("""COMPUTED_VALUE"""),1.0)</f>
        <v>1</v>
      </c>
      <c r="H221" s="5">
        <f>IFERROR(__xludf.DUMMYFUNCTION("""COMPUTED_VALUE"""),0.37642785751330293)</f>
        <v>0.3764278575</v>
      </c>
      <c r="I221" s="5">
        <v>0.4070421322500246</v>
      </c>
    </row>
    <row r="222">
      <c r="A222" s="5" t="s">
        <v>4495</v>
      </c>
      <c r="B222" s="5" t="s">
        <v>4495</v>
      </c>
      <c r="C222" s="5" t="s">
        <v>4495</v>
      </c>
      <c r="D222" s="5" t="str">
        <f>IFERROR(__xludf.DUMMYFUNCTION("""COMPUTED_VALUE"""),"")</f>
        <v/>
      </c>
      <c r="E222" s="5">
        <f>IFERROR(__xludf.DUMMYFUNCTION("""COMPUTED_VALUE"""),0.19773288331254052)</f>
        <v>0.1977328833</v>
      </c>
      <c r="F222" s="5" t="str">
        <f>IFERROR(__xludf.DUMMYFUNCTION("""COMPUTED_VALUE"""),"")</f>
        <v/>
      </c>
      <c r="G222" s="5" t="str">
        <f>IFERROR(__xludf.DUMMYFUNCTION("""COMPUTED_VALUE"""),"")</f>
        <v/>
      </c>
      <c r="H222" s="5">
        <f>IFERROR(__xludf.DUMMYFUNCTION("""COMPUTED_VALUE"""),0.5407580460875222)</f>
        <v>0.5407580461</v>
      </c>
      <c r="I222" s="5">
        <v>0.10350902543688735</v>
      </c>
    </row>
    <row r="223">
      <c r="A223" s="5" t="s">
        <v>4495</v>
      </c>
      <c r="B223" s="5" t="s">
        <v>4495</v>
      </c>
      <c r="C223" s="5" t="s">
        <v>4495</v>
      </c>
      <c r="D223" s="5" t="str">
        <f>IFERROR(__xludf.DUMMYFUNCTION("""COMPUTED_VALUE"""),"")</f>
        <v/>
      </c>
      <c r="E223" s="5">
        <f>IFERROR(__xludf.DUMMYFUNCTION("""COMPUTED_VALUE"""),0.43230913174650915)</f>
        <v>0.4323091317</v>
      </c>
      <c r="F223" s="5" t="str">
        <f>IFERROR(__xludf.DUMMYFUNCTION("""COMPUTED_VALUE"""),"")</f>
        <v/>
      </c>
      <c r="G223" s="5" t="str">
        <f>IFERROR(__xludf.DUMMYFUNCTION("""COMPUTED_VALUE"""),"")</f>
        <v/>
      </c>
      <c r="H223" s="5">
        <f>IFERROR(__xludf.DUMMYFUNCTION("""COMPUTED_VALUE"""),0.6420138459549198)</f>
        <v>0.642013846</v>
      </c>
      <c r="I223" s="5">
        <v>0.1722786675321193</v>
      </c>
    </row>
    <row r="224">
      <c r="A224" s="5">
        <v>0.06036892118501956</v>
      </c>
      <c r="B224" s="5" t="s">
        <v>4495</v>
      </c>
      <c r="C224" s="5" t="s">
        <v>4495</v>
      </c>
      <c r="D224" s="5" t="str">
        <f>IFERROR(__xludf.DUMMYFUNCTION("""COMPUTED_VALUE"""),"")</f>
        <v/>
      </c>
      <c r="E224" s="5">
        <f>IFERROR(__xludf.DUMMYFUNCTION("""COMPUTED_VALUE"""),0.5018882402125678)</f>
        <v>0.5018882402</v>
      </c>
      <c r="F224" s="5" t="str">
        <f>IFERROR(__xludf.DUMMYFUNCTION("""COMPUTED_VALUE"""),"")</f>
        <v/>
      </c>
      <c r="G224" s="5">
        <f>IFERROR(__xludf.DUMMYFUNCTION("""COMPUTED_VALUE"""),1.0)</f>
        <v>1</v>
      </c>
      <c r="H224" s="5">
        <f>IFERROR(__xludf.DUMMYFUNCTION("""COMPUTED_VALUE"""),0.5070483768501975)</f>
        <v>0.5070483769</v>
      </c>
      <c r="I224" s="5">
        <v>0.3261768977381617</v>
      </c>
    </row>
    <row r="225">
      <c r="A225" s="5">
        <v>0.018018018018018018</v>
      </c>
      <c r="B225" s="5">
        <v>1.0</v>
      </c>
      <c r="C225" s="5" t="s">
        <v>4495</v>
      </c>
      <c r="D225" s="5" t="str">
        <f>IFERROR(__xludf.DUMMYFUNCTION("""COMPUTED_VALUE"""),"")</f>
        <v/>
      </c>
      <c r="E225" s="5">
        <f>IFERROR(__xludf.DUMMYFUNCTION("""COMPUTED_VALUE"""),0.8552895086758483)</f>
        <v>0.8552895087</v>
      </c>
      <c r="F225" s="5">
        <f>IFERROR(__xludf.DUMMYFUNCTION("""COMPUTED_VALUE"""),1.0)</f>
        <v>1</v>
      </c>
      <c r="G225" s="5">
        <f>IFERROR(__xludf.DUMMYFUNCTION("""COMPUTED_VALUE"""),1.0)</f>
        <v>1</v>
      </c>
      <c r="H225" s="5">
        <f>IFERROR(__xludf.DUMMYFUNCTION("""COMPUTED_VALUE"""),0.46784371396551677)</f>
        <v>0.467843714</v>
      </c>
      <c r="I225" s="5">
        <v>0.6106067485655138</v>
      </c>
    </row>
    <row r="226">
      <c r="A226" s="5">
        <v>0.03467153284671533</v>
      </c>
      <c r="B226" s="5">
        <v>2.0</v>
      </c>
      <c r="C226" s="5" t="s">
        <v>4495</v>
      </c>
      <c r="D226" s="5" t="str">
        <f>IFERROR(__xludf.DUMMYFUNCTION("""COMPUTED_VALUE"""),"")</f>
        <v/>
      </c>
      <c r="E226" s="5">
        <f>IFERROR(__xludf.DUMMYFUNCTION("""COMPUTED_VALUE"""),0.4490080559640544)</f>
        <v>0.449008056</v>
      </c>
      <c r="F226" s="5">
        <f>IFERROR(__xludf.DUMMYFUNCTION("""COMPUTED_VALUE"""),1.0)</f>
        <v>1</v>
      </c>
      <c r="G226" s="5">
        <f>IFERROR(__xludf.DUMMYFUNCTION("""COMPUTED_VALUE"""),1.0)</f>
        <v>1</v>
      </c>
      <c r="H226" s="5">
        <f>IFERROR(__xludf.DUMMYFUNCTION("""COMPUTED_VALUE"""),0.0)</f>
        <v>0</v>
      </c>
      <c r="I226" s="5">
        <v>0.46225201399101357</v>
      </c>
    </row>
    <row r="227">
      <c r="A227" s="5">
        <v>0.18645640074211503</v>
      </c>
      <c r="B227" s="5" t="s">
        <v>4495</v>
      </c>
      <c r="C227" s="5" t="s">
        <v>4495</v>
      </c>
      <c r="D227" s="5" t="str">
        <f>IFERROR(__xludf.DUMMYFUNCTION("""COMPUTED_VALUE"""),"")</f>
        <v/>
      </c>
      <c r="E227" s="5">
        <f>IFERROR(__xludf.DUMMYFUNCTION("""COMPUTED_VALUE"""),0.7118469843264902)</f>
        <v>0.7118469843</v>
      </c>
      <c r="F227" s="5" t="str">
        <f>IFERROR(__xludf.DUMMYFUNCTION("""COMPUTED_VALUE"""),"")</f>
        <v/>
      </c>
      <c r="G227" s="5">
        <f>IFERROR(__xludf.DUMMYFUNCTION("""COMPUTED_VALUE"""),1.0)</f>
        <v>1</v>
      </c>
      <c r="H227" s="5">
        <f>IFERROR(__xludf.DUMMYFUNCTION("""COMPUTED_VALUE"""),0.6282045419740796)</f>
        <v>0.628204542</v>
      </c>
      <c r="I227" s="5">
        <v>0.3907822002790305</v>
      </c>
    </row>
    <row r="228">
      <c r="A228" s="5">
        <v>0.035574314139282484</v>
      </c>
      <c r="B228" s="5" t="s">
        <v>4495</v>
      </c>
      <c r="C228" s="5" t="s">
        <v>4495</v>
      </c>
      <c r="D228" s="5" t="str">
        <f>IFERROR(__xludf.DUMMYFUNCTION("""COMPUTED_VALUE"""),"")</f>
        <v/>
      </c>
      <c r="E228" s="5">
        <f>IFERROR(__xludf.DUMMYFUNCTION("""COMPUTED_VALUE"""),0.7552770036509245)</f>
        <v>0.7552770037</v>
      </c>
      <c r="F228" s="5" t="str">
        <f>IFERROR(__xludf.DUMMYFUNCTION("""COMPUTED_VALUE"""),"")</f>
        <v/>
      </c>
      <c r="G228" s="5">
        <f>IFERROR(__xludf.DUMMYFUNCTION("""COMPUTED_VALUE"""),1.0)</f>
        <v>1</v>
      </c>
      <c r="H228" s="5">
        <f>IFERROR(__xludf.DUMMYFUNCTION("""COMPUTED_VALUE"""),0.9570575888127002)</f>
        <v>0.9570575888</v>
      </c>
      <c r="I228" s="5">
        <v>0.43452500979400116</v>
      </c>
    </row>
    <row r="229">
      <c r="A229" s="5" t="s">
        <v>4495</v>
      </c>
      <c r="B229" s="5" t="s">
        <v>4495</v>
      </c>
      <c r="C229" s="5" t="s">
        <v>4495</v>
      </c>
      <c r="D229" s="5" t="str">
        <f>IFERROR(__xludf.DUMMYFUNCTION("""COMPUTED_VALUE"""),"")</f>
        <v/>
      </c>
      <c r="E229" s="5">
        <f>IFERROR(__xludf.DUMMYFUNCTION("""COMPUTED_VALUE"""),0.3227870895109485)</f>
        <v>0.3227870895</v>
      </c>
      <c r="F229" s="5" t="str">
        <f>IFERROR(__xludf.DUMMYFUNCTION("""COMPUTED_VALUE"""),"")</f>
        <v/>
      </c>
      <c r="G229" s="5" t="str">
        <f>IFERROR(__xludf.DUMMYFUNCTION("""COMPUTED_VALUE"""),"")</f>
        <v/>
      </c>
      <c r="H229" s="5">
        <f>IFERROR(__xludf.DUMMYFUNCTION("""COMPUTED_VALUE"""),0.4302643754965017)</f>
        <v>0.4302643755</v>
      </c>
      <c r="I229" s="5">
        <v>0.12372320992738729</v>
      </c>
    </row>
    <row r="230">
      <c r="A230" s="5">
        <v>0.059800664451827246</v>
      </c>
      <c r="B230" s="5" t="s">
        <v>4495</v>
      </c>
      <c r="C230" s="5" t="s">
        <v>4495</v>
      </c>
      <c r="D230" s="5" t="str">
        <f>IFERROR(__xludf.DUMMYFUNCTION("""COMPUTED_VALUE"""),"")</f>
        <v/>
      </c>
      <c r="E230" s="5">
        <f>IFERROR(__xludf.DUMMYFUNCTION("""COMPUTED_VALUE"""),0.0)</f>
        <v>0</v>
      </c>
      <c r="F230" s="5" t="str">
        <f>IFERROR(__xludf.DUMMYFUNCTION("""COMPUTED_VALUE"""),"")</f>
        <v/>
      </c>
      <c r="G230" s="5">
        <f>IFERROR(__xludf.DUMMYFUNCTION("""COMPUTED_VALUE"""),1.0)</f>
        <v>1</v>
      </c>
      <c r="H230" s="5">
        <f>IFERROR(__xludf.DUMMYFUNCTION("""COMPUTED_VALUE"""),0.7918863146567412)</f>
        <v>0.7918863147</v>
      </c>
      <c r="I230" s="5">
        <v>0.22918863146567411</v>
      </c>
    </row>
    <row r="231">
      <c r="A231" s="5">
        <v>0.0875251509054326</v>
      </c>
      <c r="B231" s="5" t="s">
        <v>4495</v>
      </c>
      <c r="C231" s="5" t="s">
        <v>4495</v>
      </c>
      <c r="D231" s="5" t="str">
        <f>IFERROR(__xludf.DUMMYFUNCTION("""COMPUTED_VALUE"""),"")</f>
        <v/>
      </c>
      <c r="E231" s="5">
        <f>IFERROR(__xludf.DUMMYFUNCTION("""COMPUTED_VALUE"""),0.8678575615496241)</f>
        <v>0.8678575615</v>
      </c>
      <c r="F231" s="5" t="str">
        <f>IFERROR(__xludf.DUMMYFUNCTION("""COMPUTED_VALUE"""),"")</f>
        <v/>
      </c>
      <c r="G231" s="5">
        <f>IFERROR(__xludf.DUMMYFUNCTION("""COMPUTED_VALUE"""),1.0)</f>
        <v>1</v>
      </c>
      <c r="H231" s="5">
        <f>IFERROR(__xludf.DUMMYFUNCTION("""COMPUTED_VALUE"""),0.044372163770186025)</f>
        <v>0.04437216377</v>
      </c>
      <c r="I231" s="5">
        <v>0.37140160676442463</v>
      </c>
    </row>
    <row r="232">
      <c r="A232" s="5">
        <v>0.007894736842105263</v>
      </c>
      <c r="B232" s="5" t="s">
        <v>4495</v>
      </c>
      <c r="C232" s="5" t="s">
        <v>4495</v>
      </c>
      <c r="D232" s="5" t="str">
        <f>IFERROR(__xludf.DUMMYFUNCTION("""COMPUTED_VALUE"""),"")</f>
        <v/>
      </c>
      <c r="E232" s="5">
        <f>IFERROR(__xludf.DUMMYFUNCTION("""COMPUTED_VALUE"""),0.0)</f>
        <v>0</v>
      </c>
      <c r="F232" s="5" t="str">
        <f>IFERROR(__xludf.DUMMYFUNCTION("""COMPUTED_VALUE"""),"")</f>
        <v/>
      </c>
      <c r="G232" s="5">
        <f>IFERROR(__xludf.DUMMYFUNCTION("""COMPUTED_VALUE"""),1.0)</f>
        <v>1</v>
      </c>
      <c r="H232" s="5">
        <f>IFERROR(__xludf.DUMMYFUNCTION("""COMPUTED_VALUE"""),0.0)</f>
        <v>0</v>
      </c>
      <c r="I232" s="5">
        <v>0.15</v>
      </c>
    </row>
    <row r="233">
      <c r="A233" s="5">
        <v>0.030987734021949646</v>
      </c>
      <c r="B233" s="5">
        <v>0.0</v>
      </c>
      <c r="C233" s="5" t="s">
        <v>4495</v>
      </c>
      <c r="D233" s="5" t="str">
        <f>IFERROR(__xludf.DUMMYFUNCTION("""COMPUTED_VALUE"""),"")</f>
        <v/>
      </c>
      <c r="E233" s="5">
        <f>IFERROR(__xludf.DUMMYFUNCTION("""COMPUTED_VALUE"""),0.4490080559640544)</f>
        <v>0.449008056</v>
      </c>
      <c r="F233" s="5">
        <f>IFERROR(__xludf.DUMMYFUNCTION("""COMPUTED_VALUE"""),1.0)</f>
        <v>1</v>
      </c>
      <c r="G233" s="5">
        <f>IFERROR(__xludf.DUMMYFUNCTION("""COMPUTED_VALUE"""),1.0)</f>
        <v>1</v>
      </c>
      <c r="H233" s="5">
        <f>IFERROR(__xludf.DUMMYFUNCTION("""COMPUTED_VALUE"""),0.2595043515184367)</f>
        <v>0.2595043515</v>
      </c>
      <c r="I233" s="5">
        <v>0.48820244914285726</v>
      </c>
    </row>
    <row r="234">
      <c r="A234" s="5">
        <v>0.06912181303116147</v>
      </c>
      <c r="B234" s="5" t="s">
        <v>4495</v>
      </c>
      <c r="C234" s="5" t="s">
        <v>4495</v>
      </c>
      <c r="D234" s="5" t="str">
        <f>IFERROR(__xludf.DUMMYFUNCTION("""COMPUTED_VALUE"""),"")</f>
        <v/>
      </c>
      <c r="E234" s="5">
        <f>IFERROR(__xludf.DUMMYFUNCTION("""COMPUTED_VALUE"""),0.9624943839670013)</f>
        <v>0.962494384</v>
      </c>
      <c r="F234" s="5" t="str">
        <f>IFERROR(__xludf.DUMMYFUNCTION("""COMPUTED_VALUE"""),"")</f>
        <v/>
      </c>
      <c r="G234" s="5">
        <f>IFERROR(__xludf.DUMMYFUNCTION("""COMPUTED_VALUE"""),1.0)</f>
        <v>1</v>
      </c>
      <c r="H234" s="5">
        <f>IFERROR(__xludf.DUMMYFUNCTION("""COMPUTED_VALUE"""),0.7895002117391313)</f>
        <v>0.7895002117</v>
      </c>
      <c r="I234" s="5">
        <v>0.4695736171656635</v>
      </c>
    </row>
    <row r="235">
      <c r="A235" s="5">
        <v>0.01741539679398377</v>
      </c>
      <c r="B235" s="5" t="s">
        <v>4495</v>
      </c>
      <c r="C235" s="5" t="s">
        <v>4495</v>
      </c>
      <c r="D235" s="5" t="str">
        <f>IFERROR(__xludf.DUMMYFUNCTION("""COMPUTED_VALUE"""),"")</f>
        <v/>
      </c>
      <c r="E235" s="5">
        <f>IFERROR(__xludf.DUMMYFUNCTION("""COMPUTED_VALUE"""),0.3867110571043727)</f>
        <v>0.3867110571</v>
      </c>
      <c r="F235" s="5" t="str">
        <f>IFERROR(__xludf.DUMMYFUNCTION("""COMPUTED_VALUE"""),"")</f>
        <v/>
      </c>
      <c r="G235" s="5">
        <f>IFERROR(__xludf.DUMMYFUNCTION("""COMPUTED_VALUE"""),1.0)</f>
        <v>1</v>
      </c>
      <c r="H235" s="5">
        <f>IFERROR(__xludf.DUMMYFUNCTION("""COMPUTED_VALUE"""),0.5976416821847352)</f>
        <v>0.5976416822</v>
      </c>
      <c r="I235" s="5">
        <v>0.3064419324945667</v>
      </c>
    </row>
    <row r="236">
      <c r="A236" s="5">
        <v>0.043640897755610975</v>
      </c>
      <c r="B236" s="5" t="s">
        <v>4495</v>
      </c>
      <c r="C236" s="5" t="s">
        <v>4495</v>
      </c>
      <c r="D236" s="5" t="str">
        <f>IFERROR(__xludf.DUMMYFUNCTION("""COMPUTED_VALUE"""),"")</f>
        <v/>
      </c>
      <c r="E236" s="5">
        <f>IFERROR(__xludf.DUMMYFUNCTION("""COMPUTED_VALUE"""),0.7653430864022164)</f>
        <v>0.7653430864</v>
      </c>
      <c r="F236" s="5" t="str">
        <f>IFERROR(__xludf.DUMMYFUNCTION("""COMPUTED_VALUE"""),"")</f>
        <v/>
      </c>
      <c r="G236" s="5">
        <f>IFERROR(__xludf.DUMMYFUNCTION("""COMPUTED_VALUE"""),1.0)</f>
        <v>1</v>
      </c>
      <c r="H236" s="5">
        <f>IFERROR(__xludf.DUMMYFUNCTION("""COMPUTED_VALUE"""),0.5342285193497109)</f>
        <v>0.5342285193</v>
      </c>
      <c r="I236" s="5">
        <v>0.39475862353552515</v>
      </c>
    </row>
    <row r="237">
      <c r="A237" s="5">
        <v>0.043456543456543456</v>
      </c>
      <c r="B237" s="5" t="s">
        <v>4495</v>
      </c>
      <c r="C237" s="5" t="s">
        <v>4495</v>
      </c>
      <c r="D237" s="5" t="str">
        <f>IFERROR(__xludf.DUMMYFUNCTION("""COMPUTED_VALUE"""),"")</f>
        <v/>
      </c>
      <c r="E237" s="5">
        <f>IFERROR(__xludf.DUMMYFUNCTION("""COMPUTED_VALUE"""),0.5088312618047772)</f>
        <v>0.5088312618</v>
      </c>
      <c r="F237" s="5" t="str">
        <f>IFERROR(__xludf.DUMMYFUNCTION("""COMPUTED_VALUE"""),"")</f>
        <v/>
      </c>
      <c r="G237" s="5">
        <f>IFERROR(__xludf.DUMMYFUNCTION("""COMPUTED_VALUE"""),1.0)</f>
        <v>1</v>
      </c>
      <c r="H237" s="5">
        <f>IFERROR(__xludf.DUMMYFUNCTION("""COMPUTED_VALUE"""),0.9766858399640256)</f>
        <v>0.97668584</v>
      </c>
      <c r="I237" s="5">
        <v>0.3748763994475969</v>
      </c>
    </row>
    <row r="238">
      <c r="A238" s="5">
        <v>0.08872077028885832</v>
      </c>
      <c r="B238" s="5" t="s">
        <v>4495</v>
      </c>
      <c r="C238" s="5" t="s">
        <v>4495</v>
      </c>
      <c r="D238" s="5" t="str">
        <f>IFERROR(__xludf.DUMMYFUNCTION("""COMPUTED_VALUE"""),"")</f>
        <v/>
      </c>
      <c r="E238" s="5">
        <f>IFERROR(__xludf.DUMMYFUNCTION("""COMPUTED_VALUE"""),0.8341937551950216)</f>
        <v>0.8341937552</v>
      </c>
      <c r="F238" s="5" t="str">
        <f>IFERROR(__xludf.DUMMYFUNCTION("""COMPUTED_VALUE"""),"")</f>
        <v/>
      </c>
      <c r="G238" s="5">
        <f>IFERROR(__xludf.DUMMYFUNCTION("""COMPUTED_VALUE"""),1.0)</f>
        <v>1</v>
      </c>
      <c r="H238" s="5">
        <f>IFERROR(__xludf.DUMMYFUNCTION("""COMPUTED_VALUE"""),0.5342285193497109)</f>
        <v>0.5342285193</v>
      </c>
      <c r="I238" s="5">
        <v>0.4119712907337265</v>
      </c>
    </row>
    <row r="239">
      <c r="A239" s="5">
        <v>0.008353960396039604</v>
      </c>
      <c r="B239" s="5" t="s">
        <v>4495</v>
      </c>
      <c r="C239" s="5" t="s">
        <v>4495</v>
      </c>
      <c r="D239" s="5" t="str">
        <f>IFERROR(__xludf.DUMMYFUNCTION("""COMPUTED_VALUE"""),"")</f>
        <v/>
      </c>
      <c r="E239" s="5">
        <f>IFERROR(__xludf.DUMMYFUNCTION("""COMPUTED_VALUE"""),0.5223179681071728)</f>
        <v>0.5223179681</v>
      </c>
      <c r="F239" s="5" t="str">
        <f>IFERROR(__xludf.DUMMYFUNCTION("""COMPUTED_VALUE"""),"")</f>
        <v/>
      </c>
      <c r="G239" s="5">
        <f>IFERROR(__xludf.DUMMYFUNCTION("""COMPUTED_VALUE"""),1.0)</f>
        <v>1</v>
      </c>
      <c r="H239" s="5">
        <f>IFERROR(__xludf.DUMMYFUNCTION("""COMPUTED_VALUE"""),0.4626762130800115)</f>
        <v>0.4626762131</v>
      </c>
      <c r="I239" s="5">
        <v>0.3268471133347944</v>
      </c>
    </row>
    <row r="240">
      <c r="A240" s="5">
        <v>0.00978318350079323</v>
      </c>
      <c r="B240" s="5" t="s">
        <v>4495</v>
      </c>
      <c r="C240" s="5" t="s">
        <v>4495</v>
      </c>
      <c r="D240" s="5" t="str">
        <f>IFERROR(__xludf.DUMMYFUNCTION("""COMPUTED_VALUE"""),"")</f>
        <v/>
      </c>
      <c r="E240" s="5">
        <f>IFERROR(__xludf.DUMMYFUNCTION("""COMPUTED_VALUE"""),0.5353050503378812)</f>
        <v>0.5353050503</v>
      </c>
      <c r="F240" s="5" t="str">
        <f>IFERROR(__xludf.DUMMYFUNCTION("""COMPUTED_VALUE"""),"")</f>
        <v/>
      </c>
      <c r="G240" s="5">
        <f>IFERROR(__xludf.DUMMYFUNCTION("""COMPUTED_VALUE"""),1.0)</f>
        <v>1</v>
      </c>
      <c r="H240" s="5">
        <f>IFERROR(__xludf.DUMMYFUNCTION("""COMPUTED_VALUE"""),0.29191618910194683)</f>
        <v>0.2919161891</v>
      </c>
      <c r="I240" s="5">
        <v>0.313017881494665</v>
      </c>
    </row>
    <row r="241">
      <c r="A241" s="5" t="s">
        <v>4495</v>
      </c>
      <c r="B241" s="5" t="s">
        <v>4495</v>
      </c>
      <c r="C241" s="5" t="s">
        <v>4495</v>
      </c>
      <c r="D241" s="5" t="str">
        <f>IFERROR(__xludf.DUMMYFUNCTION("""COMPUTED_VALUE"""),"")</f>
        <v/>
      </c>
      <c r="E241" s="5">
        <f>IFERROR(__xludf.DUMMYFUNCTION("""COMPUTED_VALUE"""),0.4236516268700686)</f>
        <v>0.4236516269</v>
      </c>
      <c r="F241" s="5" t="str">
        <f>IFERROR(__xludf.DUMMYFUNCTION("""COMPUTED_VALUE"""),"")</f>
        <v/>
      </c>
      <c r="G241" s="5" t="str">
        <f>IFERROR(__xludf.DUMMYFUNCTION("""COMPUTED_VALUE"""),"")</f>
        <v/>
      </c>
      <c r="H241" s="5">
        <f>IFERROR(__xludf.DUMMYFUNCTION("""COMPUTED_VALUE"""),0.6683440466152498)</f>
        <v>0.6683440466</v>
      </c>
      <c r="I241" s="5">
        <v>0.17274731137904215</v>
      </c>
    </row>
    <row r="242">
      <c r="A242" s="5">
        <v>0.03671875</v>
      </c>
      <c r="B242" s="5">
        <v>0.0</v>
      </c>
      <c r="C242" s="5" t="s">
        <v>4495</v>
      </c>
      <c r="D242" s="5" t="str">
        <f>IFERROR(__xludf.DUMMYFUNCTION("""COMPUTED_VALUE"""),"")</f>
        <v/>
      </c>
      <c r="E242" s="5">
        <f>IFERROR(__xludf.DUMMYFUNCTION("""COMPUTED_VALUE"""),0.7751282182239236)</f>
        <v>0.7751282182</v>
      </c>
      <c r="F242" s="5">
        <f>IFERROR(__xludf.DUMMYFUNCTION("""COMPUTED_VALUE"""),1.0)</f>
        <v>1</v>
      </c>
      <c r="G242" s="5">
        <f>IFERROR(__xludf.DUMMYFUNCTION("""COMPUTED_VALUE"""),1.0)</f>
        <v>1</v>
      </c>
      <c r="H242" s="5">
        <f>IFERROR(__xludf.DUMMYFUNCTION("""COMPUTED_VALUE"""),0.732168685827289)</f>
        <v>0.7321686858</v>
      </c>
      <c r="I242" s="5">
        <v>0.6169989231387099</v>
      </c>
    </row>
    <row r="243">
      <c r="A243" s="5">
        <v>0.04779189352692075</v>
      </c>
      <c r="B243" s="5">
        <v>1.0</v>
      </c>
      <c r="C243" s="5" t="s">
        <v>4495</v>
      </c>
      <c r="D243" s="5" t="str">
        <f>IFERROR(__xludf.DUMMYFUNCTION("""COMPUTED_VALUE"""),"")</f>
        <v/>
      </c>
      <c r="E243" s="5">
        <f>IFERROR(__xludf.DUMMYFUNCTION("""COMPUTED_VALUE"""),0.8203338030310776)</f>
        <v>0.820333803</v>
      </c>
      <c r="F243" s="5">
        <f>IFERROR(__xludf.DUMMYFUNCTION("""COMPUTED_VALUE"""),1.0)</f>
        <v>1</v>
      </c>
      <c r="G243" s="5">
        <f>IFERROR(__xludf.DUMMYFUNCTION("""COMPUTED_VALUE"""),1.0)</f>
        <v>1</v>
      </c>
      <c r="H243" s="5">
        <f>IFERROR(__xludf.DUMMYFUNCTION("""COMPUTED_VALUE"""),0.5667796017810314)</f>
        <v>0.5667796018</v>
      </c>
      <c r="I243" s="5">
        <v>0.6117614109358726</v>
      </c>
    </row>
    <row r="244">
      <c r="A244" s="5">
        <v>0.07312925170068027</v>
      </c>
      <c r="B244" s="5">
        <v>0.0</v>
      </c>
      <c r="C244" s="5" t="s">
        <v>4495</v>
      </c>
      <c r="D244" s="5" t="str">
        <f>IFERROR(__xludf.DUMMYFUNCTION("""COMPUTED_VALUE"""),"")</f>
        <v/>
      </c>
      <c r="E244" s="5">
        <f>IFERROR(__xludf.DUMMYFUNCTION("""COMPUTED_VALUE"""),0.945105144241996)</f>
        <v>0.9451051442</v>
      </c>
      <c r="F244" s="5">
        <f>IFERROR(__xludf.DUMMYFUNCTION("""COMPUTED_VALUE"""),1.0)</f>
        <v>1</v>
      </c>
      <c r="G244" s="5">
        <f>IFERROR(__xludf.DUMMYFUNCTION("""COMPUTED_VALUE"""),1.0)</f>
        <v>1</v>
      </c>
      <c r="H244" s="5">
        <f>IFERROR(__xludf.DUMMYFUNCTION("""COMPUTED_VALUE"""),0.42785092454560963)</f>
        <v>0.4278509245</v>
      </c>
      <c r="I244" s="5">
        <v>0.6290613785150599</v>
      </c>
    </row>
    <row r="245">
      <c r="A245" s="5">
        <v>0.020015596568754873</v>
      </c>
      <c r="B245" s="5" t="s">
        <v>4495</v>
      </c>
      <c r="C245" s="5" t="s">
        <v>4495</v>
      </c>
      <c r="D245" s="5" t="str">
        <f>IFERROR(__xludf.DUMMYFUNCTION("""COMPUTED_VALUE"""),"")</f>
        <v/>
      </c>
      <c r="E245" s="5">
        <f>IFERROR(__xludf.DUMMYFUNCTION("""COMPUTED_VALUE"""),0.35620389963626176)</f>
        <v>0.3562038996</v>
      </c>
      <c r="F245" s="5" t="str">
        <f>IFERROR(__xludf.DUMMYFUNCTION("""COMPUTED_VALUE"""),"")</f>
        <v/>
      </c>
      <c r="G245" s="5">
        <f>IFERROR(__xludf.DUMMYFUNCTION("""COMPUTED_VALUE"""),1.0)</f>
        <v>1</v>
      </c>
      <c r="H245" s="5">
        <f>IFERROR(__xludf.DUMMYFUNCTION("""COMPUTED_VALUE"""),0.0)</f>
        <v>0</v>
      </c>
      <c r="I245" s="5">
        <v>0.23905097490906543</v>
      </c>
    </row>
    <row r="246">
      <c r="A246" s="5">
        <v>0.019230769230769232</v>
      </c>
      <c r="B246" s="5" t="s">
        <v>4495</v>
      </c>
      <c r="C246" s="5" t="s">
        <v>4495</v>
      </c>
      <c r="D246" s="5" t="str">
        <f>IFERROR(__xludf.DUMMYFUNCTION("""COMPUTED_VALUE"""),"")</f>
        <v/>
      </c>
      <c r="E246" s="5">
        <f>IFERROR(__xludf.DUMMYFUNCTION("""COMPUTED_VALUE"""),0.6837831199026277)</f>
        <v>0.6837831199</v>
      </c>
      <c r="F246" s="5" t="str">
        <f>IFERROR(__xludf.DUMMYFUNCTION("""COMPUTED_VALUE"""),"")</f>
        <v/>
      </c>
      <c r="G246" s="5">
        <f>IFERROR(__xludf.DUMMYFUNCTION("""COMPUTED_VALUE"""),1.0)</f>
        <v>1</v>
      </c>
      <c r="H246" s="5">
        <f>IFERROR(__xludf.DUMMYFUNCTION("""COMPUTED_VALUE"""),0.0)</f>
        <v>0</v>
      </c>
      <c r="I246" s="5">
        <v>0.32094577997565693</v>
      </c>
    </row>
    <row r="247">
      <c r="A247" s="5">
        <v>0.008514664143803218</v>
      </c>
      <c r="B247" s="5" t="s">
        <v>4495</v>
      </c>
      <c r="C247" s="5" t="s">
        <v>4495</v>
      </c>
      <c r="D247" s="5" t="str">
        <f>IFERROR(__xludf.DUMMYFUNCTION("""COMPUTED_VALUE"""),"")</f>
        <v/>
      </c>
      <c r="E247" s="5">
        <f>IFERROR(__xludf.DUMMYFUNCTION("""COMPUTED_VALUE"""),0.19773288331254052)</f>
        <v>0.1977328833</v>
      </c>
      <c r="F247" s="5" t="str">
        <f>IFERROR(__xludf.DUMMYFUNCTION("""COMPUTED_VALUE"""),"")</f>
        <v/>
      </c>
      <c r="G247" s="5">
        <f>IFERROR(__xludf.DUMMYFUNCTION("""COMPUTED_VALUE"""),1.0)</f>
        <v>1</v>
      </c>
      <c r="H247" s="5">
        <f>IFERROR(__xludf.DUMMYFUNCTION("""COMPUTED_VALUE"""),0.044372163770186025)</f>
        <v>0.04437216377</v>
      </c>
      <c r="I247" s="5">
        <v>0.20387043720515374</v>
      </c>
    </row>
    <row r="248">
      <c r="A248" s="5" t="s">
        <v>4495</v>
      </c>
      <c r="B248" s="5" t="s">
        <v>4495</v>
      </c>
      <c r="C248" s="5" t="s">
        <v>4495</v>
      </c>
      <c r="D248" s="5" t="str">
        <f>IFERROR(__xludf.DUMMYFUNCTION("""COMPUTED_VALUE"""),"")</f>
        <v/>
      </c>
      <c r="E248" s="5">
        <f>IFERROR(__xludf.DUMMYFUNCTION("""COMPUTED_VALUE"""),1.0)</f>
        <v>1</v>
      </c>
      <c r="F248" s="5" t="str">
        <f>IFERROR(__xludf.DUMMYFUNCTION("""COMPUTED_VALUE"""),"")</f>
        <v/>
      </c>
      <c r="G248" s="5" t="str">
        <f>IFERROR(__xludf.DUMMYFUNCTION("""COMPUTED_VALUE"""),"")</f>
        <v/>
      </c>
      <c r="H248" s="5">
        <f>IFERROR(__xludf.DUMMYFUNCTION("""COMPUTED_VALUE"""),0.9426692129591961)</f>
        <v>0.942669213</v>
      </c>
      <c r="I248" s="5">
        <v>0.3442669212959196</v>
      </c>
    </row>
    <row r="249">
      <c r="A249" s="5" t="s">
        <v>4495</v>
      </c>
      <c r="B249" s="5" t="s">
        <v>4495</v>
      </c>
      <c r="C249" s="5" t="s">
        <v>4495</v>
      </c>
      <c r="D249" s="5" t="str">
        <f>IFERROR(__xludf.DUMMYFUNCTION("""COMPUTED_VALUE"""),"")</f>
        <v/>
      </c>
      <c r="E249" s="5">
        <f>IFERROR(__xludf.DUMMYFUNCTION("""COMPUTED_VALUE"""),0.9826394671266896)</f>
        <v>0.9826394671</v>
      </c>
      <c r="F249" s="5" t="str">
        <f>IFERROR(__xludf.DUMMYFUNCTION("""COMPUTED_VALUE"""),"")</f>
        <v/>
      </c>
      <c r="G249" s="5" t="str">
        <f>IFERROR(__xludf.DUMMYFUNCTION("""COMPUTED_VALUE"""),"")</f>
        <v/>
      </c>
      <c r="H249" s="5">
        <f>IFERROR(__xludf.DUMMYFUNCTION("""COMPUTED_VALUE"""),0.4779923023475191)</f>
        <v>0.4779923023</v>
      </c>
      <c r="I249" s="5">
        <v>0.2934590970164243</v>
      </c>
    </row>
    <row r="250">
      <c r="A250" s="5">
        <v>0.040271132376395534</v>
      </c>
      <c r="B250" s="5" t="s">
        <v>4495</v>
      </c>
      <c r="C250" s="5" t="s">
        <v>4495</v>
      </c>
      <c r="D250" s="5" t="str">
        <f>IFERROR(__xludf.DUMMYFUNCTION("""COMPUTED_VALUE"""),"")</f>
        <v/>
      </c>
      <c r="E250" s="5">
        <f>IFERROR(__xludf.DUMMYFUNCTION("""COMPUTED_VALUE"""),0.8678575615496241)</f>
        <v>0.8678575615</v>
      </c>
      <c r="F250" s="5" t="str">
        <f>IFERROR(__xludf.DUMMYFUNCTION("""COMPUTED_VALUE"""),"")</f>
        <v/>
      </c>
      <c r="G250" s="5">
        <f>IFERROR(__xludf.DUMMYFUNCTION("""COMPUTED_VALUE"""),1.0)</f>
        <v>1</v>
      </c>
      <c r="H250" s="5">
        <f>IFERROR(__xludf.DUMMYFUNCTION("""COMPUTED_VALUE"""),0.22071036252136844)</f>
        <v>0.2207103625</v>
      </c>
      <c r="I250" s="5">
        <v>0.3890354266395429</v>
      </c>
    </row>
    <row r="251">
      <c r="A251" s="5">
        <v>0.008421052631578947</v>
      </c>
      <c r="B251" s="5" t="s">
        <v>4495</v>
      </c>
      <c r="C251" s="5" t="s">
        <v>4495</v>
      </c>
      <c r="D251" s="5" t="str">
        <f>IFERROR(__xludf.DUMMYFUNCTION("""COMPUTED_VALUE"""),"")</f>
        <v/>
      </c>
      <c r="E251" s="5">
        <f>IFERROR(__xludf.DUMMYFUNCTION("""COMPUTED_VALUE"""),0.3768340340141598)</f>
        <v>0.376834034</v>
      </c>
      <c r="F251" s="5" t="str">
        <f>IFERROR(__xludf.DUMMYFUNCTION("""COMPUTED_VALUE"""),"")</f>
        <v/>
      </c>
      <c r="G251" s="5">
        <f>IFERROR(__xludf.DUMMYFUNCTION("""COMPUTED_VALUE"""),1.0)</f>
        <v>1</v>
      </c>
      <c r="H251" s="5">
        <f>IFERROR(__xludf.DUMMYFUNCTION("""COMPUTED_VALUE"""),0.5471878814913675)</f>
        <v>0.5471878815</v>
      </c>
      <c r="I251" s="5">
        <v>0.2989272966526767</v>
      </c>
    </row>
    <row r="252">
      <c r="A252" s="5">
        <v>0.016310679611650485</v>
      </c>
      <c r="B252" s="5" t="s">
        <v>4495</v>
      </c>
      <c r="C252" s="5" t="s">
        <v>4495</v>
      </c>
      <c r="D252" s="5" t="str">
        <f>IFERROR(__xludf.DUMMYFUNCTION("""COMPUTED_VALUE"""),"")</f>
        <v/>
      </c>
      <c r="E252" s="5">
        <f>IFERROR(__xludf.DUMMYFUNCTION("""COMPUTED_VALUE"""),0.4407580016075842)</f>
        <v>0.4407580016</v>
      </c>
      <c r="F252" s="5" t="str">
        <f>IFERROR(__xludf.DUMMYFUNCTION("""COMPUTED_VALUE"""),"")</f>
        <v/>
      </c>
      <c r="G252" s="5">
        <f>IFERROR(__xludf.DUMMYFUNCTION("""COMPUTED_VALUE"""),1.0)</f>
        <v>1</v>
      </c>
      <c r="H252" s="5">
        <f>IFERROR(__xludf.DUMMYFUNCTION("""COMPUTED_VALUE"""),0.5429122504692087)</f>
        <v>0.5429122505</v>
      </c>
      <c r="I252" s="5">
        <v>0.3144807254488169</v>
      </c>
    </row>
    <row r="253">
      <c r="A253" s="5">
        <v>0.1383601756954612</v>
      </c>
      <c r="B253" s="5">
        <v>1.0</v>
      </c>
      <c r="C253" s="5" t="s">
        <v>4495</v>
      </c>
      <c r="D253" s="5" t="str">
        <f>IFERROR(__xludf.DUMMYFUNCTION("""COMPUTED_VALUE"""),"")</f>
        <v/>
      </c>
      <c r="E253" s="5">
        <f>IFERROR(__xludf.DUMMYFUNCTION("""COMPUTED_VALUE"""),0.6096957991638974)</f>
        <v>0.6096957992</v>
      </c>
      <c r="F253" s="5">
        <f>IFERROR(__xludf.DUMMYFUNCTION("""COMPUTED_VALUE"""),1.0)</f>
        <v>1</v>
      </c>
      <c r="G253" s="5">
        <f>IFERROR(__xludf.DUMMYFUNCTION("""COMPUTED_VALUE"""),1.0)</f>
        <v>1</v>
      </c>
      <c r="H253" s="5">
        <f>IFERROR(__xludf.DUMMYFUNCTION("""COMPUTED_VALUE"""),0.336288352872133)</f>
        <v>0.3362883529</v>
      </c>
      <c r="I253" s="5">
        <v>0.5360527850781877</v>
      </c>
    </row>
    <row r="254">
      <c r="A254" s="5">
        <v>0.006840947959931591</v>
      </c>
      <c r="B254" s="5" t="s">
        <v>4495</v>
      </c>
      <c r="C254" s="5" t="s">
        <v>4495</v>
      </c>
      <c r="D254" s="5" t="str">
        <f>IFERROR(__xludf.DUMMYFUNCTION("""COMPUTED_VALUE"""),"")</f>
        <v/>
      </c>
      <c r="E254" s="5">
        <f>IFERROR(__xludf.DUMMYFUNCTION("""COMPUTED_VALUE"""),0.4236516268700686)</f>
        <v>0.4236516269</v>
      </c>
      <c r="F254" s="5" t="str">
        <f>IFERROR(__xludf.DUMMYFUNCTION("""COMPUTED_VALUE"""),"")</f>
        <v/>
      </c>
      <c r="G254" s="5">
        <f>IFERROR(__xludf.DUMMYFUNCTION("""COMPUTED_VALUE"""),1.0)</f>
        <v>1</v>
      </c>
      <c r="H254" s="5">
        <f>IFERROR(__xludf.DUMMYFUNCTION("""COMPUTED_VALUE"""),0.015316089267507091)</f>
        <v>0.01531608927</v>
      </c>
      <c r="I254" s="5">
        <v>0.25744451564426785</v>
      </c>
    </row>
    <row r="255">
      <c r="A255" s="5">
        <v>0.10429447852760736</v>
      </c>
      <c r="B255" s="5">
        <v>1.0</v>
      </c>
      <c r="C255" s="5" t="s">
        <v>4495</v>
      </c>
      <c r="D255" s="5" t="str">
        <f>IFERROR(__xludf.DUMMYFUNCTION("""COMPUTED_VALUE"""),"")</f>
        <v/>
      </c>
      <c r="E255" s="5">
        <f>IFERROR(__xludf.DUMMYFUNCTION("""COMPUTED_VALUE"""),0.8117469787582382)</f>
        <v>0.8117469788</v>
      </c>
      <c r="F255" s="5">
        <f>IFERROR(__xludf.DUMMYFUNCTION("""COMPUTED_VALUE"""),1.0)</f>
        <v>1</v>
      </c>
      <c r="G255" s="5">
        <f>IFERROR(__xludf.DUMMYFUNCTION("""COMPUTED_VALUE"""),1.0)</f>
        <v>1</v>
      </c>
      <c r="H255" s="5">
        <f>IFERROR(__xludf.DUMMYFUNCTION("""COMPUTED_VALUE"""),0.20566783353523804)</f>
        <v>0.2056678335</v>
      </c>
      <c r="I255" s="5">
        <v>0.5735035280430834</v>
      </c>
    </row>
    <row r="256">
      <c r="A256" s="5" t="s">
        <v>4495</v>
      </c>
      <c r="B256" s="5" t="s">
        <v>4495</v>
      </c>
      <c r="C256" s="5" t="s">
        <v>4495</v>
      </c>
      <c r="D256" s="5" t="str">
        <f>IFERROR(__xludf.DUMMYFUNCTION("""COMPUTED_VALUE"""),"")</f>
        <v/>
      </c>
      <c r="E256" s="5">
        <f>IFERROR(__xludf.DUMMYFUNCTION("""COMPUTED_VALUE"""),0.3963174424868398)</f>
        <v>0.3963174425</v>
      </c>
      <c r="F256" s="5" t="str">
        <f>IFERROR(__xludf.DUMMYFUNCTION("""COMPUTED_VALUE"""),"")</f>
        <v/>
      </c>
      <c r="G256" s="5" t="str">
        <f>IFERROR(__xludf.DUMMYFUNCTION("""COMPUTED_VALUE"""),"")</f>
        <v/>
      </c>
      <c r="H256" s="5">
        <f>IFERROR(__xludf.DUMMYFUNCTION("""COMPUTED_VALUE"""),0.0)</f>
        <v>0</v>
      </c>
      <c r="I256" s="5">
        <v>0.09907936062170995</v>
      </c>
    </row>
    <row r="257">
      <c r="A257" s="5">
        <v>0.017037037037037038</v>
      </c>
      <c r="B257" s="5">
        <v>0.0</v>
      </c>
      <c r="C257" s="5" t="s">
        <v>4495</v>
      </c>
      <c r="D257" s="5" t="str">
        <f>IFERROR(__xludf.DUMMYFUNCTION("""COMPUTED_VALUE"""),"")</f>
        <v/>
      </c>
      <c r="E257" s="5">
        <f>IFERROR(__xludf.DUMMYFUNCTION("""COMPUTED_VALUE"""),1.0)</f>
        <v>1</v>
      </c>
      <c r="F257" s="5">
        <f>IFERROR(__xludf.DUMMYFUNCTION("""COMPUTED_VALUE"""),1.0)</f>
        <v>1</v>
      </c>
      <c r="G257" s="5">
        <f>IFERROR(__xludf.DUMMYFUNCTION("""COMPUTED_VALUE"""),1.0)</f>
        <v>1</v>
      </c>
      <c r="H257" s="5">
        <f>IFERROR(__xludf.DUMMYFUNCTION("""COMPUTED_VALUE"""),0.6683440466152498)</f>
        <v>0.6683440466</v>
      </c>
      <c r="I257" s="5">
        <v>0.666834404661525</v>
      </c>
    </row>
    <row r="258">
      <c r="A258" s="5">
        <v>0.024553571428571428</v>
      </c>
      <c r="B258" s="5" t="s">
        <v>4495</v>
      </c>
      <c r="C258" s="5" t="s">
        <v>4495</v>
      </c>
      <c r="D258" s="5" t="str">
        <f>IFERROR(__xludf.DUMMYFUNCTION("""COMPUTED_VALUE"""),"")</f>
        <v/>
      </c>
      <c r="E258" s="5">
        <f>IFERROR(__xludf.DUMMYFUNCTION("""COMPUTED_VALUE"""),0.6345722676997336)</f>
        <v>0.6345722677</v>
      </c>
      <c r="F258" s="5" t="str">
        <f>IFERROR(__xludf.DUMMYFUNCTION("""COMPUTED_VALUE"""),"")</f>
        <v/>
      </c>
      <c r="G258" s="5">
        <f>IFERROR(__xludf.DUMMYFUNCTION("""COMPUTED_VALUE"""),1.0)</f>
        <v>1</v>
      </c>
      <c r="H258" s="5">
        <f>IFERROR(__xludf.DUMMYFUNCTION("""COMPUTED_VALUE"""),0.4467820234631535)</f>
        <v>0.4467820235</v>
      </c>
      <c r="I258" s="5">
        <v>0.35332126927124874</v>
      </c>
    </row>
    <row r="259">
      <c r="A259" s="5">
        <v>0.022590361445783132</v>
      </c>
      <c r="B259" s="5">
        <v>0.0</v>
      </c>
      <c r="C259" s="5" t="s">
        <v>4495</v>
      </c>
      <c r="D259" s="5" t="str">
        <f>IFERROR(__xludf.DUMMYFUNCTION("""COMPUTED_VALUE"""),"")</f>
        <v/>
      </c>
      <c r="E259" s="5">
        <f>IFERROR(__xludf.DUMMYFUNCTION("""COMPUTED_VALUE"""),0.5223179681071728)</f>
        <v>0.5223179681</v>
      </c>
      <c r="F259" s="5">
        <f>IFERROR(__xludf.DUMMYFUNCTION("""COMPUTED_VALUE"""),1.0)</f>
        <v>1</v>
      </c>
      <c r="G259" s="5">
        <f>IFERROR(__xludf.DUMMYFUNCTION("""COMPUTED_VALUE"""),1.0)</f>
        <v>1</v>
      </c>
      <c r="H259" s="5">
        <f>IFERROR(__xludf.DUMMYFUNCTION("""COMPUTED_VALUE"""),0.9969047324297226)</f>
        <v>0.9969047324</v>
      </c>
      <c r="I259" s="5">
        <v>0.5802699652697654</v>
      </c>
    </row>
    <row r="260">
      <c r="A260" s="5">
        <v>0.02400282386163078</v>
      </c>
      <c r="B260" s="5" t="s">
        <v>4495</v>
      </c>
      <c r="C260" s="5" t="s">
        <v>4495</v>
      </c>
      <c r="D260" s="5" t="str">
        <f>IFERROR(__xludf.DUMMYFUNCTION("""COMPUTED_VALUE"""),"")</f>
        <v/>
      </c>
      <c r="E260" s="5">
        <f>IFERROR(__xludf.DUMMYFUNCTION("""COMPUTED_VALUE"""),0.6297361753994164)</f>
        <v>0.6297361754</v>
      </c>
      <c r="F260" s="5" t="str">
        <f>IFERROR(__xludf.DUMMYFUNCTION("""COMPUTED_VALUE"""),"")</f>
        <v/>
      </c>
      <c r="G260" s="5">
        <f>IFERROR(__xludf.DUMMYFUNCTION("""COMPUTED_VALUE"""),1.0)</f>
        <v>1</v>
      </c>
      <c r="H260" s="5">
        <f>IFERROR(__xludf.DUMMYFUNCTION("""COMPUTED_VALUE"""),0.40120830099382077)</f>
        <v>0.401208301</v>
      </c>
      <c r="I260" s="5">
        <v>0.3475548739492361</v>
      </c>
    </row>
    <row r="261">
      <c r="A261" s="5">
        <v>0.008739406779661016</v>
      </c>
      <c r="B261" s="5" t="s">
        <v>4495</v>
      </c>
      <c r="C261" s="5" t="s">
        <v>4495</v>
      </c>
      <c r="D261" s="5" t="str">
        <f>IFERROR(__xludf.DUMMYFUNCTION("""COMPUTED_VALUE"""),"")</f>
        <v/>
      </c>
      <c r="E261" s="5">
        <f>IFERROR(__xludf.DUMMYFUNCTION("""COMPUTED_VALUE"""),0.2858465197452526)</f>
        <v>0.2858465197</v>
      </c>
      <c r="F261" s="5" t="str">
        <f>IFERROR(__xludf.DUMMYFUNCTION("""COMPUTED_VALUE"""),"")</f>
        <v/>
      </c>
      <c r="G261" s="5">
        <f>IFERROR(__xludf.DUMMYFUNCTION("""COMPUTED_VALUE"""),1.0)</f>
        <v>1</v>
      </c>
      <c r="H261" s="5">
        <f>IFERROR(__xludf.DUMMYFUNCTION("""COMPUTED_VALUE"""),0.0)</f>
        <v>0</v>
      </c>
      <c r="I261" s="5">
        <v>0.22146162993631313</v>
      </c>
    </row>
    <row r="262">
      <c r="A262" s="5">
        <v>0.008763144717075613</v>
      </c>
      <c r="B262" s="5">
        <v>0.0</v>
      </c>
      <c r="C262" s="5" t="s">
        <v>4495</v>
      </c>
      <c r="D262" s="5" t="str">
        <f>IFERROR(__xludf.DUMMYFUNCTION("""COMPUTED_VALUE"""),"")</f>
        <v/>
      </c>
      <c r="E262" s="5">
        <f>IFERROR(__xludf.DUMMYFUNCTION("""COMPUTED_VALUE"""),0.43230913174650915)</f>
        <v>0.4323091317</v>
      </c>
      <c r="F262" s="5">
        <f>IFERROR(__xludf.DUMMYFUNCTION("""COMPUTED_VALUE"""),1.0)</f>
        <v>1</v>
      </c>
      <c r="G262" s="5">
        <f>IFERROR(__xludf.DUMMYFUNCTION("""COMPUTED_VALUE"""),1.0)</f>
        <v>1</v>
      </c>
      <c r="H262" s="5">
        <f>IFERROR(__xludf.DUMMYFUNCTION("""COMPUTED_VALUE"""),0.49277087266730096)</f>
        <v>0.4927708727</v>
      </c>
      <c r="I262" s="5">
        <v>0.5073543702033574</v>
      </c>
    </row>
    <row r="263">
      <c r="A263" s="5">
        <v>0.0061503416856492025</v>
      </c>
      <c r="B263" s="5" t="s">
        <v>4495</v>
      </c>
      <c r="C263" s="5" t="s">
        <v>4495</v>
      </c>
      <c r="D263" s="5" t="str">
        <f>IFERROR(__xludf.DUMMYFUNCTION("""COMPUTED_VALUE"""),"")</f>
        <v/>
      </c>
      <c r="E263" s="5">
        <f>IFERROR(__xludf.DUMMYFUNCTION("""COMPUTED_VALUE"""),0.21404331870033824)</f>
        <v>0.2140433187</v>
      </c>
      <c r="F263" s="5" t="str">
        <f>IFERROR(__xludf.DUMMYFUNCTION("""COMPUTED_VALUE"""),"")</f>
        <v/>
      </c>
      <c r="G263" s="5">
        <f>IFERROR(__xludf.DUMMYFUNCTION("""COMPUTED_VALUE"""),1.0)</f>
        <v>1</v>
      </c>
      <c r="H263" s="5">
        <f>IFERROR(__xludf.DUMMYFUNCTION("""COMPUTED_VALUE"""),0.5953713476386906)</f>
        <v>0.5953713476</v>
      </c>
      <c r="I263" s="5">
        <v>0.2630479644389536</v>
      </c>
    </row>
    <row r="264">
      <c r="A264" s="5" t="s">
        <v>4495</v>
      </c>
      <c r="B264" s="5" t="s">
        <v>4495</v>
      </c>
      <c r="C264" s="5" t="s">
        <v>4495</v>
      </c>
      <c r="D264" s="5" t="str">
        <f>IFERROR(__xludf.DUMMYFUNCTION("""COMPUTED_VALUE"""),"")</f>
        <v/>
      </c>
      <c r="E264" s="5">
        <f>IFERROR(__xludf.DUMMYFUNCTION("""COMPUTED_VALUE"""),0.055572302376616874)</f>
        <v>0.05557230238</v>
      </c>
      <c r="F264" s="5" t="str">
        <f>IFERROR(__xludf.DUMMYFUNCTION("""COMPUTED_VALUE"""),"")</f>
        <v/>
      </c>
      <c r="G264" s="5" t="str">
        <f>IFERROR(__xludf.DUMMYFUNCTION("""COMPUTED_VALUE"""),"")</f>
        <v/>
      </c>
      <c r="H264" s="5">
        <f>IFERROR(__xludf.DUMMYFUNCTION("""COMPUTED_VALUE"""),0.18607611324557238)</f>
        <v>0.1860761132</v>
      </c>
      <c r="I264" s="5">
        <v>0.032500686918711455</v>
      </c>
    </row>
    <row r="265">
      <c r="A265" s="5" t="s">
        <v>4495</v>
      </c>
      <c r="B265" s="5" t="s">
        <v>4495</v>
      </c>
      <c r="C265" s="5" t="s">
        <v>4495</v>
      </c>
      <c r="D265" s="5" t="str">
        <f>IFERROR(__xludf.DUMMYFUNCTION("""COMPUTED_VALUE"""),"")</f>
        <v/>
      </c>
      <c r="E265" s="5">
        <f>IFERROR(__xludf.DUMMYFUNCTION("""COMPUTED_VALUE"""),0.19773288331254052)</f>
        <v>0.1977328833</v>
      </c>
      <c r="F265" s="5" t="str">
        <f>IFERROR(__xludf.DUMMYFUNCTION("""COMPUTED_VALUE"""),"")</f>
        <v/>
      </c>
      <c r="G265" s="5" t="str">
        <f>IFERROR(__xludf.DUMMYFUNCTION("""COMPUTED_VALUE"""),"")</f>
        <v/>
      </c>
      <c r="H265" s="5">
        <f>IFERROR(__xludf.DUMMYFUNCTION("""COMPUTED_VALUE"""),0.0)</f>
        <v>0</v>
      </c>
      <c r="I265" s="5">
        <v>0.04943322082813513</v>
      </c>
    </row>
    <row r="266">
      <c r="A266" s="5">
        <v>0.04211897524967434</v>
      </c>
      <c r="B266" s="5" t="s">
        <v>4495</v>
      </c>
      <c r="C266" s="5" t="s">
        <v>4495</v>
      </c>
      <c r="D266" s="5" t="str">
        <f>IFERROR(__xludf.DUMMYFUNCTION("""COMPUTED_VALUE"""),"")</f>
        <v/>
      </c>
      <c r="E266" s="5">
        <f>IFERROR(__xludf.DUMMYFUNCTION("""COMPUTED_VALUE"""),1.0)</f>
        <v>1</v>
      </c>
      <c r="F266" s="5" t="str">
        <f>IFERROR(__xludf.DUMMYFUNCTION("""COMPUTED_VALUE"""),"")</f>
        <v/>
      </c>
      <c r="G266" s="5">
        <f>IFERROR(__xludf.DUMMYFUNCTION("""COMPUTED_VALUE"""),1.0)</f>
        <v>1</v>
      </c>
      <c r="H266" s="5">
        <f>IFERROR(__xludf.DUMMYFUNCTION("""COMPUTED_VALUE"""),0.4779923023475191)</f>
        <v>0.4779923023</v>
      </c>
      <c r="I266" s="5">
        <v>0.44779923023475193</v>
      </c>
    </row>
    <row r="267">
      <c r="A267" s="5" t="s">
        <v>4495</v>
      </c>
      <c r="B267" s="5" t="s">
        <v>4495</v>
      </c>
      <c r="C267" s="5" t="s">
        <v>4495</v>
      </c>
      <c r="D267" s="5" t="str">
        <f>IFERROR(__xludf.DUMMYFUNCTION("""COMPUTED_VALUE"""),"")</f>
        <v/>
      </c>
      <c r="E267" s="5">
        <f>IFERROR(__xludf.DUMMYFUNCTION("""COMPUTED_VALUE"""),0.29859742067166056)</f>
        <v>0.2985974207</v>
      </c>
      <c r="F267" s="5" t="str">
        <f>IFERROR(__xludf.DUMMYFUNCTION("""COMPUTED_VALUE"""),"")</f>
        <v/>
      </c>
      <c r="G267" s="5" t="str">
        <f>IFERROR(__xludf.DUMMYFUNCTION("""COMPUTED_VALUE"""),"")</f>
        <v/>
      </c>
      <c r="H267" s="5">
        <f>IFERROR(__xludf.DUMMYFUNCTION("""COMPUTED_VALUE"""),0.821734761995934)</f>
        <v>0.821734762</v>
      </c>
      <c r="I267" s="5">
        <v>0.15682283136750855</v>
      </c>
    </row>
    <row r="268">
      <c r="A268" s="5">
        <v>0.7647222997488139</v>
      </c>
      <c r="B268" s="5" t="s">
        <v>4495</v>
      </c>
      <c r="C268" s="5" t="s">
        <v>4495</v>
      </c>
      <c r="D268" s="5" t="str">
        <f>IFERROR(__xludf.DUMMYFUNCTION("""COMPUTED_VALUE"""),"")</f>
        <v/>
      </c>
      <c r="E268" s="5">
        <f>IFERROR(__xludf.DUMMYFUNCTION("""COMPUTED_VALUE"""),0.0015253578734055093)</f>
        <v>0.001525357873</v>
      </c>
      <c r="F268" s="5" t="str">
        <f>IFERROR(__xludf.DUMMYFUNCTION("""COMPUTED_VALUE"""),"")</f>
        <v/>
      </c>
      <c r="G268" s="5">
        <f>IFERROR(__xludf.DUMMYFUNCTION("""COMPUTED_VALUE"""),1.0)</f>
        <v>1</v>
      </c>
      <c r="H268" s="5">
        <f>IFERROR(__xludf.DUMMYFUNCTION("""COMPUTED_VALUE"""),0.8929405885765132)</f>
        <v>0.8929405886</v>
      </c>
      <c r="I268" s="5">
        <v>0.23967539832600268</v>
      </c>
    </row>
    <row r="269">
      <c r="A269" s="5">
        <v>0.3076219512195122</v>
      </c>
      <c r="B269" s="5" t="s">
        <v>4495</v>
      </c>
      <c r="C269" s="5" t="s">
        <v>4495</v>
      </c>
      <c r="D269" s="5" t="str">
        <f>IFERROR(__xludf.DUMMYFUNCTION("""COMPUTED_VALUE"""),"")</f>
        <v/>
      </c>
      <c r="E269" s="5">
        <f>IFERROR(__xludf.DUMMYFUNCTION("""COMPUTED_VALUE"""),0.49480494611079556)</f>
        <v>0.4948049461</v>
      </c>
      <c r="F269" s="5" t="str">
        <f>IFERROR(__xludf.DUMMYFUNCTION("""COMPUTED_VALUE"""),"")</f>
        <v/>
      </c>
      <c r="G269" s="5">
        <f>IFERROR(__xludf.DUMMYFUNCTION("""COMPUTED_VALUE"""),1.0)</f>
        <v>1</v>
      </c>
      <c r="H269" s="5">
        <f>IFERROR(__xludf.DUMMYFUNCTION("""COMPUTED_VALUE"""),0.981588643162214)</f>
        <v>0.9815886432</v>
      </c>
      <c r="I269" s="5">
        <v>0.3718601008439203</v>
      </c>
    </row>
    <row r="270">
      <c r="A270" s="5">
        <v>0.44541484716157204</v>
      </c>
      <c r="B270" s="5">
        <v>0.0</v>
      </c>
      <c r="C270" s="5" t="s">
        <v>4495</v>
      </c>
      <c r="D270" s="5" t="str">
        <f>IFERROR(__xludf.DUMMYFUNCTION("""COMPUTED_VALUE"""),"")</f>
        <v/>
      </c>
      <c r="E270" s="5">
        <f>IFERROR(__xludf.DUMMYFUNCTION("""COMPUTED_VALUE"""),0.5223179681071728)</f>
        <v>0.5223179681</v>
      </c>
      <c r="F270" s="5">
        <f>IFERROR(__xludf.DUMMYFUNCTION("""COMPUTED_VALUE"""),1.0)</f>
        <v>1</v>
      </c>
      <c r="G270" s="5">
        <f>IFERROR(__xludf.DUMMYFUNCTION("""COMPUTED_VALUE"""),1.0)</f>
        <v>1</v>
      </c>
      <c r="H270" s="5">
        <f>IFERROR(__xludf.DUMMYFUNCTION("""COMPUTED_VALUE"""),1.0)</f>
        <v>1</v>
      </c>
      <c r="I270" s="5">
        <v>0.5805794920267932</v>
      </c>
    </row>
    <row r="271">
      <c r="A271" s="5">
        <v>0.317786286112078</v>
      </c>
      <c r="B271" s="5">
        <v>0.0</v>
      </c>
      <c r="C271" s="5" t="s">
        <v>4495</v>
      </c>
      <c r="D271" s="5" t="str">
        <f>IFERROR(__xludf.DUMMYFUNCTION("""COMPUTED_VALUE"""),"")</f>
        <v/>
      </c>
      <c r="E271" s="5">
        <f>IFERROR(__xludf.DUMMYFUNCTION("""COMPUTED_VALUE"""),0.5478282077467163)</f>
        <v>0.5478282077</v>
      </c>
      <c r="F271" s="5">
        <f>IFERROR(__xludf.DUMMYFUNCTION("""COMPUTED_VALUE"""),1.0)</f>
        <v>1</v>
      </c>
      <c r="G271" s="5">
        <f>IFERROR(__xludf.DUMMYFUNCTION("""COMPUTED_VALUE"""),1.0)</f>
        <v>1</v>
      </c>
      <c r="H271" s="5">
        <f>IFERROR(__xludf.DUMMYFUNCTION("""COMPUTED_VALUE"""),0.9489427705416329)</f>
        <v>0.9489427705</v>
      </c>
      <c r="I271" s="5">
        <v>0.5818513289908424</v>
      </c>
    </row>
    <row r="272">
      <c r="A272" s="5">
        <v>0.3016216216216216</v>
      </c>
      <c r="B272" s="5">
        <v>0.0</v>
      </c>
      <c r="C272" s="5" t="s">
        <v>4495</v>
      </c>
      <c r="D272" s="5" t="str">
        <f>IFERROR(__xludf.DUMMYFUNCTION("""COMPUTED_VALUE"""),"")</f>
        <v/>
      </c>
      <c r="E272" s="5">
        <f>IFERROR(__xludf.DUMMYFUNCTION("""COMPUTED_VALUE"""),0.5223179681071728)</f>
        <v>0.5223179681</v>
      </c>
      <c r="F272" s="5">
        <f>IFERROR(__xludf.DUMMYFUNCTION("""COMPUTED_VALUE"""),1.0)</f>
        <v>1</v>
      </c>
      <c r="G272" s="5">
        <f>IFERROR(__xludf.DUMMYFUNCTION("""COMPUTED_VALUE"""),1.0)</f>
        <v>1</v>
      </c>
      <c r="H272" s="5">
        <f>IFERROR(__xludf.DUMMYFUNCTION("""COMPUTED_VALUE"""),0.8698583169064583)</f>
        <v>0.8698583169</v>
      </c>
      <c r="I272" s="5">
        <v>0.567565323717439</v>
      </c>
    </row>
    <row r="273">
      <c r="A273" s="5">
        <v>0.3471803702109341</v>
      </c>
      <c r="B273" s="5" t="s">
        <v>4495</v>
      </c>
      <c r="C273" s="5" t="s">
        <v>4495</v>
      </c>
      <c r="D273" s="5" t="str">
        <f>IFERROR(__xludf.DUMMYFUNCTION("""COMPUTED_VALUE"""),"")</f>
        <v/>
      </c>
      <c r="E273" s="5">
        <f>IFERROR(__xludf.DUMMYFUNCTION("""COMPUTED_VALUE"""),1.0)</f>
        <v>1</v>
      </c>
      <c r="F273" s="5" t="str">
        <f>IFERROR(__xludf.DUMMYFUNCTION("""COMPUTED_VALUE"""),"")</f>
        <v/>
      </c>
      <c r="G273" s="5">
        <f>IFERROR(__xludf.DUMMYFUNCTION("""COMPUTED_VALUE"""),1.0)</f>
        <v>1</v>
      </c>
      <c r="H273" s="5">
        <f>IFERROR(__xludf.DUMMYFUNCTION("""COMPUTED_VALUE"""),1.0)</f>
        <v>1</v>
      </c>
      <c r="I273" s="5">
        <v>0.5</v>
      </c>
    </row>
    <row r="274">
      <c r="A274" s="5">
        <v>0.3025809994508512</v>
      </c>
      <c r="B274" s="5">
        <v>0.0</v>
      </c>
      <c r="C274" s="5" t="s">
        <v>4495</v>
      </c>
      <c r="D274" s="5" t="str">
        <f>IFERROR(__xludf.DUMMYFUNCTION("""COMPUTED_VALUE"""),"")</f>
        <v/>
      </c>
      <c r="E274" s="5">
        <f>IFERROR(__xludf.DUMMYFUNCTION("""COMPUTED_VALUE"""),0.6096957991638974)</f>
        <v>0.6096957992</v>
      </c>
      <c r="F274" s="5">
        <f>IFERROR(__xludf.DUMMYFUNCTION("""COMPUTED_VALUE"""),1.0)</f>
        <v>1</v>
      </c>
      <c r="G274" s="5">
        <f>IFERROR(__xludf.DUMMYFUNCTION("""COMPUTED_VALUE"""),1.0)</f>
        <v>1</v>
      </c>
      <c r="H274" s="5">
        <f>IFERROR(__xludf.DUMMYFUNCTION("""COMPUTED_VALUE"""),1.0)</f>
        <v>1</v>
      </c>
      <c r="I274" s="5">
        <v>0.6024239497909744</v>
      </c>
    </row>
    <row r="275">
      <c r="A275" s="5">
        <v>0.2542338298306468</v>
      </c>
      <c r="B275" s="5" t="s">
        <v>4495</v>
      </c>
      <c r="C275" s="5" t="s">
        <v>4495</v>
      </c>
      <c r="D275" s="5" t="str">
        <f>IFERROR(__xludf.DUMMYFUNCTION("""COMPUTED_VALUE"""),"")</f>
        <v/>
      </c>
      <c r="E275" s="5">
        <f>IFERROR(__xludf.DUMMYFUNCTION("""COMPUTED_VALUE"""),0.2858465197452526)</f>
        <v>0.2858465197</v>
      </c>
      <c r="F275" s="5" t="str">
        <f>IFERROR(__xludf.DUMMYFUNCTION("""COMPUTED_VALUE"""),"")</f>
        <v/>
      </c>
      <c r="G275" s="5">
        <f>IFERROR(__xludf.DUMMYFUNCTION("""COMPUTED_VALUE"""),1.0)</f>
        <v>1</v>
      </c>
      <c r="H275" s="5">
        <f>IFERROR(__xludf.DUMMYFUNCTION("""COMPUTED_VALUE"""),0.5779421278045115)</f>
        <v>0.5779421278</v>
      </c>
      <c r="I275" s="5">
        <v>0.2792558427167643</v>
      </c>
    </row>
    <row r="276">
      <c r="A276" s="5">
        <v>0.472356935014549</v>
      </c>
      <c r="B276" s="5" t="s">
        <v>4495</v>
      </c>
      <c r="C276" s="5" t="s">
        <v>4495</v>
      </c>
      <c r="D276" s="5" t="str">
        <f>IFERROR(__xludf.DUMMYFUNCTION("""COMPUTED_VALUE"""),"")</f>
        <v/>
      </c>
      <c r="E276" s="5">
        <f>IFERROR(__xludf.DUMMYFUNCTION("""COMPUTED_VALUE"""),0.07976197121590477)</f>
        <v>0.07976197122</v>
      </c>
      <c r="F276" s="5" t="str">
        <f>IFERROR(__xludf.DUMMYFUNCTION("""COMPUTED_VALUE"""),"")</f>
        <v/>
      </c>
      <c r="G276" s="5">
        <f>IFERROR(__xludf.DUMMYFUNCTION("""COMPUTED_VALUE"""),1.0)</f>
        <v>1</v>
      </c>
      <c r="H276" s="5">
        <f>IFERROR(__xludf.DUMMYFUNCTION("""COMPUTED_VALUE"""),0.0)</f>
        <v>0</v>
      </c>
      <c r="I276" s="5">
        <v>0.1699404928039762</v>
      </c>
    </row>
    <row r="277">
      <c r="A277" s="5">
        <v>0.1890051082461688</v>
      </c>
      <c r="B277" s="5" t="s">
        <v>4495</v>
      </c>
      <c r="C277" s="5" t="s">
        <v>4495</v>
      </c>
      <c r="D277" s="5" t="str">
        <f>IFERROR(__xludf.DUMMYFUNCTION("""COMPUTED_VALUE"""),"")</f>
        <v/>
      </c>
      <c r="E277" s="5">
        <f>IFERROR(__xludf.DUMMYFUNCTION("""COMPUTED_VALUE"""),1.0)</f>
        <v>1</v>
      </c>
      <c r="F277" s="5" t="str">
        <f>IFERROR(__xludf.DUMMYFUNCTION("""COMPUTED_VALUE"""),"")</f>
        <v/>
      </c>
      <c r="G277" s="5">
        <f>IFERROR(__xludf.DUMMYFUNCTION("""COMPUTED_VALUE"""),1.0)</f>
        <v>1</v>
      </c>
      <c r="H277" s="5">
        <f>IFERROR(__xludf.DUMMYFUNCTION("""COMPUTED_VALUE"""),1.0)</f>
        <v>1</v>
      </c>
      <c r="I277" s="5">
        <v>0.5</v>
      </c>
    </row>
    <row r="278">
      <c r="A278" s="5">
        <v>0.4795602885606321</v>
      </c>
      <c r="B278" s="5">
        <v>0.0</v>
      </c>
      <c r="C278" s="5" t="s">
        <v>4495</v>
      </c>
      <c r="D278" s="5" t="str">
        <f>IFERROR(__xludf.DUMMYFUNCTION("""COMPUTED_VALUE"""),"")</f>
        <v/>
      </c>
      <c r="E278" s="5">
        <f>IFERROR(__xludf.DUMMYFUNCTION("""COMPUTED_VALUE"""),0.29859742067166056)</f>
        <v>0.2985974207</v>
      </c>
      <c r="F278" s="5">
        <f>IFERROR(__xludf.DUMMYFUNCTION("""COMPUTED_VALUE"""),1.0)</f>
        <v>1</v>
      </c>
      <c r="G278" s="5">
        <f>IFERROR(__xludf.DUMMYFUNCTION("""COMPUTED_VALUE"""),1.0)</f>
        <v>1</v>
      </c>
      <c r="H278" s="5">
        <f>IFERROR(__xludf.DUMMYFUNCTION("""COMPUTED_VALUE"""),0.25527169238942077)</f>
        <v>0.2552716924</v>
      </c>
      <c r="I278" s="5">
        <v>0.4501765244068572</v>
      </c>
    </row>
    <row r="279">
      <c r="A279" s="5">
        <v>0.14824797843665768</v>
      </c>
      <c r="B279" s="5" t="s">
        <v>4495</v>
      </c>
      <c r="C279" s="5" t="s">
        <v>4495</v>
      </c>
      <c r="D279" s="5" t="str">
        <f>IFERROR(__xludf.DUMMYFUNCTION("""COMPUTED_VALUE"""),"")</f>
        <v/>
      </c>
      <c r="E279" s="5">
        <f>IFERROR(__xludf.DUMMYFUNCTION("""COMPUTED_VALUE"""),0.46494767044687196)</f>
        <v>0.4649476704</v>
      </c>
      <c r="F279" s="5" t="str">
        <f>IFERROR(__xludf.DUMMYFUNCTION("""COMPUTED_VALUE"""),"")</f>
        <v/>
      </c>
      <c r="G279" s="5">
        <f>IFERROR(__xludf.DUMMYFUNCTION("""COMPUTED_VALUE"""),1.0)</f>
        <v>1</v>
      </c>
      <c r="H279" s="5">
        <f>IFERROR(__xludf.DUMMYFUNCTION("""COMPUTED_VALUE"""),1.0)</f>
        <v>1</v>
      </c>
      <c r="I279" s="5">
        <v>0.36623691761171795</v>
      </c>
    </row>
    <row r="280">
      <c r="A280" s="5">
        <v>0.19439338235294118</v>
      </c>
      <c r="B280" s="5" t="s">
        <v>4495</v>
      </c>
      <c r="C280" s="5" t="s">
        <v>4495</v>
      </c>
      <c r="D280" s="5" t="str">
        <f>IFERROR(__xludf.DUMMYFUNCTION("""COMPUTED_VALUE"""),"")</f>
        <v/>
      </c>
      <c r="E280" s="5">
        <f>IFERROR(__xludf.DUMMYFUNCTION("""COMPUTED_VALUE"""),0.4147749215282351)</f>
        <v>0.4147749215</v>
      </c>
      <c r="F280" s="5" t="str">
        <f>IFERROR(__xludf.DUMMYFUNCTION("""COMPUTED_VALUE"""),"")</f>
        <v/>
      </c>
      <c r="G280" s="5">
        <f>IFERROR(__xludf.DUMMYFUNCTION("""COMPUTED_VALUE"""),1.0)</f>
        <v>1</v>
      </c>
      <c r="H280" s="5">
        <f>IFERROR(__xludf.DUMMYFUNCTION("""COMPUTED_VALUE"""),0.774892526403789)</f>
        <v>0.7748925264</v>
      </c>
      <c r="I280" s="5">
        <v>0.3311829830224377</v>
      </c>
    </row>
    <row r="281">
      <c r="A281" s="5">
        <v>0.12538830838746118</v>
      </c>
      <c r="B281" s="5" t="s">
        <v>4495</v>
      </c>
      <c r="C281" s="5" t="s">
        <v>4495</v>
      </c>
      <c r="D281" s="5" t="str">
        <f>IFERROR(__xludf.DUMMYFUNCTION("""COMPUTED_VALUE"""),"")</f>
        <v/>
      </c>
      <c r="E281" s="5">
        <f>IFERROR(__xludf.DUMMYFUNCTION("""COMPUTED_VALUE"""),0.614814300769033)</f>
        <v>0.6148143008</v>
      </c>
      <c r="F281" s="5" t="str">
        <f>IFERROR(__xludf.DUMMYFUNCTION("""COMPUTED_VALUE"""),"")</f>
        <v/>
      </c>
      <c r="G281" s="5">
        <f>IFERROR(__xludf.DUMMYFUNCTION("""COMPUTED_VALUE"""),1.0)</f>
        <v>1</v>
      </c>
      <c r="H281" s="5">
        <f>IFERROR(__xludf.DUMMYFUNCTION("""COMPUTED_VALUE"""),0.8872875367406374)</f>
        <v>0.8872875367</v>
      </c>
      <c r="I281" s="5">
        <v>0.39243232886632196</v>
      </c>
    </row>
    <row r="282">
      <c r="A282" s="5">
        <v>0.2072331928111826</v>
      </c>
      <c r="B282" s="5">
        <v>0.0</v>
      </c>
      <c r="C282" s="5" t="s">
        <v>4495</v>
      </c>
      <c r="D282" s="5" t="str">
        <f>IFERROR(__xludf.DUMMYFUNCTION("""COMPUTED_VALUE"""),"")</f>
        <v/>
      </c>
      <c r="E282" s="5">
        <f>IFERROR(__xludf.DUMMYFUNCTION("""COMPUTED_VALUE"""),0.781503141717807)</f>
        <v>0.7815031417</v>
      </c>
      <c r="F282" s="5">
        <f>IFERROR(__xludf.DUMMYFUNCTION("""COMPUTED_VALUE"""),1.0)</f>
        <v>1</v>
      </c>
      <c r="G282" s="5">
        <f>IFERROR(__xludf.DUMMYFUNCTION("""COMPUTED_VALUE"""),1.0)</f>
        <v>1</v>
      </c>
      <c r="H282" s="5">
        <f>IFERROR(__xludf.DUMMYFUNCTION("""COMPUTED_VALUE"""),0.9406685154275308)</f>
        <v>0.9406685154</v>
      </c>
      <c r="I282" s="5">
        <v>0.6394426369722048</v>
      </c>
    </row>
    <row r="283">
      <c r="A283" s="5">
        <v>0.4230769230769231</v>
      </c>
      <c r="B283" s="5" t="s">
        <v>4495</v>
      </c>
      <c r="C283" s="5" t="s">
        <v>4495</v>
      </c>
      <c r="D283" s="5" t="str">
        <f>IFERROR(__xludf.DUMMYFUNCTION("""COMPUTED_VALUE"""),"")</f>
        <v/>
      </c>
      <c r="E283" s="5">
        <f>IFERROR(__xludf.DUMMYFUNCTION("""COMPUTED_VALUE"""),0.4236516268700686)</f>
        <v>0.4236516269</v>
      </c>
      <c r="F283" s="5" t="str">
        <f>IFERROR(__xludf.DUMMYFUNCTION("""COMPUTED_VALUE"""),"")</f>
        <v/>
      </c>
      <c r="G283" s="5">
        <f>IFERROR(__xludf.DUMMYFUNCTION("""COMPUTED_VALUE"""),1.0)</f>
        <v>1</v>
      </c>
      <c r="H283" s="5">
        <f>IFERROR(__xludf.DUMMYFUNCTION("""COMPUTED_VALUE"""),0.08451166841135611)</f>
        <v>0.08451166841</v>
      </c>
      <c r="I283" s="5">
        <v>0.26436407355865277</v>
      </c>
    </row>
    <row r="284">
      <c r="A284" s="5">
        <v>0.20431211498973306</v>
      </c>
      <c r="B284" s="5" t="s">
        <v>4495</v>
      </c>
      <c r="C284" s="5" t="s">
        <v>4495</v>
      </c>
      <c r="D284" s="5" t="str">
        <f>IFERROR(__xludf.DUMMYFUNCTION("""COMPUTED_VALUE"""),"")</f>
        <v/>
      </c>
      <c r="E284" s="5">
        <f>IFERROR(__xludf.DUMMYFUNCTION("""COMPUTED_VALUE"""),0.9548721026215339)</f>
        <v>0.9548721026</v>
      </c>
      <c r="F284" s="5" t="str">
        <f>IFERROR(__xludf.DUMMYFUNCTION("""COMPUTED_VALUE"""),"")</f>
        <v/>
      </c>
      <c r="G284" s="5">
        <f>IFERROR(__xludf.DUMMYFUNCTION("""COMPUTED_VALUE"""),1.0)</f>
        <v>1</v>
      </c>
      <c r="H284" s="5">
        <f>IFERROR(__xludf.DUMMYFUNCTION("""COMPUTED_VALUE"""),0.8059258159859609)</f>
        <v>0.805925816</v>
      </c>
      <c r="I284" s="5">
        <v>0.4693106072539796</v>
      </c>
    </row>
    <row r="285">
      <c r="A285" s="5" t="s">
        <v>4495</v>
      </c>
      <c r="B285" s="5" t="s">
        <v>4495</v>
      </c>
      <c r="C285" s="5" t="s">
        <v>4495</v>
      </c>
      <c r="D285" s="5" t="str">
        <f>IFERROR(__xludf.DUMMYFUNCTION("""COMPUTED_VALUE"""),"")</f>
        <v/>
      </c>
      <c r="E285" s="5">
        <f>IFERROR(__xludf.DUMMYFUNCTION("""COMPUTED_VALUE"""),0.25886312191752414)</f>
        <v>0.2588631219</v>
      </c>
      <c r="F285" s="5" t="str">
        <f>IFERROR(__xludf.DUMMYFUNCTION("""COMPUTED_VALUE"""),"")</f>
        <v/>
      </c>
      <c r="G285" s="5" t="str">
        <f>IFERROR(__xludf.DUMMYFUNCTION("""COMPUTED_VALUE"""),"")</f>
        <v/>
      </c>
      <c r="H285" s="5">
        <f>IFERROR(__xludf.DUMMYFUNCTION("""COMPUTED_VALUE"""),0.2824518348889342)</f>
        <v>0.2824518349</v>
      </c>
      <c r="I285" s="5">
        <v>0.09296096396827445</v>
      </c>
    </row>
    <row r="286">
      <c r="A286" s="5">
        <v>0.2859956236323851</v>
      </c>
      <c r="B286" s="5" t="s">
        <v>4495</v>
      </c>
      <c r="C286" s="5" t="s">
        <v>4495</v>
      </c>
      <c r="D286" s="5" t="str">
        <f>IFERROR(__xludf.DUMMYFUNCTION("""COMPUTED_VALUE"""),"")</f>
        <v/>
      </c>
      <c r="E286" s="5">
        <f>IFERROR(__xludf.DUMMYFUNCTION("""COMPUTED_VALUE"""),0.882367679076927)</f>
        <v>0.8823676791</v>
      </c>
      <c r="F286" s="5" t="str">
        <f>IFERROR(__xludf.DUMMYFUNCTION("""COMPUTED_VALUE"""),"")</f>
        <v/>
      </c>
      <c r="G286" s="5">
        <f>IFERROR(__xludf.DUMMYFUNCTION("""COMPUTED_VALUE"""),1.0)</f>
        <v>1</v>
      </c>
      <c r="H286" s="5">
        <f>IFERROR(__xludf.DUMMYFUNCTION("""COMPUTED_VALUE"""),0.7699084914494659)</f>
        <v>0.7699084914</v>
      </c>
      <c r="I286" s="5">
        <v>0.44758276891417836</v>
      </c>
    </row>
    <row r="287">
      <c r="A287" s="5">
        <v>0.26311239193083574</v>
      </c>
      <c r="B287" s="5" t="s">
        <v>4495</v>
      </c>
      <c r="C287" s="5" t="s">
        <v>4495</v>
      </c>
      <c r="D287" s="5" t="str">
        <f>IFERROR(__xludf.DUMMYFUNCTION("""COMPUTED_VALUE"""),"")</f>
        <v/>
      </c>
      <c r="E287" s="5">
        <f>IFERROR(__xludf.DUMMYFUNCTION("""COMPUTED_VALUE"""),0.5416225389667044)</f>
        <v>0.541622539</v>
      </c>
      <c r="F287" s="5" t="str">
        <f>IFERROR(__xludf.DUMMYFUNCTION("""COMPUTED_VALUE"""),"")</f>
        <v/>
      </c>
      <c r="G287" s="5">
        <f>IFERROR(__xludf.DUMMYFUNCTION("""COMPUTED_VALUE"""),1.0)</f>
        <v>1</v>
      </c>
      <c r="H287" s="5">
        <f>IFERROR(__xludf.DUMMYFUNCTION("""COMPUTED_VALUE"""),0.8929405885765132)</f>
        <v>0.8929405886</v>
      </c>
      <c r="I287" s="5">
        <v>0.3746996935993274</v>
      </c>
    </row>
    <row r="288">
      <c r="A288" s="5">
        <v>0.2526071842410197</v>
      </c>
      <c r="B288" s="5">
        <v>2.0</v>
      </c>
      <c r="C288" s="5" t="s">
        <v>4495</v>
      </c>
      <c r="D288" s="5" t="str">
        <f>IFERROR(__xludf.DUMMYFUNCTION("""COMPUTED_VALUE"""),"")</f>
        <v/>
      </c>
      <c r="E288" s="5">
        <f>IFERROR(__xludf.DUMMYFUNCTION("""COMPUTED_VALUE"""),0.6837831199026277)</f>
        <v>0.6837831199</v>
      </c>
      <c r="F288" s="5">
        <f>IFERROR(__xludf.DUMMYFUNCTION("""COMPUTED_VALUE"""),1.0)</f>
        <v>1</v>
      </c>
      <c r="G288" s="5">
        <f>IFERROR(__xludf.DUMMYFUNCTION("""COMPUTED_VALUE"""),1.0)</f>
        <v>1</v>
      </c>
      <c r="H288" s="5">
        <f>IFERROR(__xludf.DUMMYFUNCTION("""COMPUTED_VALUE"""),0.7049885433277757)</f>
        <v>0.7049885433</v>
      </c>
      <c r="I288" s="5">
        <v>0.5914446343084345</v>
      </c>
    </row>
    <row r="289">
      <c r="A289" s="5" t="s">
        <v>4495</v>
      </c>
      <c r="B289" s="5" t="s">
        <v>4495</v>
      </c>
      <c r="C289" s="5" t="s">
        <v>4495</v>
      </c>
      <c r="D289" s="5" t="str">
        <f>IFERROR(__xludf.DUMMYFUNCTION("""COMPUTED_VALUE"""),"")</f>
        <v/>
      </c>
      <c r="E289" s="5">
        <f>IFERROR(__xludf.DUMMYFUNCTION("""COMPUTED_VALUE"""),0.6297361753994164)</f>
        <v>0.6297361754</v>
      </c>
      <c r="F289" s="5" t="str">
        <f>IFERROR(__xludf.DUMMYFUNCTION("""COMPUTED_VALUE"""),"")</f>
        <v/>
      </c>
      <c r="G289" s="5" t="str">
        <f>IFERROR(__xludf.DUMMYFUNCTION("""COMPUTED_VALUE"""),"")</f>
        <v/>
      </c>
      <c r="H289" s="5">
        <f>IFERROR(__xludf.DUMMYFUNCTION("""COMPUTED_VALUE"""),0.20085468356535413)</f>
        <v>0.2008546836</v>
      </c>
      <c r="I289" s="5">
        <v>0.1775195122063895</v>
      </c>
    </row>
    <row r="290">
      <c r="A290" s="5">
        <v>0.27721845001170686</v>
      </c>
      <c r="B290" s="5" t="s">
        <v>4495</v>
      </c>
      <c r="C290" s="5" t="s">
        <v>4495</v>
      </c>
      <c r="D290" s="5" t="str">
        <f>IFERROR(__xludf.DUMMYFUNCTION("""COMPUTED_VALUE"""),"")</f>
        <v/>
      </c>
      <c r="E290" s="5">
        <f>IFERROR(__xludf.DUMMYFUNCTION("""COMPUTED_VALUE"""),1.0)</f>
        <v>1</v>
      </c>
      <c r="F290" s="5" t="str">
        <f>IFERROR(__xludf.DUMMYFUNCTION("""COMPUTED_VALUE"""),"")</f>
        <v/>
      </c>
      <c r="G290" s="5">
        <f>IFERROR(__xludf.DUMMYFUNCTION("""COMPUTED_VALUE"""),1.0)</f>
        <v>1</v>
      </c>
      <c r="H290" s="5">
        <f>IFERROR(__xludf.DUMMYFUNCTION("""COMPUTED_VALUE"""),0.87183090148872)</f>
        <v>0.8718309015</v>
      </c>
      <c r="I290" s="5">
        <v>0.487183090148872</v>
      </c>
    </row>
    <row r="291">
      <c r="A291" s="5">
        <v>0.18576598311218334</v>
      </c>
      <c r="B291" s="5">
        <v>0.0</v>
      </c>
      <c r="C291" s="5" t="s">
        <v>4495</v>
      </c>
      <c r="D291" s="5" t="str">
        <f>IFERROR(__xludf.DUMMYFUNCTION("""COMPUTED_VALUE"""),"")</f>
        <v/>
      </c>
      <c r="E291" s="5">
        <f>IFERROR(__xludf.DUMMYFUNCTION("""COMPUTED_VALUE"""),0.67103221897622)</f>
        <v>0.671032219</v>
      </c>
      <c r="F291" s="5">
        <f>IFERROR(__xludf.DUMMYFUNCTION("""COMPUTED_VALUE"""),1.0)</f>
        <v>1</v>
      </c>
      <c r="G291" s="5">
        <f>IFERROR(__xludf.DUMMYFUNCTION("""COMPUTED_VALUE"""),1.0)</f>
        <v>1</v>
      </c>
      <c r="H291" s="5">
        <f>IFERROR(__xludf.DUMMYFUNCTION("""COMPUTED_VALUE"""),0.5030182404653436)</f>
        <v>0.5030182405</v>
      </c>
      <c r="I291" s="5">
        <v>0.5680598787905894</v>
      </c>
    </row>
    <row r="292">
      <c r="A292" s="5">
        <v>0.5018963337547409</v>
      </c>
      <c r="B292" s="5">
        <v>0.0</v>
      </c>
      <c r="C292" s="5" t="s">
        <v>4495</v>
      </c>
      <c r="D292" s="5" t="str">
        <f>IFERROR(__xludf.DUMMYFUNCTION("""COMPUTED_VALUE"""),"")</f>
        <v/>
      </c>
      <c r="E292" s="5">
        <f>IFERROR(__xludf.DUMMYFUNCTION("""COMPUTED_VALUE"""),0.6920331742590979)</f>
        <v>0.6920331743</v>
      </c>
      <c r="F292" s="5">
        <f>IFERROR(__xludf.DUMMYFUNCTION("""COMPUTED_VALUE"""),1.0)</f>
        <v>1</v>
      </c>
      <c r="G292" s="5">
        <f>IFERROR(__xludf.DUMMYFUNCTION("""COMPUTED_VALUE"""),1.0)</f>
        <v>1</v>
      </c>
      <c r="H292" s="5">
        <f>IFERROR(__xludf.DUMMYFUNCTION("""COMPUTED_VALUE"""),0.7966183423999706)</f>
        <v>0.7966183424</v>
      </c>
      <c r="I292" s="5">
        <v>0.6026701278047716</v>
      </c>
    </row>
    <row r="293">
      <c r="A293" s="5">
        <v>0.20552367288378767</v>
      </c>
      <c r="B293" s="5">
        <v>0.0</v>
      </c>
      <c r="C293" s="5" t="s">
        <v>4495</v>
      </c>
      <c r="D293" s="5" t="str">
        <f>IFERROR(__xludf.DUMMYFUNCTION("""COMPUTED_VALUE"""),"")</f>
        <v/>
      </c>
      <c r="E293" s="5">
        <f>IFERROR(__xludf.DUMMYFUNCTION("""COMPUTED_VALUE"""),0.21404331870033824)</f>
        <v>0.2140433187</v>
      </c>
      <c r="F293" s="5">
        <f>IFERROR(__xludf.DUMMYFUNCTION("""COMPUTED_VALUE"""),1.0)</f>
        <v>1</v>
      </c>
      <c r="G293" s="5">
        <f>IFERROR(__xludf.DUMMYFUNCTION("""COMPUTED_VALUE"""),1.0)</f>
        <v>1</v>
      </c>
      <c r="H293" s="5">
        <f>IFERROR(__xludf.DUMMYFUNCTION("""COMPUTED_VALUE"""),0.6153767674099261)</f>
        <v>0.6153767674</v>
      </c>
      <c r="I293" s="5">
        <v>0.4650485064160772</v>
      </c>
    </row>
    <row r="294">
      <c r="A294" s="5">
        <v>0.2195238095238095</v>
      </c>
      <c r="B294" s="5" t="s">
        <v>4495</v>
      </c>
      <c r="C294" s="5" t="s">
        <v>4495</v>
      </c>
      <c r="D294" s="5" t="str">
        <f>IFERROR(__xludf.DUMMYFUNCTION("""COMPUTED_VALUE"""),"")</f>
        <v/>
      </c>
      <c r="E294" s="5">
        <f>IFERROR(__xludf.DUMMYFUNCTION("""COMPUTED_VALUE"""),0.3963174424868398)</f>
        <v>0.3963174425</v>
      </c>
      <c r="F294" s="5" t="str">
        <f>IFERROR(__xludf.DUMMYFUNCTION("""COMPUTED_VALUE"""),"")</f>
        <v/>
      </c>
      <c r="G294" s="5">
        <f>IFERROR(__xludf.DUMMYFUNCTION("""COMPUTED_VALUE"""),1.0)</f>
        <v>1</v>
      </c>
      <c r="H294" s="5">
        <f>IFERROR(__xludf.DUMMYFUNCTION("""COMPUTED_VALUE"""),0.6553846844735923)</f>
        <v>0.6553846845</v>
      </c>
      <c r="I294" s="5">
        <v>0.31461782906906915</v>
      </c>
    </row>
    <row r="295">
      <c r="A295" s="5">
        <v>0.5634851138353766</v>
      </c>
      <c r="B295" s="5">
        <v>1.0</v>
      </c>
      <c r="C295" s="5" t="s">
        <v>4495</v>
      </c>
      <c r="D295" s="5" t="str">
        <f>IFERROR(__xludf.DUMMYFUNCTION("""COMPUTED_VALUE"""),"")</f>
        <v/>
      </c>
      <c r="E295" s="5">
        <f>IFERROR(__xludf.DUMMYFUNCTION("""COMPUTED_VALUE"""),0.823149971850111)</f>
        <v>0.8231499719</v>
      </c>
      <c r="F295" s="5">
        <f>IFERROR(__xludf.DUMMYFUNCTION("""COMPUTED_VALUE"""),1.0)</f>
        <v>1</v>
      </c>
      <c r="G295" s="5">
        <f>IFERROR(__xludf.DUMMYFUNCTION("""COMPUTED_VALUE"""),1.0)</f>
        <v>1</v>
      </c>
      <c r="H295" s="5">
        <f>IFERROR(__xludf.DUMMYFUNCTION("""COMPUTED_VALUE"""),0.7545924021819583)</f>
        <v>0.7545924022</v>
      </c>
      <c r="I295" s="5">
        <v>0.6312467331807236</v>
      </c>
    </row>
    <row r="296">
      <c r="A296" s="5" t="s">
        <v>4495</v>
      </c>
      <c r="B296" s="5" t="s">
        <v>4495</v>
      </c>
      <c r="C296" s="5" t="s">
        <v>4495</v>
      </c>
      <c r="D296" s="5" t="str">
        <f>IFERROR(__xludf.DUMMYFUNCTION("""COMPUTED_VALUE"""),"")</f>
        <v/>
      </c>
      <c r="E296" s="5">
        <f>IFERROR(__xludf.DUMMYFUNCTION("""COMPUTED_VALUE"""),0.0015253578734055093)</f>
        <v>0.001525357873</v>
      </c>
      <c r="F296" s="5" t="str">
        <f>IFERROR(__xludf.DUMMYFUNCTION("""COMPUTED_VALUE"""),"")</f>
        <v/>
      </c>
      <c r="G296" s="5" t="str">
        <f>IFERROR(__xludf.DUMMYFUNCTION("""COMPUTED_VALUE"""),"")</f>
        <v/>
      </c>
      <c r="H296" s="5">
        <f>IFERROR(__xludf.DUMMYFUNCTION("""COMPUTED_VALUE"""),0.0)</f>
        <v>0</v>
      </c>
      <c r="I296" s="5">
        <v>3.8133946835137734E-4</v>
      </c>
    </row>
    <row r="297">
      <c r="A297" s="5">
        <v>0.1317799847211612</v>
      </c>
      <c r="B297" s="5">
        <v>0.0</v>
      </c>
      <c r="C297" s="5" t="s">
        <v>4495</v>
      </c>
      <c r="D297" s="5" t="str">
        <f>IFERROR(__xludf.DUMMYFUNCTION("""COMPUTED_VALUE"""),"")</f>
        <v/>
      </c>
      <c r="E297" s="5">
        <f>IFERROR(__xludf.DUMMYFUNCTION("""COMPUTED_VALUE"""),0.16264250851574893)</f>
        <v>0.1626425085</v>
      </c>
      <c r="F297" s="5">
        <f>IFERROR(__xludf.DUMMYFUNCTION("""COMPUTED_VALUE"""),1.0)</f>
        <v>1</v>
      </c>
      <c r="G297" s="5">
        <f>IFERROR(__xludf.DUMMYFUNCTION("""COMPUTED_VALUE"""),1.0)</f>
        <v>1</v>
      </c>
      <c r="H297" s="5">
        <f>IFERROR(__xludf.DUMMYFUNCTION("""COMPUTED_VALUE"""),0.5163047063425695)</f>
        <v>0.5163047063</v>
      </c>
      <c r="I297" s="5">
        <v>0.4422910977631942</v>
      </c>
    </row>
    <row r="298">
      <c r="A298" s="5">
        <v>0.21980798383021727</v>
      </c>
      <c r="B298" s="5" t="s">
        <v>4495</v>
      </c>
      <c r="C298" s="5" t="s">
        <v>4495</v>
      </c>
      <c r="D298" s="5" t="str">
        <f>IFERROR(__xludf.DUMMYFUNCTION("""COMPUTED_VALUE"""),"")</f>
        <v/>
      </c>
      <c r="E298" s="5">
        <f>IFERROR(__xludf.DUMMYFUNCTION("""COMPUTED_VALUE"""),0.07976197121590477)</f>
        <v>0.07976197122</v>
      </c>
      <c r="F298" s="5" t="str">
        <f>IFERROR(__xludf.DUMMYFUNCTION("""COMPUTED_VALUE"""),"")</f>
        <v/>
      </c>
      <c r="G298" s="5">
        <f>IFERROR(__xludf.DUMMYFUNCTION("""COMPUTED_VALUE"""),1.0)</f>
        <v>1</v>
      </c>
      <c r="H298" s="5">
        <f>IFERROR(__xludf.DUMMYFUNCTION("""COMPUTED_VALUE"""),0.6537363612799073)</f>
        <v>0.6537363613</v>
      </c>
      <c r="I298" s="5">
        <v>0.2353141289319669</v>
      </c>
    </row>
    <row r="299">
      <c r="A299" s="5">
        <v>0.16324469875462808</v>
      </c>
      <c r="B299" s="5" t="s">
        <v>4495</v>
      </c>
      <c r="C299" s="5" t="s">
        <v>4495</v>
      </c>
      <c r="D299" s="5" t="str">
        <f>IFERROR(__xludf.DUMMYFUNCTION("""COMPUTED_VALUE"""),"")</f>
        <v/>
      </c>
      <c r="E299" s="5">
        <f>IFERROR(__xludf.DUMMYFUNCTION("""COMPUTED_VALUE"""),0.3227870895109485)</f>
        <v>0.3227870895</v>
      </c>
      <c r="F299" s="5" t="str">
        <f>IFERROR(__xludf.DUMMYFUNCTION("""COMPUTED_VALUE"""),"")</f>
        <v/>
      </c>
      <c r="G299" s="5">
        <f>IFERROR(__xludf.DUMMYFUNCTION("""COMPUTED_VALUE"""),1.0)</f>
        <v>1</v>
      </c>
      <c r="H299" s="5">
        <f>IFERROR(__xludf.DUMMYFUNCTION("""COMPUTED_VALUE"""),0.6586621020908234)</f>
        <v>0.6586621021</v>
      </c>
      <c r="I299" s="5">
        <v>0.29656298258681946</v>
      </c>
    </row>
    <row r="300">
      <c r="A300" s="5">
        <v>0.1384083044982699</v>
      </c>
      <c r="B300" s="5">
        <v>0.0</v>
      </c>
      <c r="C300" s="5" t="s">
        <v>4495</v>
      </c>
      <c r="D300" s="5" t="str">
        <f>IFERROR(__xludf.DUMMYFUNCTION("""COMPUTED_VALUE"""),"")</f>
        <v/>
      </c>
      <c r="E300" s="5">
        <f>IFERROR(__xludf.DUMMYFUNCTION("""COMPUTED_VALUE"""),0.33428356644099017)</f>
        <v>0.3342835664</v>
      </c>
      <c r="F300" s="5">
        <f>IFERROR(__xludf.DUMMYFUNCTION("""COMPUTED_VALUE"""),1.0)</f>
        <v>1</v>
      </c>
      <c r="G300" s="5">
        <f>IFERROR(__xludf.DUMMYFUNCTION("""COMPUTED_VALUE"""),1.0)</f>
        <v>1</v>
      </c>
      <c r="H300" s="5">
        <f>IFERROR(__xludf.DUMMYFUNCTION("""COMPUTED_VALUE"""),0.4704038801376717)</f>
        <v>0.4704038801</v>
      </c>
      <c r="I300" s="5">
        <v>0.48061127962401473</v>
      </c>
    </row>
    <row r="301">
      <c r="A301" s="5">
        <v>0.25017158544955387</v>
      </c>
      <c r="B301" s="5">
        <v>0.0</v>
      </c>
      <c r="C301" s="5" t="s">
        <v>4495</v>
      </c>
      <c r="D301" s="5" t="str">
        <f>IFERROR(__xludf.DUMMYFUNCTION("""COMPUTED_VALUE"""),"")</f>
        <v/>
      </c>
      <c r="E301" s="5">
        <f>IFERROR(__xludf.DUMMYFUNCTION("""COMPUTED_VALUE"""),0.36667068086885374)</f>
        <v>0.3666706809</v>
      </c>
      <c r="F301" s="5">
        <f>IFERROR(__xludf.DUMMYFUNCTION("""COMPUTED_VALUE"""),1.0)</f>
        <v>1</v>
      </c>
      <c r="G301" s="5">
        <f>IFERROR(__xludf.DUMMYFUNCTION("""COMPUTED_VALUE"""),1.0)</f>
        <v>1</v>
      </c>
      <c r="H301" s="5">
        <f>IFERROR(__xludf.DUMMYFUNCTION("""COMPUTED_VALUE"""),0.6547261291582076)</f>
        <v>0.6547261292</v>
      </c>
      <c r="I301" s="5">
        <v>0.5071402831330342</v>
      </c>
    </row>
    <row r="302">
      <c r="A302" s="5">
        <v>0.11279170267934313</v>
      </c>
      <c r="B302" s="5" t="s">
        <v>4495</v>
      </c>
      <c r="C302" s="5" t="s">
        <v>4495</v>
      </c>
      <c r="D302" s="5" t="str">
        <f>IFERROR(__xludf.DUMMYFUNCTION("""COMPUTED_VALUE"""),"")</f>
        <v/>
      </c>
      <c r="E302" s="5">
        <f>IFERROR(__xludf.DUMMYFUNCTION("""COMPUTED_VALUE"""),0.35620389963626176)</f>
        <v>0.3562038996</v>
      </c>
      <c r="F302" s="5" t="str">
        <f>IFERROR(__xludf.DUMMYFUNCTION("""COMPUTED_VALUE"""),"")</f>
        <v/>
      </c>
      <c r="G302" s="5">
        <f>IFERROR(__xludf.DUMMYFUNCTION("""COMPUTED_VALUE"""),1.0)</f>
        <v>1</v>
      </c>
      <c r="H302" s="5">
        <f>IFERROR(__xludf.DUMMYFUNCTION("""COMPUTED_VALUE"""),0.7933115141162687)</f>
        <v>0.7933115141</v>
      </c>
      <c r="I302" s="5">
        <v>0.3183821263206923</v>
      </c>
    </row>
    <row r="303">
      <c r="A303" s="5">
        <v>0.31050629206906644</v>
      </c>
      <c r="B303" s="5">
        <v>1.0</v>
      </c>
      <c r="C303" s="5" t="s">
        <v>4495</v>
      </c>
      <c r="D303" s="5" t="str">
        <f>IFERROR(__xludf.DUMMYFUNCTION("""COMPUTED_VALUE"""),"")</f>
        <v/>
      </c>
      <c r="E303" s="5">
        <f>IFERROR(__xludf.DUMMYFUNCTION("""COMPUTED_VALUE"""),0.18062650857502485)</f>
        <v>0.1806265086</v>
      </c>
      <c r="F303" s="5">
        <f>IFERROR(__xludf.DUMMYFUNCTION("""COMPUTED_VALUE"""),1.0)</f>
        <v>1</v>
      </c>
      <c r="G303" s="5">
        <f>IFERROR(__xludf.DUMMYFUNCTION("""COMPUTED_VALUE"""),1.0)</f>
        <v>1</v>
      </c>
      <c r="H303" s="5">
        <f>IFERROR(__xludf.DUMMYFUNCTION("""COMPUTED_VALUE"""),0.6537363612799073)</f>
        <v>0.6537363613</v>
      </c>
      <c r="I303" s="5">
        <v>0.46053026327174695</v>
      </c>
    </row>
    <row r="304">
      <c r="A304" s="5">
        <v>0.3901712583767684</v>
      </c>
      <c r="B304" s="5">
        <v>0.0</v>
      </c>
      <c r="C304" s="5" t="s">
        <v>4495</v>
      </c>
      <c r="D304" s="5" t="str">
        <f>IFERROR(__xludf.DUMMYFUNCTION("""COMPUTED_VALUE"""),"")</f>
        <v/>
      </c>
      <c r="E304" s="5">
        <f>IFERROR(__xludf.DUMMYFUNCTION("""COMPUTED_VALUE"""),0.3454150135275693)</f>
        <v>0.3454150135</v>
      </c>
      <c r="F304" s="5">
        <f>IFERROR(__xludf.DUMMYFUNCTION("""COMPUTED_VALUE"""),1.0)</f>
        <v>1</v>
      </c>
      <c r="G304" s="5">
        <f>IFERROR(__xludf.DUMMYFUNCTION("""COMPUTED_VALUE"""),1.0)</f>
        <v>1</v>
      </c>
      <c r="H304" s="5">
        <f>IFERROR(__xludf.DUMMYFUNCTION("""COMPUTED_VALUE"""),0.65669871374047)</f>
        <v>0.6566987137</v>
      </c>
      <c r="I304" s="5">
        <v>0.5020236247559393</v>
      </c>
    </row>
    <row r="305">
      <c r="A305" s="5">
        <v>0.07185896005355948</v>
      </c>
      <c r="B305" s="5" t="s">
        <v>4495</v>
      </c>
      <c r="C305" s="5" t="s">
        <v>4495</v>
      </c>
      <c r="D305" s="5" t="str">
        <f>IFERROR(__xludf.DUMMYFUNCTION("""COMPUTED_VALUE"""),"")</f>
        <v/>
      </c>
      <c r="E305" s="5">
        <f>IFERROR(__xludf.DUMMYFUNCTION("""COMPUTED_VALUE"""),0.2726143405923116)</f>
        <v>0.2726143406</v>
      </c>
      <c r="F305" s="5" t="str">
        <f>IFERROR(__xludf.DUMMYFUNCTION("""COMPUTED_VALUE"""),"")</f>
        <v/>
      </c>
      <c r="G305" s="5">
        <f>IFERROR(__xludf.DUMMYFUNCTION("""COMPUTED_VALUE"""),1.0)</f>
        <v>1</v>
      </c>
      <c r="H305" s="5">
        <f>IFERROR(__xludf.DUMMYFUNCTION("""COMPUTED_VALUE"""),0.3951485412186882)</f>
        <v>0.3951485412</v>
      </c>
      <c r="I305" s="5">
        <v>0.2576684392699467</v>
      </c>
    </row>
    <row r="306">
      <c r="A306" s="5">
        <v>0.35843373493975905</v>
      </c>
      <c r="B306" s="5">
        <v>0.0</v>
      </c>
      <c r="C306" s="5" t="s">
        <v>4495</v>
      </c>
      <c r="D306" s="5" t="str">
        <f>IFERROR(__xludf.DUMMYFUNCTION("""COMPUTED_VALUE"""),"")</f>
        <v/>
      </c>
      <c r="E306" s="5">
        <f>IFERROR(__xludf.DUMMYFUNCTION("""COMPUTED_VALUE"""),0.6795841339910054)</f>
        <v>0.679584134</v>
      </c>
      <c r="F306" s="5">
        <f>IFERROR(__xludf.DUMMYFUNCTION("""COMPUTED_VALUE"""),1.0)</f>
        <v>1</v>
      </c>
      <c r="G306" s="5">
        <f>IFERROR(__xludf.DUMMYFUNCTION("""COMPUTED_VALUE"""),1.0)</f>
        <v>1</v>
      </c>
      <c r="H306" s="5">
        <f>IFERROR(__xludf.DUMMYFUNCTION("""COMPUTED_VALUE"""),0.4626762130800115)</f>
        <v>0.4626762131</v>
      </c>
      <c r="I306" s="5">
        <v>0.5661636548057525</v>
      </c>
    </row>
    <row r="307">
      <c r="A307" s="5">
        <v>0.3794103431609473</v>
      </c>
      <c r="B307" s="5" t="s">
        <v>4495</v>
      </c>
      <c r="C307" s="5" t="s">
        <v>4495</v>
      </c>
      <c r="D307" s="5" t="str">
        <f>IFERROR(__xludf.DUMMYFUNCTION("""COMPUTED_VALUE"""),"")</f>
        <v/>
      </c>
      <c r="E307" s="5">
        <f>IFERROR(__xludf.DUMMYFUNCTION("""COMPUTED_VALUE"""),0.8552895086758483)</f>
        <v>0.8552895087</v>
      </c>
      <c r="F307" s="5" t="str">
        <f>IFERROR(__xludf.DUMMYFUNCTION("""COMPUTED_VALUE"""),"")</f>
        <v/>
      </c>
      <c r="G307" s="5">
        <f>IFERROR(__xludf.DUMMYFUNCTION("""COMPUTED_VALUE"""),1.0)</f>
        <v>1</v>
      </c>
      <c r="H307" s="5">
        <f>IFERROR(__xludf.DUMMYFUNCTION("""COMPUTED_VALUE"""),0.8578247542986999)</f>
        <v>0.8578247543</v>
      </c>
      <c r="I307" s="5">
        <v>0.44960485259883204</v>
      </c>
    </row>
    <row r="308">
      <c r="A308" s="5">
        <v>0.42165759225650334</v>
      </c>
      <c r="B308" s="5">
        <v>0.0</v>
      </c>
      <c r="C308" s="5" t="s">
        <v>4495</v>
      </c>
      <c r="D308" s="5" t="str">
        <f>IFERROR(__xludf.DUMMYFUNCTION("""COMPUTED_VALUE"""),"")</f>
        <v/>
      </c>
      <c r="E308" s="5">
        <f>IFERROR(__xludf.DUMMYFUNCTION("""COMPUTED_VALUE"""),0.10238989523252559)</f>
        <v>0.1023898952</v>
      </c>
      <c r="F308" s="5">
        <f>IFERROR(__xludf.DUMMYFUNCTION("""COMPUTED_VALUE"""),1.0)</f>
        <v>1</v>
      </c>
      <c r="G308" s="5">
        <f>IFERROR(__xludf.DUMMYFUNCTION("""COMPUTED_VALUE"""),1.0)</f>
        <v>1</v>
      </c>
      <c r="H308" s="5">
        <f>IFERROR(__xludf.DUMMYFUNCTION("""COMPUTED_VALUE"""),0.5884859729385399)</f>
        <v>0.5884859729</v>
      </c>
      <c r="I308" s="5">
        <v>0.4344460711019854</v>
      </c>
    </row>
    <row r="309">
      <c r="A309" s="5">
        <v>0.10275824770146025</v>
      </c>
      <c r="B309" s="5" t="s">
        <v>4495</v>
      </c>
      <c r="C309" s="5" t="s">
        <v>4495</v>
      </c>
      <c r="D309" s="5" t="str">
        <f>IFERROR(__xludf.DUMMYFUNCTION("""COMPUTED_VALUE"""),"")</f>
        <v/>
      </c>
      <c r="E309" s="5">
        <f>IFERROR(__xludf.DUMMYFUNCTION("""COMPUTED_VALUE"""),0.5478282077467163)</f>
        <v>0.5478282077</v>
      </c>
      <c r="F309" s="5" t="str">
        <f>IFERROR(__xludf.DUMMYFUNCTION("""COMPUTED_VALUE"""),"")</f>
        <v/>
      </c>
      <c r="G309" s="5">
        <f>IFERROR(__xludf.DUMMYFUNCTION("""COMPUTED_VALUE"""),1.0)</f>
        <v>1</v>
      </c>
      <c r="H309" s="5">
        <f>IFERROR(__xludf.DUMMYFUNCTION("""COMPUTED_VALUE"""),0.872813739830639)</f>
        <v>0.8728137398</v>
      </c>
      <c r="I309" s="5">
        <v>0.374238425919743</v>
      </c>
    </row>
    <row r="310">
      <c r="A310" s="5">
        <v>0.28825622775800713</v>
      </c>
      <c r="B310" s="5" t="s">
        <v>4495</v>
      </c>
      <c r="C310" s="5" t="s">
        <v>4495</v>
      </c>
      <c r="D310" s="5" t="str">
        <f>IFERROR(__xludf.DUMMYFUNCTION("""COMPUTED_VALUE"""),"")</f>
        <v/>
      </c>
      <c r="E310" s="5">
        <f>IFERROR(__xludf.DUMMYFUNCTION("""COMPUTED_VALUE"""),0.7118469843264902)</f>
        <v>0.7118469843</v>
      </c>
      <c r="F310" s="5" t="str">
        <f>IFERROR(__xludf.DUMMYFUNCTION("""COMPUTED_VALUE"""),"")</f>
        <v/>
      </c>
      <c r="G310" s="5">
        <f>IFERROR(__xludf.DUMMYFUNCTION("""COMPUTED_VALUE"""),1.0)</f>
        <v>1</v>
      </c>
      <c r="H310" s="5">
        <f>IFERROR(__xludf.DUMMYFUNCTION("""COMPUTED_VALUE"""),0.30345515853674393)</f>
        <v>0.3034551585</v>
      </c>
      <c r="I310" s="5">
        <v>0.35830726193529694</v>
      </c>
    </row>
    <row r="311">
      <c r="A311" s="5">
        <v>0.19318527532704594</v>
      </c>
      <c r="B311" s="5" t="s">
        <v>4495</v>
      </c>
      <c r="C311" s="5" t="s">
        <v>4495</v>
      </c>
      <c r="D311" s="5" t="str">
        <f>IFERROR(__xludf.DUMMYFUNCTION("""COMPUTED_VALUE"""),"")</f>
        <v/>
      </c>
      <c r="E311" s="5">
        <f>IFERROR(__xludf.DUMMYFUNCTION("""COMPUTED_VALUE"""),0.19773288331254052)</f>
        <v>0.1977328833</v>
      </c>
      <c r="F311" s="5" t="str">
        <f>IFERROR(__xludf.DUMMYFUNCTION("""COMPUTED_VALUE"""),"")</f>
        <v/>
      </c>
      <c r="G311" s="5">
        <f>IFERROR(__xludf.DUMMYFUNCTION("""COMPUTED_VALUE"""),1.0)</f>
        <v>1</v>
      </c>
      <c r="H311" s="5">
        <f>IFERROR(__xludf.DUMMYFUNCTION("""COMPUTED_VALUE"""),0.701464288130925)</f>
        <v>0.7014642881</v>
      </c>
      <c r="I311" s="5">
        <v>0.26957964964122766</v>
      </c>
    </row>
    <row r="312">
      <c r="A312" s="5">
        <v>0.04649816708469998</v>
      </c>
      <c r="B312" s="5" t="s">
        <v>4495</v>
      </c>
      <c r="C312" s="5" t="s">
        <v>4495</v>
      </c>
      <c r="D312" s="5" t="str">
        <f>IFERROR(__xludf.DUMMYFUNCTION("""COMPUTED_VALUE"""),"")</f>
        <v/>
      </c>
      <c r="E312" s="5">
        <f>IFERROR(__xludf.DUMMYFUNCTION("""COMPUTED_VALUE"""),0.4236516268700686)</f>
        <v>0.4236516269</v>
      </c>
      <c r="F312" s="5" t="str">
        <f>IFERROR(__xludf.DUMMYFUNCTION("""COMPUTED_VALUE"""),"")</f>
        <v/>
      </c>
      <c r="G312" s="5">
        <f>IFERROR(__xludf.DUMMYFUNCTION("""COMPUTED_VALUE"""),1.0)</f>
        <v>1</v>
      </c>
      <c r="H312" s="5">
        <f>IFERROR(__xludf.DUMMYFUNCTION("""COMPUTED_VALUE"""),0.7467202844151569)</f>
        <v>0.7467202844</v>
      </c>
      <c r="I312" s="5">
        <v>0.33058493515903287</v>
      </c>
    </row>
    <row r="313">
      <c r="A313" s="5">
        <v>0.11686274509803922</v>
      </c>
      <c r="B313" s="5">
        <v>0.0</v>
      </c>
      <c r="C313" s="5" t="s">
        <v>4495</v>
      </c>
      <c r="D313" s="5" t="str">
        <f>IFERROR(__xludf.DUMMYFUNCTION("""COMPUTED_VALUE"""),"")</f>
        <v/>
      </c>
      <c r="E313" s="5">
        <f>IFERROR(__xludf.DUMMYFUNCTION("""COMPUTED_VALUE"""),0.5884401318226129)</f>
        <v>0.5884401318</v>
      </c>
      <c r="F313" s="5">
        <f>IFERROR(__xludf.DUMMYFUNCTION("""COMPUTED_VALUE"""),1.0)</f>
        <v>1</v>
      </c>
      <c r="G313" s="5">
        <f>IFERROR(__xludf.DUMMYFUNCTION("""COMPUTED_VALUE"""),1.0)</f>
        <v>1</v>
      </c>
      <c r="H313" s="5">
        <f>IFERROR(__xludf.DUMMYFUNCTION("""COMPUTED_VALUE"""),0.6844407589762704)</f>
        <v>0.684440759</v>
      </c>
      <c r="I313" s="5">
        <v>0.5655541088532803</v>
      </c>
    </row>
    <row r="314">
      <c r="A314" s="5">
        <v>0.18853362734288864</v>
      </c>
      <c r="B314" s="5">
        <v>0.0</v>
      </c>
      <c r="C314" s="5" t="s">
        <v>4495</v>
      </c>
      <c r="D314" s="5" t="str">
        <f>IFERROR(__xludf.DUMMYFUNCTION("""COMPUTED_VALUE"""),"")</f>
        <v/>
      </c>
      <c r="E314" s="5">
        <f>IFERROR(__xludf.DUMMYFUNCTION("""COMPUTED_VALUE"""),0.6666767451651121)</f>
        <v>0.6666767452</v>
      </c>
      <c r="F314" s="5">
        <f>IFERROR(__xludf.DUMMYFUNCTION("""COMPUTED_VALUE"""),1.0)</f>
        <v>1</v>
      </c>
      <c r="G314" s="5">
        <f>IFERROR(__xludf.DUMMYFUNCTION("""COMPUTED_VALUE"""),1.0)</f>
        <v>1</v>
      </c>
      <c r="H314" s="5">
        <f>IFERROR(__xludf.DUMMYFUNCTION("""COMPUTED_VALUE"""),0.8348284395711555)</f>
        <v>0.8348284396</v>
      </c>
      <c r="I314" s="5">
        <v>0.6001520302483936</v>
      </c>
    </row>
    <row r="315">
      <c r="A315" s="5" t="s">
        <v>4495</v>
      </c>
      <c r="B315" s="5" t="s">
        <v>4495</v>
      </c>
      <c r="C315" s="5" t="s">
        <v>4495</v>
      </c>
      <c r="D315" s="5" t="str">
        <f>IFERROR(__xludf.DUMMYFUNCTION("""COMPUTED_VALUE"""),"")</f>
        <v/>
      </c>
      <c r="E315" s="5">
        <f>IFERROR(__xludf.DUMMYFUNCTION("""COMPUTED_VALUE"""),0.6440488211484913)</f>
        <v>0.6440488211</v>
      </c>
      <c r="F315" s="5" t="str">
        <f>IFERROR(__xludf.DUMMYFUNCTION("""COMPUTED_VALUE"""),"")</f>
        <v/>
      </c>
      <c r="G315" s="5" t="str">
        <f>IFERROR(__xludf.DUMMYFUNCTION("""COMPUTED_VALUE"""),"")</f>
        <v/>
      </c>
      <c r="H315" s="5">
        <f>IFERROR(__xludf.DUMMYFUNCTION("""COMPUTED_VALUE"""),0.8365439044211616)</f>
        <v>0.8365439044</v>
      </c>
      <c r="I315" s="5">
        <v>0.244666595729239</v>
      </c>
    </row>
    <row r="316">
      <c r="A316" s="5">
        <v>0.12830396475770925</v>
      </c>
      <c r="B316" s="5">
        <v>0.0</v>
      </c>
      <c r="C316" s="5" t="s">
        <v>4495</v>
      </c>
      <c r="D316" s="5" t="str">
        <f>IFERROR(__xludf.DUMMYFUNCTION("""COMPUTED_VALUE"""),"")</f>
        <v/>
      </c>
      <c r="E316" s="5">
        <f>IFERROR(__xludf.DUMMYFUNCTION("""COMPUTED_VALUE"""),0.3867110571043727)</f>
        <v>0.3867110571</v>
      </c>
      <c r="F316" s="5">
        <f>IFERROR(__xludf.DUMMYFUNCTION("""COMPUTED_VALUE"""),1.0)</f>
        <v>1</v>
      </c>
      <c r="G316" s="5">
        <f>IFERROR(__xludf.DUMMYFUNCTION("""COMPUTED_VALUE"""),1.0)</f>
        <v>1</v>
      </c>
      <c r="H316" s="5">
        <f>IFERROR(__xludf.DUMMYFUNCTION("""COMPUTED_VALUE"""),0.2595043515184367)</f>
        <v>0.2595043515</v>
      </c>
      <c r="I316" s="5">
        <v>0.4726281994279369</v>
      </c>
    </row>
    <row r="317">
      <c r="A317" s="5">
        <v>0.12208099320130061</v>
      </c>
      <c r="B317" s="5" t="s">
        <v>4495</v>
      </c>
      <c r="C317" s="5" t="s">
        <v>4495</v>
      </c>
      <c r="D317" s="5" t="str">
        <f>IFERROR(__xludf.DUMMYFUNCTION("""COMPUTED_VALUE"""),"")</f>
        <v/>
      </c>
      <c r="E317" s="5">
        <f>IFERROR(__xludf.DUMMYFUNCTION("""COMPUTED_VALUE"""),0.49480494611079556)</f>
        <v>0.4948049461</v>
      </c>
      <c r="F317" s="5" t="str">
        <f>IFERROR(__xludf.DUMMYFUNCTION("""COMPUTED_VALUE"""),"")</f>
        <v/>
      </c>
      <c r="G317" s="5">
        <f>IFERROR(__xludf.DUMMYFUNCTION("""COMPUTED_VALUE"""),1.0)</f>
        <v>1</v>
      </c>
      <c r="H317" s="5">
        <f>IFERROR(__xludf.DUMMYFUNCTION("""COMPUTED_VALUE"""),0.7386982125651004)</f>
        <v>0.7386982126</v>
      </c>
      <c r="I317" s="5">
        <v>0.34757105778420894</v>
      </c>
    </row>
    <row r="318">
      <c r="A318" s="5">
        <v>0.1867007672634271</v>
      </c>
      <c r="B318" s="5">
        <v>0.0</v>
      </c>
      <c r="C318" s="5" t="s">
        <v>4495</v>
      </c>
      <c r="D318" s="5" t="str">
        <f>IFERROR(__xludf.DUMMYFUNCTION("""COMPUTED_VALUE"""),"")</f>
        <v/>
      </c>
      <c r="E318" s="5">
        <f>IFERROR(__xludf.DUMMYFUNCTION("""COMPUTED_VALUE"""),0.0)</f>
        <v>0</v>
      </c>
      <c r="F318" s="5">
        <f>IFERROR(__xludf.DUMMYFUNCTION("""COMPUTED_VALUE"""),1.0)</f>
        <v>1</v>
      </c>
      <c r="G318" s="5">
        <f>IFERROR(__xludf.DUMMYFUNCTION("""COMPUTED_VALUE"""),1.0)</f>
        <v>1</v>
      </c>
      <c r="H318" s="5">
        <f>IFERROR(__xludf.DUMMYFUNCTION("""COMPUTED_VALUE"""),0.8357122720852015)</f>
        <v>0.8357122721</v>
      </c>
      <c r="I318" s="5">
        <v>0.43357122720852015</v>
      </c>
    </row>
    <row r="319">
      <c r="A319" s="5">
        <v>0.2299618320610687</v>
      </c>
      <c r="B319" s="5">
        <v>0.0</v>
      </c>
      <c r="C319" s="5" t="s">
        <v>4495</v>
      </c>
      <c r="D319" s="5" t="str">
        <f>IFERROR(__xludf.DUMMYFUNCTION("""COMPUTED_VALUE"""),"")</f>
        <v/>
      </c>
      <c r="E319" s="5">
        <f>IFERROR(__xludf.DUMMYFUNCTION("""COMPUTED_VALUE"""),0.4407580016075842)</f>
        <v>0.4407580016</v>
      </c>
      <c r="F319" s="5">
        <f>IFERROR(__xludf.DUMMYFUNCTION("""COMPUTED_VALUE"""),1.0)</f>
        <v>1</v>
      </c>
      <c r="G319" s="5">
        <f>IFERROR(__xludf.DUMMYFUNCTION("""COMPUTED_VALUE"""),1.0)</f>
        <v>1</v>
      </c>
      <c r="H319" s="5">
        <f>IFERROR(__xludf.DUMMYFUNCTION("""COMPUTED_VALUE"""),0.944660450892735)</f>
        <v>0.9446604509</v>
      </c>
      <c r="I319" s="5">
        <v>0.5546555454911696</v>
      </c>
    </row>
    <row r="320">
      <c r="A320" s="5" t="s">
        <v>4495</v>
      </c>
      <c r="B320" s="5" t="s">
        <v>4495</v>
      </c>
      <c r="C320" s="5" t="s">
        <v>4495</v>
      </c>
      <c r="D320" s="5" t="str">
        <f>IFERROR(__xludf.DUMMYFUNCTION("""COMPUTED_VALUE"""),"")</f>
        <v/>
      </c>
      <c r="E320" s="5">
        <f>IFERROR(__xludf.DUMMYFUNCTION("""COMPUTED_VALUE"""),0.49480494611079556)</f>
        <v>0.4948049461</v>
      </c>
      <c r="F320" s="5" t="str">
        <f>IFERROR(__xludf.DUMMYFUNCTION("""COMPUTED_VALUE"""),"")</f>
        <v/>
      </c>
      <c r="G320" s="5" t="str">
        <f>IFERROR(__xludf.DUMMYFUNCTION("""COMPUTED_VALUE"""),"")</f>
        <v/>
      </c>
      <c r="H320" s="5">
        <f>IFERROR(__xludf.DUMMYFUNCTION("""COMPUTED_VALUE"""),0.6844407589762704)</f>
        <v>0.684440759</v>
      </c>
      <c r="I320" s="5">
        <v>0.19214531242532595</v>
      </c>
    </row>
    <row r="321">
      <c r="A321" s="5">
        <v>0.0839924670433145</v>
      </c>
      <c r="B321" s="5">
        <v>1.0</v>
      </c>
      <c r="C321" s="5" t="s">
        <v>4495</v>
      </c>
      <c r="D321" s="5" t="str">
        <f>IFERROR(__xludf.DUMMYFUNCTION("""COMPUTED_VALUE"""),"")</f>
        <v/>
      </c>
      <c r="E321" s="5">
        <f>IFERROR(__xludf.DUMMYFUNCTION("""COMPUTED_VALUE"""),0.19773288331254052)</f>
        <v>0.1977328833</v>
      </c>
      <c r="F321" s="5">
        <f>IFERROR(__xludf.DUMMYFUNCTION("""COMPUTED_VALUE"""),1.0)</f>
        <v>1</v>
      </c>
      <c r="G321" s="5">
        <f>IFERROR(__xludf.DUMMYFUNCTION("""COMPUTED_VALUE"""),1.0)</f>
        <v>1</v>
      </c>
      <c r="H321" s="5">
        <f>IFERROR(__xludf.DUMMYFUNCTION("""COMPUTED_VALUE"""),0.9789809194225819)</f>
        <v>0.9789809194</v>
      </c>
      <c r="I321" s="5">
        <v>0.49733131277039333</v>
      </c>
    </row>
    <row r="322">
      <c r="A322" s="5">
        <v>0.21587450245844064</v>
      </c>
      <c r="B322" s="5" t="s">
        <v>4495</v>
      </c>
      <c r="C322" s="5" t="s">
        <v>4495</v>
      </c>
      <c r="D322" s="5" t="str">
        <f>IFERROR(__xludf.DUMMYFUNCTION("""COMPUTED_VALUE"""),"")</f>
        <v/>
      </c>
      <c r="E322" s="5">
        <f>IFERROR(__xludf.DUMMYFUNCTION("""COMPUTED_VALUE"""),0.6393425607818837)</f>
        <v>0.6393425608</v>
      </c>
      <c r="F322" s="5" t="str">
        <f>IFERROR(__xludf.DUMMYFUNCTION("""COMPUTED_VALUE"""),"")</f>
        <v/>
      </c>
      <c r="G322" s="5">
        <f>IFERROR(__xludf.DUMMYFUNCTION("""COMPUTED_VALUE"""),1.0)</f>
        <v>1</v>
      </c>
      <c r="H322" s="5">
        <f>IFERROR(__xludf.DUMMYFUNCTION("""COMPUTED_VALUE"""),0.6990982929283924)</f>
        <v>0.6990982929</v>
      </c>
      <c r="I322" s="5">
        <v>0.37974546948831017</v>
      </c>
    </row>
    <row r="323">
      <c r="A323" s="5">
        <v>0.10171017101710171</v>
      </c>
      <c r="B323" s="5" t="s">
        <v>4495</v>
      </c>
      <c r="C323" s="5" t="s">
        <v>4495</v>
      </c>
      <c r="D323" s="5" t="str">
        <f>IFERROR(__xludf.DUMMYFUNCTION("""COMPUTED_VALUE"""),"")</f>
        <v/>
      </c>
      <c r="E323" s="5">
        <f>IFERROR(__xludf.DUMMYFUNCTION("""COMPUTED_VALUE"""),0.2726143405923116)</f>
        <v>0.2726143406</v>
      </c>
      <c r="F323" s="5" t="str">
        <f>IFERROR(__xludf.DUMMYFUNCTION("""COMPUTED_VALUE"""),"")</f>
        <v/>
      </c>
      <c r="G323" s="5">
        <f>IFERROR(__xludf.DUMMYFUNCTION("""COMPUTED_VALUE"""),1.0)</f>
        <v>1</v>
      </c>
      <c r="H323" s="5">
        <f>IFERROR(__xludf.DUMMYFUNCTION("""COMPUTED_VALUE"""),0.774892526403789)</f>
        <v>0.7748925264</v>
      </c>
      <c r="I323" s="5">
        <v>0.2956428377884568</v>
      </c>
    </row>
    <row r="324">
      <c r="A324" s="5">
        <v>0.2884180790960452</v>
      </c>
      <c r="B324" s="5" t="s">
        <v>4495</v>
      </c>
      <c r="C324" s="5" t="s">
        <v>4495</v>
      </c>
      <c r="D324" s="5" t="str">
        <f>IFERROR(__xludf.DUMMYFUNCTION("""COMPUTED_VALUE"""),"")</f>
        <v/>
      </c>
      <c r="E324" s="5">
        <f>IFERROR(__xludf.DUMMYFUNCTION("""COMPUTED_VALUE"""),0.781503141717807)</f>
        <v>0.7815031417</v>
      </c>
      <c r="F324" s="5" t="str">
        <f>IFERROR(__xludf.DUMMYFUNCTION("""COMPUTED_VALUE"""),"")</f>
        <v/>
      </c>
      <c r="G324" s="5">
        <f>IFERROR(__xludf.DUMMYFUNCTION("""COMPUTED_VALUE"""),1.0)</f>
        <v>1</v>
      </c>
      <c r="H324" s="5">
        <f>IFERROR(__xludf.DUMMYFUNCTION("""COMPUTED_VALUE"""),0.4779923023475191)</f>
        <v>0.4779923023</v>
      </c>
      <c r="I324" s="5">
        <v>0.39317501566420365</v>
      </c>
    </row>
    <row r="325">
      <c r="A325" s="5" t="s">
        <v>4495</v>
      </c>
      <c r="B325" s="5" t="s">
        <v>4495</v>
      </c>
      <c r="C325" s="5" t="s">
        <v>4495</v>
      </c>
      <c r="D325" s="5" t="str">
        <f>IFERROR(__xludf.DUMMYFUNCTION("""COMPUTED_VALUE"""),"")</f>
        <v/>
      </c>
      <c r="E325" s="5">
        <f>IFERROR(__xludf.DUMMYFUNCTION("""COMPUTED_VALUE"""),0.6486927451058364)</f>
        <v>0.6486927451</v>
      </c>
      <c r="F325" s="5" t="str">
        <f>IFERROR(__xludf.DUMMYFUNCTION("""COMPUTED_VALUE"""),"")</f>
        <v/>
      </c>
      <c r="G325" s="5" t="str">
        <f>IFERROR(__xludf.DUMMYFUNCTION("""COMPUTED_VALUE"""),"")</f>
        <v/>
      </c>
      <c r="H325" s="5">
        <f>IFERROR(__xludf.DUMMYFUNCTION("""COMPUTED_VALUE"""),0.5953713476386906)</f>
        <v>0.5953713476</v>
      </c>
      <c r="I325" s="5">
        <v>0.22171032104032817</v>
      </c>
    </row>
    <row r="326">
      <c r="A326" s="5">
        <v>0.07883817427385892</v>
      </c>
      <c r="B326" s="5" t="s">
        <v>4495</v>
      </c>
      <c r="C326" s="5" t="s">
        <v>4495</v>
      </c>
      <c r="D326" s="5" t="str">
        <f>IFERROR(__xludf.DUMMYFUNCTION("""COMPUTED_VALUE"""),"")</f>
        <v/>
      </c>
      <c r="E326" s="5">
        <f>IFERROR(__xludf.DUMMYFUNCTION("""COMPUTED_VALUE"""),0.055572302376616874)</f>
        <v>0.05557230238</v>
      </c>
      <c r="F326" s="5" t="str">
        <f>IFERROR(__xludf.DUMMYFUNCTION("""COMPUTED_VALUE"""),"")</f>
        <v/>
      </c>
      <c r="G326" s="5">
        <f>IFERROR(__xludf.DUMMYFUNCTION("""COMPUTED_VALUE"""),1.0)</f>
        <v>1</v>
      </c>
      <c r="H326" s="5">
        <f>IFERROR(__xludf.DUMMYFUNCTION("""COMPUTED_VALUE"""),0.5342285193497109)</f>
        <v>0.5342285193</v>
      </c>
      <c r="I326" s="5">
        <v>0.21731592752912532</v>
      </c>
    </row>
    <row r="327">
      <c r="A327" s="5">
        <v>0.0668859649122807</v>
      </c>
      <c r="B327" s="5" t="s">
        <v>4495</v>
      </c>
      <c r="C327" s="5" t="s">
        <v>4495</v>
      </c>
      <c r="D327" s="5" t="str">
        <f>IFERROR(__xludf.DUMMYFUNCTION("""COMPUTED_VALUE"""),"")</f>
        <v/>
      </c>
      <c r="E327" s="5">
        <f>IFERROR(__xludf.DUMMYFUNCTION("""COMPUTED_VALUE"""),0.4570684369953818)</f>
        <v>0.457068437</v>
      </c>
      <c r="F327" s="5" t="str">
        <f>IFERROR(__xludf.DUMMYFUNCTION("""COMPUTED_VALUE"""),"")</f>
        <v/>
      </c>
      <c r="G327" s="5">
        <f>IFERROR(__xludf.DUMMYFUNCTION("""COMPUTED_VALUE"""),1.0)</f>
        <v>1</v>
      </c>
      <c r="H327" s="5">
        <f>IFERROR(__xludf.DUMMYFUNCTION("""COMPUTED_VALUE"""),0.8929405885765132)</f>
        <v>0.8929405886</v>
      </c>
      <c r="I327" s="5">
        <v>0.35356116810649674</v>
      </c>
    </row>
    <row r="328">
      <c r="A328" s="5">
        <v>0.12985332182916307</v>
      </c>
      <c r="B328" s="5" t="s">
        <v>4495</v>
      </c>
      <c r="C328" s="5" t="s">
        <v>4495</v>
      </c>
      <c r="D328" s="5" t="str">
        <f>IFERROR(__xludf.DUMMYFUNCTION("""COMPUTED_VALUE"""),"")</f>
        <v/>
      </c>
      <c r="E328" s="5">
        <f>IFERROR(__xludf.DUMMYFUNCTION("""COMPUTED_VALUE"""),0.6622664840841103)</f>
        <v>0.6622664841</v>
      </c>
      <c r="F328" s="5" t="str">
        <f>IFERROR(__xludf.DUMMYFUNCTION("""COMPUTED_VALUE"""),"")</f>
        <v/>
      </c>
      <c r="G328" s="5">
        <f>IFERROR(__xludf.DUMMYFUNCTION("""COMPUTED_VALUE"""),1.0)</f>
        <v>1</v>
      </c>
      <c r="H328" s="5">
        <f>IFERROR(__xludf.DUMMYFUNCTION("""COMPUTED_VALUE"""),0.7607858378948519)</f>
        <v>0.7607858379</v>
      </c>
      <c r="I328" s="5">
        <v>0.39164520481051274</v>
      </c>
    </row>
    <row r="329">
      <c r="A329" s="5">
        <v>0.45941468801766977</v>
      </c>
      <c r="B329" s="5">
        <v>0.0</v>
      </c>
      <c r="C329" s="5" t="s">
        <v>4495</v>
      </c>
      <c r="D329" s="5" t="str">
        <f>IFERROR(__xludf.DUMMYFUNCTION("""COMPUTED_VALUE"""),"")</f>
        <v/>
      </c>
      <c r="E329" s="5">
        <f>IFERROR(__xludf.DUMMYFUNCTION("""COMPUTED_VALUE"""),0.889403590094233)</f>
        <v>0.8894035901</v>
      </c>
      <c r="F329" s="5">
        <f>IFERROR(__xludf.DUMMYFUNCTION("""COMPUTED_VALUE"""),1.0)</f>
        <v>1</v>
      </c>
      <c r="G329" s="5">
        <f>IFERROR(__xludf.DUMMYFUNCTION("""COMPUTED_VALUE"""),1.0)</f>
        <v>1</v>
      </c>
      <c r="H329" s="5">
        <f>IFERROR(__xludf.DUMMYFUNCTION("""COMPUTED_VALUE"""),0.4130723542258289)</f>
        <v>0.4130723542</v>
      </c>
      <c r="I329" s="5">
        <v>0.6136581329461411</v>
      </c>
    </row>
    <row r="330">
      <c r="A330" s="5">
        <v>0.07801556420233463</v>
      </c>
      <c r="B330" s="5" t="s">
        <v>4495</v>
      </c>
      <c r="C330" s="5" t="s">
        <v>4495</v>
      </c>
      <c r="D330" s="5" t="str">
        <f>IFERROR(__xludf.DUMMYFUNCTION("""COMPUTED_VALUE"""),"")</f>
        <v/>
      </c>
      <c r="E330" s="5">
        <f>IFERROR(__xludf.DUMMYFUNCTION("""COMPUTED_VALUE"""),0.4570684369953818)</f>
        <v>0.457068437</v>
      </c>
      <c r="F330" s="5" t="str">
        <f>IFERROR(__xludf.DUMMYFUNCTION("""COMPUTED_VALUE"""),"")</f>
        <v/>
      </c>
      <c r="G330" s="5">
        <f>IFERROR(__xludf.DUMMYFUNCTION("""COMPUTED_VALUE"""),1.0)</f>
        <v>1</v>
      </c>
      <c r="H330" s="5">
        <f>IFERROR(__xludf.DUMMYFUNCTION("""COMPUTED_VALUE"""),0.9356247900134131)</f>
        <v>0.93562479</v>
      </c>
      <c r="I330" s="5">
        <v>0.35782958825018674</v>
      </c>
    </row>
    <row r="331">
      <c r="A331" s="5">
        <v>0.0930817610062893</v>
      </c>
      <c r="B331" s="5">
        <v>0.0</v>
      </c>
      <c r="C331" s="5" t="s">
        <v>4495</v>
      </c>
      <c r="D331" s="5" t="str">
        <f>IFERROR(__xludf.DUMMYFUNCTION("""COMPUTED_VALUE"""),"")</f>
        <v/>
      </c>
      <c r="E331" s="5">
        <f>IFERROR(__xludf.DUMMYFUNCTION("""COMPUTED_VALUE"""),0.4570684369953818)</f>
        <v>0.457068437</v>
      </c>
      <c r="F331" s="5">
        <f>IFERROR(__xludf.DUMMYFUNCTION("""COMPUTED_VALUE"""),1.0)</f>
        <v>1</v>
      </c>
      <c r="G331" s="5">
        <f>IFERROR(__xludf.DUMMYFUNCTION("""COMPUTED_VALUE"""),1.0)</f>
        <v>1</v>
      </c>
      <c r="H331" s="5">
        <f>IFERROR(__xludf.DUMMYFUNCTION("""COMPUTED_VALUE"""),0.5679381885870348)</f>
        <v>0.5679381886</v>
      </c>
      <c r="I331" s="5">
        <v>0.521060928107549</v>
      </c>
    </row>
    <row r="332">
      <c r="A332" s="5">
        <v>0.208955223880597</v>
      </c>
      <c r="B332" s="5">
        <v>0.0</v>
      </c>
      <c r="C332" s="5" t="s">
        <v>4495</v>
      </c>
      <c r="D332" s="5" t="str">
        <f>IFERROR(__xludf.DUMMYFUNCTION("""COMPUTED_VALUE"""),"")</f>
        <v/>
      </c>
      <c r="E332" s="5">
        <f>IFERROR(__xludf.DUMMYFUNCTION("""COMPUTED_VALUE"""),0.43230913174650915)</f>
        <v>0.4323091317</v>
      </c>
      <c r="F332" s="5">
        <f>IFERROR(__xludf.DUMMYFUNCTION("""COMPUTED_VALUE"""),1.0)</f>
        <v>1</v>
      </c>
      <c r="G332" s="5">
        <f>IFERROR(__xludf.DUMMYFUNCTION("""COMPUTED_VALUE"""),1.0)</f>
        <v>1</v>
      </c>
      <c r="H332" s="5">
        <f>IFERROR(__xludf.DUMMYFUNCTION("""COMPUTED_VALUE"""),0.932228432586955)</f>
        <v>0.9322284326</v>
      </c>
      <c r="I332" s="5">
        <v>0.5513001261953228</v>
      </c>
    </row>
    <row r="333">
      <c r="A333" s="5">
        <v>0.10616519876219947</v>
      </c>
      <c r="B333" s="5">
        <v>2.0</v>
      </c>
      <c r="C333" s="5" t="s">
        <v>4495</v>
      </c>
      <c r="D333" s="5" t="str">
        <f>IFERROR(__xludf.DUMMYFUNCTION("""COMPUTED_VALUE"""),"")</f>
        <v/>
      </c>
      <c r="E333" s="5">
        <f>IFERROR(__xludf.DUMMYFUNCTION("""COMPUTED_VALUE"""),0.5416225389667044)</f>
        <v>0.541622539</v>
      </c>
      <c r="F333" s="5">
        <f>IFERROR(__xludf.DUMMYFUNCTION("""COMPUTED_VALUE"""),1.0)</f>
        <v>1</v>
      </c>
      <c r="G333" s="5">
        <f>IFERROR(__xludf.DUMMYFUNCTION("""COMPUTED_VALUE"""),1.0)</f>
        <v>1</v>
      </c>
      <c r="H333" s="5">
        <f>IFERROR(__xludf.DUMMYFUNCTION("""COMPUTED_VALUE"""),1.0)</f>
        <v>1</v>
      </c>
      <c r="I333" s="5">
        <v>0.5854056347416761</v>
      </c>
    </row>
    <row r="334">
      <c r="A334" s="5">
        <v>0.11955275229357798</v>
      </c>
      <c r="B334" s="5" t="s">
        <v>4495</v>
      </c>
      <c r="C334" s="5" t="s">
        <v>4495</v>
      </c>
      <c r="D334" s="5" t="str">
        <f>IFERROR(__xludf.DUMMYFUNCTION("""COMPUTED_VALUE"""),"")</f>
        <v/>
      </c>
      <c r="E334" s="5">
        <f>IFERROR(__xludf.DUMMYFUNCTION("""COMPUTED_VALUE"""),0.47265371983310933)</f>
        <v>0.4726537198</v>
      </c>
      <c r="F334" s="5" t="str">
        <f>IFERROR(__xludf.DUMMYFUNCTION("""COMPUTED_VALUE"""),"")</f>
        <v/>
      </c>
      <c r="G334" s="5">
        <f>IFERROR(__xludf.DUMMYFUNCTION("""COMPUTED_VALUE"""),1.0)</f>
        <v>1</v>
      </c>
      <c r="H334" s="5">
        <f>IFERROR(__xludf.DUMMYFUNCTION("""COMPUTED_VALUE"""),0.9602602357171964)</f>
        <v>0.9602602357</v>
      </c>
      <c r="I334" s="5">
        <v>0.364189453529997</v>
      </c>
    </row>
    <row r="335">
      <c r="A335" s="5">
        <v>0.0973288302118514</v>
      </c>
      <c r="B335" s="5" t="s">
        <v>4495</v>
      </c>
      <c r="C335" s="5" t="s">
        <v>4495</v>
      </c>
      <c r="D335" s="5" t="str">
        <f>IFERROR(__xludf.DUMMYFUNCTION("""COMPUTED_VALUE"""),"")</f>
        <v/>
      </c>
      <c r="E335" s="5">
        <f>IFERROR(__xludf.DUMMYFUNCTION("""COMPUTED_VALUE"""),0.8059033246030324)</f>
        <v>0.8059033246</v>
      </c>
      <c r="F335" s="5" t="str">
        <f>IFERROR(__xludf.DUMMYFUNCTION("""COMPUTED_VALUE"""),"")</f>
        <v/>
      </c>
      <c r="G335" s="5">
        <f>IFERROR(__xludf.DUMMYFUNCTION("""COMPUTED_VALUE"""),1.0)</f>
        <v>1</v>
      </c>
      <c r="H335" s="5">
        <f>IFERROR(__xludf.DUMMYFUNCTION("""COMPUTED_VALUE"""),0.8475272721416379)</f>
        <v>0.8475272721</v>
      </c>
      <c r="I335" s="5">
        <v>0.4362285583649219</v>
      </c>
    </row>
    <row r="336">
      <c r="A336" s="5">
        <v>0.0728398000476077</v>
      </c>
      <c r="B336" s="5" t="s">
        <v>4495</v>
      </c>
      <c r="C336" s="5" t="s">
        <v>4495</v>
      </c>
      <c r="D336" s="5" t="str">
        <f>IFERROR(__xludf.DUMMYFUNCTION("""COMPUTED_VALUE"""),"")</f>
        <v/>
      </c>
      <c r="E336" s="5">
        <f>IFERROR(__xludf.DUMMYFUNCTION("""COMPUTED_VALUE"""),0.5992290179313052)</f>
        <v>0.5992290179</v>
      </c>
      <c r="F336" s="5" t="str">
        <f>IFERROR(__xludf.DUMMYFUNCTION("""COMPUTED_VALUE"""),"")</f>
        <v/>
      </c>
      <c r="G336" s="5">
        <f>IFERROR(__xludf.DUMMYFUNCTION("""COMPUTED_VALUE"""),1.0)</f>
        <v>1</v>
      </c>
      <c r="H336" s="5">
        <f>IFERROR(__xludf.DUMMYFUNCTION("""COMPUTED_VALUE"""),0.8929405885765132)</f>
        <v>0.8929405886</v>
      </c>
      <c r="I336" s="5">
        <v>0.3891013133404776</v>
      </c>
    </row>
    <row r="337">
      <c r="A337" s="5">
        <v>0.05937972768532526</v>
      </c>
      <c r="B337" s="5" t="s">
        <v>4495</v>
      </c>
      <c r="C337" s="5" t="s">
        <v>4495</v>
      </c>
      <c r="D337" s="5" t="str">
        <f>IFERROR(__xludf.DUMMYFUNCTION("""COMPUTED_VALUE"""),"")</f>
        <v/>
      </c>
      <c r="E337" s="5">
        <f>IFERROR(__xludf.DUMMYFUNCTION("""COMPUTED_VALUE"""),0.0)</f>
        <v>0</v>
      </c>
      <c r="F337" s="5" t="str">
        <f>IFERROR(__xludf.DUMMYFUNCTION("""COMPUTED_VALUE"""),"")</f>
        <v/>
      </c>
      <c r="G337" s="5">
        <f>IFERROR(__xludf.DUMMYFUNCTION("""COMPUTED_VALUE"""),1.0)</f>
        <v>1</v>
      </c>
      <c r="H337" s="5">
        <f>IFERROR(__xludf.DUMMYFUNCTION("""COMPUTED_VALUE"""),0.5385927660562285)</f>
        <v>0.5385927661</v>
      </c>
      <c r="I337" s="5">
        <v>0.20385927660562286</v>
      </c>
    </row>
    <row r="338">
      <c r="A338" s="5">
        <v>0.24406497292794668</v>
      </c>
      <c r="B338" s="5">
        <v>0.0</v>
      </c>
      <c r="C338" s="5" t="s">
        <v>4495</v>
      </c>
      <c r="D338" s="5" t="str">
        <f>IFERROR(__xludf.DUMMYFUNCTION("""COMPUTED_VALUE"""),"")</f>
        <v/>
      </c>
      <c r="E338" s="5">
        <f>IFERROR(__xludf.DUMMYFUNCTION("""COMPUTED_VALUE"""),0.7518563800998207)</f>
        <v>0.7518563801</v>
      </c>
      <c r="F338" s="5">
        <f>IFERROR(__xludf.DUMMYFUNCTION("""COMPUTED_VALUE"""),1.0)</f>
        <v>1</v>
      </c>
      <c r="G338" s="5">
        <f>IFERROR(__xludf.DUMMYFUNCTION("""COMPUTED_VALUE"""),1.0)</f>
        <v>1</v>
      </c>
      <c r="H338" s="5">
        <f>IFERROR(__xludf.DUMMYFUNCTION("""COMPUTED_VALUE"""),0.602145960825503)</f>
        <v>0.6021459608</v>
      </c>
      <c r="I338" s="5">
        <v>0.5981786911075055</v>
      </c>
    </row>
    <row r="339">
      <c r="A339" s="5">
        <v>0.15941588074231822</v>
      </c>
      <c r="B339" s="5" t="s">
        <v>4495</v>
      </c>
      <c r="C339" s="5" t="s">
        <v>4495</v>
      </c>
      <c r="D339" s="5" t="str">
        <f>IFERROR(__xludf.DUMMYFUNCTION("""COMPUTED_VALUE"""),"")</f>
        <v/>
      </c>
      <c r="E339" s="5">
        <f>IFERROR(__xludf.DUMMYFUNCTION("""COMPUTED_VALUE"""),0.5539259463633467)</f>
        <v>0.5539259464</v>
      </c>
      <c r="F339" s="5" t="str">
        <f>IFERROR(__xludf.DUMMYFUNCTION("""COMPUTED_VALUE"""),"")</f>
        <v/>
      </c>
      <c r="G339" s="5">
        <f>IFERROR(__xludf.DUMMYFUNCTION("""COMPUTED_VALUE"""),1.0)</f>
        <v>1</v>
      </c>
      <c r="H339" s="5">
        <f>IFERROR(__xludf.DUMMYFUNCTION("""COMPUTED_VALUE"""),0.7623200692396185)</f>
        <v>0.7623200692</v>
      </c>
      <c r="I339" s="5">
        <v>0.36471349351479854</v>
      </c>
    </row>
    <row r="340">
      <c r="A340" s="5">
        <v>0.02912044374009509</v>
      </c>
      <c r="B340" s="5" t="s">
        <v>4495</v>
      </c>
      <c r="C340" s="5" t="s">
        <v>4495</v>
      </c>
      <c r="D340" s="5" t="str">
        <f>IFERROR(__xludf.DUMMYFUNCTION("""COMPUTED_VALUE"""),"")</f>
        <v/>
      </c>
      <c r="E340" s="5">
        <f>IFERROR(__xludf.DUMMYFUNCTION("""COMPUTED_VALUE"""),0.6393425607818837)</f>
        <v>0.6393425608</v>
      </c>
      <c r="F340" s="5" t="str">
        <f>IFERROR(__xludf.DUMMYFUNCTION("""COMPUTED_VALUE"""),"")</f>
        <v/>
      </c>
      <c r="G340" s="5">
        <f>IFERROR(__xludf.DUMMYFUNCTION("""COMPUTED_VALUE"""),1.0)</f>
        <v>1</v>
      </c>
      <c r="H340" s="5">
        <f>IFERROR(__xludf.DUMMYFUNCTION("""COMPUTED_VALUE"""),0.6246802867772283)</f>
        <v>0.6246802868</v>
      </c>
      <c r="I340" s="5">
        <v>0.37230366887319377</v>
      </c>
    </row>
    <row r="341">
      <c r="A341" s="5">
        <v>0.09342915811088295</v>
      </c>
      <c r="B341" s="5">
        <v>1.0</v>
      </c>
      <c r="C341" s="5" t="s">
        <v>4495</v>
      </c>
      <c r="D341" s="5" t="str">
        <f>IFERROR(__xludf.DUMMYFUNCTION("""COMPUTED_VALUE"""),"")</f>
        <v/>
      </c>
      <c r="E341" s="5">
        <f>IFERROR(__xludf.DUMMYFUNCTION("""COMPUTED_VALUE"""),0.46494767044687196)</f>
        <v>0.4649476704</v>
      </c>
      <c r="F341" s="5">
        <f>IFERROR(__xludf.DUMMYFUNCTION("""COMPUTED_VALUE"""),1.0)</f>
        <v>1</v>
      </c>
      <c r="G341" s="5">
        <f>IFERROR(__xludf.DUMMYFUNCTION("""COMPUTED_VALUE"""),1.0)</f>
        <v>1</v>
      </c>
      <c r="H341" s="5">
        <f>IFERROR(__xludf.DUMMYFUNCTION("""COMPUTED_VALUE"""),0.6437086009114665)</f>
        <v>0.6437086009</v>
      </c>
      <c r="I341" s="5">
        <v>0.5306077777028647</v>
      </c>
    </row>
    <row r="342">
      <c r="A342" s="5">
        <v>0.08495145631067962</v>
      </c>
      <c r="B342" s="5">
        <v>1.0</v>
      </c>
      <c r="C342" s="5" t="s">
        <v>4495</v>
      </c>
      <c r="D342" s="5" t="str">
        <f>IFERROR(__xludf.DUMMYFUNCTION("""COMPUTED_VALUE"""),"")</f>
        <v/>
      </c>
      <c r="E342" s="5">
        <f>IFERROR(__xludf.DUMMYFUNCTION("""COMPUTED_VALUE"""),0.19773288331254052)</f>
        <v>0.1977328833</v>
      </c>
      <c r="F342" s="5">
        <f>IFERROR(__xludf.DUMMYFUNCTION("""COMPUTED_VALUE"""),1.0)</f>
        <v>1</v>
      </c>
      <c r="G342" s="5">
        <f>IFERROR(__xludf.DUMMYFUNCTION("""COMPUTED_VALUE"""),1.0)</f>
        <v>1</v>
      </c>
      <c r="H342" s="5">
        <f>IFERROR(__xludf.DUMMYFUNCTION("""COMPUTED_VALUE"""),0.5991484674713998)</f>
        <v>0.5991484675</v>
      </c>
      <c r="I342" s="5">
        <v>0.45934806757527513</v>
      </c>
    </row>
    <row r="343">
      <c r="A343" s="5">
        <v>0.10248663722983965</v>
      </c>
      <c r="B343" s="5" t="s">
        <v>4495</v>
      </c>
      <c r="C343" s="5" t="s">
        <v>4495</v>
      </c>
      <c r="D343" s="5" t="str">
        <f>IFERROR(__xludf.DUMMYFUNCTION("""COMPUTED_VALUE"""),"")</f>
        <v/>
      </c>
      <c r="E343" s="5">
        <f>IFERROR(__xludf.DUMMYFUNCTION("""COMPUTED_VALUE"""),0.0)</f>
        <v>0</v>
      </c>
      <c r="F343" s="5" t="str">
        <f>IFERROR(__xludf.DUMMYFUNCTION("""COMPUTED_VALUE"""),"")</f>
        <v/>
      </c>
      <c r="G343" s="5">
        <f>IFERROR(__xludf.DUMMYFUNCTION("""COMPUTED_VALUE"""),1.0)</f>
        <v>1</v>
      </c>
      <c r="H343" s="5">
        <f>IFERROR(__xludf.DUMMYFUNCTION("""COMPUTED_VALUE"""),0.29191618910194683)</f>
        <v>0.2919161891</v>
      </c>
      <c r="I343" s="5">
        <v>0.1791916189101947</v>
      </c>
    </row>
    <row r="344">
      <c r="A344" s="5">
        <v>0.07874481941977501</v>
      </c>
      <c r="B344" s="5" t="s">
        <v>4495</v>
      </c>
      <c r="C344" s="5" t="s">
        <v>4495</v>
      </c>
      <c r="D344" s="5" t="str">
        <f>IFERROR(__xludf.DUMMYFUNCTION("""COMPUTED_VALUE"""),"")</f>
        <v/>
      </c>
      <c r="E344" s="5">
        <f>IFERROR(__xludf.DUMMYFUNCTION("""COMPUTED_VALUE"""),0.24455047616844922)</f>
        <v>0.2445504762</v>
      </c>
      <c r="F344" s="5" t="str">
        <f>IFERROR(__xludf.DUMMYFUNCTION("""COMPUTED_VALUE"""),"")</f>
        <v/>
      </c>
      <c r="G344" s="5">
        <f>IFERROR(__xludf.DUMMYFUNCTION("""COMPUTED_VALUE"""),1.0)</f>
        <v>1</v>
      </c>
      <c r="H344" s="5">
        <f>IFERROR(__xludf.DUMMYFUNCTION("""COMPUTED_VALUE"""),0.8678764495390385)</f>
        <v>0.8678764495</v>
      </c>
      <c r="I344" s="5">
        <v>0.29792526399601615</v>
      </c>
    </row>
    <row r="345">
      <c r="A345" s="5">
        <v>0.1421628189550425</v>
      </c>
      <c r="B345" s="5">
        <v>0.0</v>
      </c>
      <c r="C345" s="5" t="s">
        <v>4495</v>
      </c>
      <c r="D345" s="5" t="str">
        <f>IFERROR(__xludf.DUMMYFUNCTION("""COMPUTED_VALUE"""),"")</f>
        <v/>
      </c>
      <c r="E345" s="5">
        <f>IFERROR(__xludf.DUMMYFUNCTION("""COMPUTED_VALUE"""),0.3768340340141598)</f>
        <v>0.376834034</v>
      </c>
      <c r="F345" s="5">
        <f>IFERROR(__xludf.DUMMYFUNCTION("""COMPUTED_VALUE"""),1.0)</f>
        <v>1</v>
      </c>
      <c r="G345" s="5">
        <f>IFERROR(__xludf.DUMMYFUNCTION("""COMPUTED_VALUE"""),1.0)</f>
        <v>1</v>
      </c>
      <c r="H345" s="5">
        <f>IFERROR(__xludf.DUMMYFUNCTION("""COMPUTED_VALUE"""),0.6759324688250973)</f>
        <v>0.6759324688</v>
      </c>
      <c r="I345" s="5">
        <v>0.5118017553860497</v>
      </c>
    </row>
    <row r="346">
      <c r="A346" s="5">
        <v>0.09822326516929265</v>
      </c>
      <c r="B346" s="5" t="s">
        <v>4495</v>
      </c>
      <c r="C346" s="5" t="s">
        <v>4495</v>
      </c>
      <c r="D346" s="5" t="str">
        <f>IFERROR(__xludf.DUMMYFUNCTION("""COMPUTED_VALUE"""),"")</f>
        <v/>
      </c>
      <c r="E346" s="5">
        <f>IFERROR(__xludf.DUMMYFUNCTION("""COMPUTED_VALUE"""),0.19773288331254052)</f>
        <v>0.1977328833</v>
      </c>
      <c r="F346" s="5" t="str">
        <f>IFERROR(__xludf.DUMMYFUNCTION("""COMPUTED_VALUE"""),"")</f>
        <v/>
      </c>
      <c r="G346" s="5">
        <f>IFERROR(__xludf.DUMMYFUNCTION("""COMPUTED_VALUE"""),1.0)</f>
        <v>1</v>
      </c>
      <c r="H346" s="5">
        <f>IFERROR(__xludf.DUMMYFUNCTION("""COMPUTED_VALUE"""),0.5759602604370906)</f>
        <v>0.5759602604</v>
      </c>
      <c r="I346" s="5">
        <v>0.2570292468718442</v>
      </c>
    </row>
    <row r="347">
      <c r="A347" s="5">
        <v>0.15241020793950852</v>
      </c>
      <c r="B347" s="5" t="s">
        <v>4495</v>
      </c>
      <c r="C347" s="5" t="s">
        <v>4495</v>
      </c>
      <c r="D347" s="5" t="str">
        <f>IFERROR(__xludf.DUMMYFUNCTION("""COMPUTED_VALUE"""),"")</f>
        <v/>
      </c>
      <c r="E347" s="5">
        <f>IFERROR(__xludf.DUMMYFUNCTION("""COMPUTED_VALUE"""),0.7306007127585364)</f>
        <v>0.7306007128</v>
      </c>
      <c r="F347" s="5" t="str">
        <f>IFERROR(__xludf.DUMMYFUNCTION("""COMPUTED_VALUE"""),"")</f>
        <v/>
      </c>
      <c r="G347" s="5">
        <f>IFERROR(__xludf.DUMMYFUNCTION("""COMPUTED_VALUE"""),1.0)</f>
        <v>1</v>
      </c>
      <c r="H347" s="5">
        <f>IFERROR(__xludf.DUMMYFUNCTION("""COMPUTED_VALUE"""),0.7989645659521445)</f>
        <v>0.798964566</v>
      </c>
      <c r="I347" s="5">
        <v>0.41254663478484854</v>
      </c>
    </row>
    <row r="348">
      <c r="A348" s="5">
        <v>0.35661764705882354</v>
      </c>
      <c r="B348" s="5">
        <v>0.0</v>
      </c>
      <c r="C348" s="5" t="s">
        <v>4495</v>
      </c>
      <c r="D348" s="5" t="str">
        <f>IFERROR(__xludf.DUMMYFUNCTION("""COMPUTED_VALUE"""),"")</f>
        <v/>
      </c>
      <c r="E348" s="5">
        <f>IFERROR(__xludf.DUMMYFUNCTION("""COMPUTED_VALUE"""),0.715678838128153)</f>
        <v>0.7156788381</v>
      </c>
      <c r="F348" s="5">
        <f>IFERROR(__xludf.DUMMYFUNCTION("""COMPUTED_VALUE"""),1.0)</f>
        <v>1</v>
      </c>
      <c r="G348" s="5">
        <f>IFERROR(__xludf.DUMMYFUNCTION("""COMPUTED_VALUE"""),1.0)</f>
        <v>1</v>
      </c>
      <c r="H348" s="5">
        <f>IFERROR(__xludf.DUMMYFUNCTION("""COMPUTED_VALUE"""),0.29191618910194683)</f>
        <v>0.2919161891</v>
      </c>
      <c r="I348" s="5">
        <v>0.558111328442233</v>
      </c>
    </row>
    <row r="349">
      <c r="A349" s="5" t="s">
        <v>4495</v>
      </c>
      <c r="B349" s="5" t="s">
        <v>4495</v>
      </c>
      <c r="C349" s="5" t="s">
        <v>4495</v>
      </c>
      <c r="D349" s="5" t="str">
        <f>IFERROR(__xludf.DUMMYFUNCTION("""COMPUTED_VALUE"""),"")</f>
        <v/>
      </c>
      <c r="E349" s="5">
        <f>IFERROR(__xludf.DUMMYFUNCTION("""COMPUTED_VALUE"""),0.6486927451058364)</f>
        <v>0.6486927451</v>
      </c>
      <c r="F349" s="5" t="str">
        <f>IFERROR(__xludf.DUMMYFUNCTION("""COMPUTED_VALUE"""),"")</f>
        <v/>
      </c>
      <c r="G349" s="5" t="str">
        <f>IFERROR(__xludf.DUMMYFUNCTION("""COMPUTED_VALUE"""),"")</f>
        <v/>
      </c>
      <c r="H349" s="5">
        <f>IFERROR(__xludf.DUMMYFUNCTION("""COMPUTED_VALUE"""),0.4779923023475191)</f>
        <v>0.4779923023</v>
      </c>
      <c r="I349" s="5">
        <v>0.209972416511211</v>
      </c>
    </row>
    <row r="350">
      <c r="A350" s="5" t="s">
        <v>4495</v>
      </c>
      <c r="B350" s="5" t="s">
        <v>4495</v>
      </c>
      <c r="C350" s="5" t="s">
        <v>4495</v>
      </c>
      <c r="D350" s="5" t="str">
        <f>IFERROR(__xludf.DUMMYFUNCTION("""COMPUTED_VALUE"""),"")</f>
        <v/>
      </c>
      <c r="E350" s="5">
        <f>IFERROR(__xludf.DUMMYFUNCTION("""COMPUTED_VALUE"""),0.5018882402125678)</f>
        <v>0.5018882402</v>
      </c>
      <c r="F350" s="5" t="str">
        <f>IFERROR(__xludf.DUMMYFUNCTION("""COMPUTED_VALUE"""),"")</f>
        <v/>
      </c>
      <c r="G350" s="5" t="str">
        <f>IFERROR(__xludf.DUMMYFUNCTION("""COMPUTED_VALUE"""),"")</f>
        <v/>
      </c>
      <c r="H350" s="5">
        <f>IFERROR(__xludf.DUMMYFUNCTION("""COMPUTED_VALUE"""),0.8093637619216483)</f>
        <v>0.8093637619</v>
      </c>
      <c r="I350" s="5">
        <v>0.2064084362453068</v>
      </c>
    </row>
    <row r="351">
      <c r="A351" s="5">
        <v>0.11223868479805155</v>
      </c>
      <c r="B351" s="5" t="s">
        <v>4495</v>
      </c>
      <c r="C351" s="5" t="s">
        <v>4495</v>
      </c>
      <c r="D351" s="5" t="str">
        <f>IFERROR(__xludf.DUMMYFUNCTION("""COMPUTED_VALUE"""),"")</f>
        <v/>
      </c>
      <c r="E351" s="5">
        <f>IFERROR(__xludf.DUMMYFUNCTION("""COMPUTED_VALUE"""),0.7269293584483356)</f>
        <v>0.7269293584</v>
      </c>
      <c r="F351" s="5" t="str">
        <f>IFERROR(__xludf.DUMMYFUNCTION("""COMPUTED_VALUE"""),"")</f>
        <v/>
      </c>
      <c r="G351" s="5">
        <f>IFERROR(__xludf.DUMMYFUNCTION("""COMPUTED_VALUE"""),1.0)</f>
        <v>1</v>
      </c>
      <c r="H351" s="5">
        <f>IFERROR(__xludf.DUMMYFUNCTION("""COMPUTED_VALUE"""),0.8638845140738347)</f>
        <v>0.8638845141</v>
      </c>
      <c r="I351" s="5">
        <v>0.4181207910194674</v>
      </c>
    </row>
    <row r="352">
      <c r="A352" s="5" t="s">
        <v>4495</v>
      </c>
      <c r="B352" s="5" t="s">
        <v>4495</v>
      </c>
      <c r="C352" s="5" t="s">
        <v>4495</v>
      </c>
      <c r="D352" s="5" t="str">
        <f>IFERROR(__xludf.DUMMYFUNCTION("""COMPUTED_VALUE"""),"")</f>
        <v/>
      </c>
      <c r="E352" s="5">
        <f>IFERROR(__xludf.DUMMYFUNCTION("""COMPUTED_VALUE"""),0.40566762681079266)</f>
        <v>0.4056676268</v>
      </c>
      <c r="F352" s="5" t="str">
        <f>IFERROR(__xludf.DUMMYFUNCTION("""COMPUTED_VALUE"""),"")</f>
        <v/>
      </c>
      <c r="G352" s="5" t="str">
        <f>IFERROR(__xludf.DUMMYFUNCTION("""COMPUTED_VALUE"""),"")</f>
        <v/>
      </c>
      <c r="H352" s="5">
        <f>IFERROR(__xludf.DUMMYFUNCTION("""COMPUTED_VALUE"""),0.3146863851457374)</f>
        <v>0.3146863851</v>
      </c>
      <c r="I352" s="5">
        <v>0.13288554521727192</v>
      </c>
    </row>
    <row r="353">
      <c r="A353" s="5">
        <v>0.16362492133417245</v>
      </c>
      <c r="B353" s="5">
        <v>0.0</v>
      </c>
      <c r="C353" s="5" t="s">
        <v>4495</v>
      </c>
      <c r="D353" s="5" t="str">
        <f>IFERROR(__xludf.DUMMYFUNCTION("""COMPUTED_VALUE"""),"")</f>
        <v/>
      </c>
      <c r="E353" s="5">
        <f>IFERROR(__xludf.DUMMYFUNCTION("""COMPUTED_VALUE"""),0.748402055281524)</f>
        <v>0.7484020553</v>
      </c>
      <c r="F353" s="5">
        <f>IFERROR(__xludf.DUMMYFUNCTION("""COMPUTED_VALUE"""),1.0)</f>
        <v>1</v>
      </c>
      <c r="G353" s="5">
        <f>IFERROR(__xludf.DUMMYFUNCTION("""COMPUTED_VALUE"""),1.0)</f>
        <v>1</v>
      </c>
      <c r="H353" s="5">
        <f>IFERROR(__xludf.DUMMYFUNCTION("""COMPUTED_VALUE"""),0.7895002117391313)</f>
        <v>0.7895002117</v>
      </c>
      <c r="I353" s="5">
        <v>0.6160505349942942</v>
      </c>
    </row>
    <row r="354">
      <c r="A354" s="5">
        <v>0.08796296296296297</v>
      </c>
      <c r="B354" s="5" t="s">
        <v>4495</v>
      </c>
      <c r="C354" s="5" t="s">
        <v>4495</v>
      </c>
      <c r="D354" s="5" t="str">
        <f>IFERROR(__xludf.DUMMYFUNCTION("""COMPUTED_VALUE"""),"")</f>
        <v/>
      </c>
      <c r="E354" s="5">
        <f>IFERROR(__xludf.DUMMYFUNCTION("""COMPUTED_VALUE"""),0.5773086847360339)</f>
        <v>0.5773086847</v>
      </c>
      <c r="F354" s="5" t="str">
        <f>IFERROR(__xludf.DUMMYFUNCTION("""COMPUTED_VALUE"""),"")</f>
        <v/>
      </c>
      <c r="G354" s="5">
        <f>IFERROR(__xludf.DUMMYFUNCTION("""COMPUTED_VALUE"""),1.0)</f>
        <v>1</v>
      </c>
      <c r="H354" s="5">
        <f>IFERROR(__xludf.DUMMYFUNCTION("""COMPUTED_VALUE"""),0.772407881802424)</f>
        <v>0.7724078818</v>
      </c>
      <c r="I354" s="5">
        <v>0.3715679593642509</v>
      </c>
    </row>
    <row r="355">
      <c r="A355" s="5">
        <v>0.039862837548221175</v>
      </c>
      <c r="B355" s="5" t="s">
        <v>4495</v>
      </c>
      <c r="C355" s="5" t="s">
        <v>4495</v>
      </c>
      <c r="D355" s="5" t="str">
        <f>IFERROR(__xludf.DUMMYFUNCTION("""COMPUTED_VALUE"""),"")</f>
        <v/>
      </c>
      <c r="E355" s="5">
        <f>IFERROR(__xludf.DUMMYFUNCTION("""COMPUTED_VALUE"""),0.3867110571043727)</f>
        <v>0.3867110571</v>
      </c>
      <c r="F355" s="5" t="str">
        <f>IFERROR(__xludf.DUMMYFUNCTION("""COMPUTED_VALUE"""),"")</f>
        <v/>
      </c>
      <c r="G355" s="5">
        <f>IFERROR(__xludf.DUMMYFUNCTION("""COMPUTED_VALUE"""),1.0)</f>
        <v>1</v>
      </c>
      <c r="H355" s="5">
        <f>IFERROR(__xludf.DUMMYFUNCTION("""COMPUTED_VALUE"""),0.8208472041576871)</f>
        <v>0.8208472042</v>
      </c>
      <c r="I355" s="5">
        <v>0.32876248469186187</v>
      </c>
    </row>
    <row r="356">
      <c r="A356" s="5">
        <v>0.07508379888268156</v>
      </c>
      <c r="B356" s="5" t="s">
        <v>4495</v>
      </c>
      <c r="C356" s="5" t="s">
        <v>4495</v>
      </c>
      <c r="D356" s="5" t="str">
        <f>IFERROR(__xludf.DUMMYFUNCTION("""COMPUTED_VALUE"""),"")</f>
        <v/>
      </c>
      <c r="E356" s="5">
        <f>IFERROR(__xludf.DUMMYFUNCTION("""COMPUTED_VALUE"""),0.5416225389667044)</f>
        <v>0.541622539</v>
      </c>
      <c r="F356" s="5" t="str">
        <f>IFERROR(__xludf.DUMMYFUNCTION("""COMPUTED_VALUE"""),"")</f>
        <v/>
      </c>
      <c r="G356" s="5">
        <f>IFERROR(__xludf.DUMMYFUNCTION("""COMPUTED_VALUE"""),1.0)</f>
        <v>1</v>
      </c>
      <c r="H356" s="5">
        <f>IFERROR(__xludf.DUMMYFUNCTION("""COMPUTED_VALUE"""),0.6447221899407316)</f>
        <v>0.6447221899</v>
      </c>
      <c r="I356" s="5">
        <v>0.3498778537357493</v>
      </c>
    </row>
    <row r="357">
      <c r="A357" s="5">
        <v>0.06950046540490226</v>
      </c>
      <c r="B357" s="5">
        <v>0.0</v>
      </c>
      <c r="C357" s="5" t="s">
        <v>4495</v>
      </c>
      <c r="D357" s="5" t="str">
        <f>IFERROR(__xludf.DUMMYFUNCTION("""COMPUTED_VALUE"""),"")</f>
        <v/>
      </c>
      <c r="E357" s="5">
        <f>IFERROR(__xludf.DUMMYFUNCTION("""COMPUTED_VALUE"""),0.35620389963626176)</f>
        <v>0.3562038996</v>
      </c>
      <c r="F357" s="5">
        <f>IFERROR(__xludf.DUMMYFUNCTION("""COMPUTED_VALUE"""),1.0)</f>
        <v>1</v>
      </c>
      <c r="G357" s="5">
        <f>IFERROR(__xludf.DUMMYFUNCTION("""COMPUTED_VALUE"""),1.0)</f>
        <v>1</v>
      </c>
      <c r="H357" s="5">
        <f>IFERROR(__xludf.DUMMYFUNCTION("""COMPUTED_VALUE"""),0.9789809194225819)</f>
        <v>0.9789809194</v>
      </c>
      <c r="I357" s="5">
        <v>0.5369490668513236</v>
      </c>
    </row>
    <row r="358">
      <c r="A358" s="5">
        <v>0.10883036405886909</v>
      </c>
      <c r="B358" s="5">
        <v>0.0</v>
      </c>
      <c r="C358" s="5" t="s">
        <v>4495</v>
      </c>
      <c r="D358" s="5" t="str">
        <f>IFERROR(__xludf.DUMMYFUNCTION("""COMPUTED_VALUE"""),"")</f>
        <v/>
      </c>
      <c r="E358" s="5">
        <f>IFERROR(__xludf.DUMMYFUNCTION("""COMPUTED_VALUE"""),0.36667068086885374)</f>
        <v>0.3666706809</v>
      </c>
      <c r="F358" s="5">
        <f>IFERROR(__xludf.DUMMYFUNCTION("""COMPUTED_VALUE"""),1.0)</f>
        <v>1</v>
      </c>
      <c r="G358" s="5">
        <f>IFERROR(__xludf.DUMMYFUNCTION("""COMPUTED_VALUE"""),1.0)</f>
        <v>1</v>
      </c>
      <c r="H358" s="5">
        <f>IFERROR(__xludf.DUMMYFUNCTION("""COMPUTED_VALUE"""),0.3072322783694543)</f>
        <v>0.3072322784</v>
      </c>
      <c r="I358" s="5">
        <v>0.47239089805415885</v>
      </c>
    </row>
    <row r="359">
      <c r="A359" s="5">
        <v>0.17588591184096802</v>
      </c>
      <c r="B359" s="5" t="s">
        <v>4495</v>
      </c>
      <c r="C359" s="5" t="s">
        <v>4495</v>
      </c>
      <c r="D359" s="5" t="str">
        <f>IFERROR(__xludf.DUMMYFUNCTION("""COMPUTED_VALUE"""),"")</f>
        <v/>
      </c>
      <c r="E359" s="5">
        <f>IFERROR(__xludf.DUMMYFUNCTION("""COMPUTED_VALUE"""),0.3963174424868398)</f>
        <v>0.3963174425</v>
      </c>
      <c r="F359" s="5" t="str">
        <f>IFERROR(__xludf.DUMMYFUNCTION("""COMPUTED_VALUE"""),"")</f>
        <v/>
      </c>
      <c r="G359" s="5">
        <f>IFERROR(__xludf.DUMMYFUNCTION("""COMPUTED_VALUE"""),1.0)</f>
        <v>1</v>
      </c>
      <c r="H359" s="5">
        <f>IFERROR(__xludf.DUMMYFUNCTION("""COMPUTED_VALUE"""),1.0)</f>
        <v>1</v>
      </c>
      <c r="I359" s="5">
        <v>0.34907936062170997</v>
      </c>
    </row>
    <row r="360">
      <c r="A360" s="5">
        <v>0.20835686053077357</v>
      </c>
      <c r="B360" s="5">
        <v>0.0</v>
      </c>
      <c r="C360" s="5" t="s">
        <v>4495</v>
      </c>
      <c r="D360" s="5" t="str">
        <f>IFERROR(__xludf.DUMMYFUNCTION("""COMPUTED_VALUE"""),"")</f>
        <v/>
      </c>
      <c r="E360" s="5">
        <f>IFERROR(__xludf.DUMMYFUNCTION("""COMPUTED_VALUE"""),0.49480494611079556)</f>
        <v>0.4948049461</v>
      </c>
      <c r="F360" s="5">
        <f>IFERROR(__xludf.DUMMYFUNCTION("""COMPUTED_VALUE"""),1.0)</f>
        <v>1</v>
      </c>
      <c r="G360" s="5">
        <f>IFERROR(__xludf.DUMMYFUNCTION("""COMPUTED_VALUE"""),1.0)</f>
        <v>1</v>
      </c>
      <c r="H360" s="5">
        <f>IFERROR(__xludf.DUMMYFUNCTION("""COMPUTED_VALUE"""),0.6778084008282622)</f>
        <v>0.6778084008</v>
      </c>
      <c r="I360" s="5">
        <v>0.5414820766105252</v>
      </c>
    </row>
    <row r="361">
      <c r="A361" s="5">
        <v>0.11806981519507187</v>
      </c>
      <c r="B361" s="5">
        <v>0.0</v>
      </c>
      <c r="C361" s="5" t="s">
        <v>4495</v>
      </c>
      <c r="D361" s="5" t="str">
        <f>IFERROR(__xludf.DUMMYFUNCTION("""COMPUTED_VALUE"""),"")</f>
        <v/>
      </c>
      <c r="E361" s="5">
        <f>IFERROR(__xludf.DUMMYFUNCTION("""COMPUTED_VALUE"""),0.5716075650904038)</f>
        <v>0.5716075651</v>
      </c>
      <c r="F361" s="5">
        <f>IFERROR(__xludf.DUMMYFUNCTION("""COMPUTED_VALUE"""),1.0)</f>
        <v>1</v>
      </c>
      <c r="G361" s="5">
        <f>IFERROR(__xludf.DUMMYFUNCTION("""COMPUTED_VALUE"""),1.0)</f>
        <v>1</v>
      </c>
      <c r="H361" s="5">
        <f>IFERROR(__xludf.DUMMYFUNCTION("""COMPUTED_VALUE"""),0.6586621020908234)</f>
        <v>0.6586621021</v>
      </c>
      <c r="I361" s="5">
        <v>0.5587681014816833</v>
      </c>
    </row>
    <row r="362">
      <c r="A362" s="5">
        <v>0.09781826900023975</v>
      </c>
      <c r="B362" s="5" t="s">
        <v>4495</v>
      </c>
      <c r="C362" s="5" t="s">
        <v>4495</v>
      </c>
      <c r="D362" s="5" t="str">
        <f>IFERROR(__xludf.DUMMYFUNCTION("""COMPUTED_VALUE"""),"")</f>
        <v/>
      </c>
      <c r="E362" s="5">
        <f>IFERROR(__xludf.DUMMYFUNCTION("""COMPUTED_VALUE"""),0.3227870895109485)</f>
        <v>0.3227870895</v>
      </c>
      <c r="F362" s="5" t="str">
        <f>IFERROR(__xludf.DUMMYFUNCTION("""COMPUTED_VALUE"""),"")</f>
        <v/>
      </c>
      <c r="G362" s="5">
        <f>IFERROR(__xludf.DUMMYFUNCTION("""COMPUTED_VALUE"""),1.0)</f>
        <v>1</v>
      </c>
      <c r="H362" s="5">
        <f>IFERROR(__xludf.DUMMYFUNCTION("""COMPUTED_VALUE"""),0.29191618910194683)</f>
        <v>0.2919161891</v>
      </c>
      <c r="I362" s="5">
        <v>0.2598883912879318</v>
      </c>
    </row>
    <row r="363">
      <c r="A363" s="5">
        <v>0.1070460704607046</v>
      </c>
      <c r="B363" s="5" t="s">
        <v>4495</v>
      </c>
      <c r="C363" s="5" t="s">
        <v>4495</v>
      </c>
      <c r="D363" s="5" t="str">
        <f>IFERROR(__xludf.DUMMYFUNCTION("""COMPUTED_VALUE"""),"")</f>
        <v/>
      </c>
      <c r="E363" s="5">
        <f>IFERROR(__xludf.DUMMYFUNCTION("""COMPUTED_VALUE"""),0.5416225389667044)</f>
        <v>0.541622539</v>
      </c>
      <c r="F363" s="5" t="str">
        <f>IFERROR(__xludf.DUMMYFUNCTION("""COMPUTED_VALUE"""),"")</f>
        <v/>
      </c>
      <c r="G363" s="5">
        <f>IFERROR(__xludf.DUMMYFUNCTION("""COMPUTED_VALUE"""),1.0)</f>
        <v>1</v>
      </c>
      <c r="H363" s="5">
        <f>IFERROR(__xludf.DUMMYFUNCTION("""COMPUTED_VALUE"""),0.4302643754965017)</f>
        <v>0.4302643755</v>
      </c>
      <c r="I363" s="5">
        <v>0.3284320722913263</v>
      </c>
    </row>
    <row r="364">
      <c r="A364" s="5">
        <v>0.22448979591836735</v>
      </c>
      <c r="B364" s="5">
        <v>0.0</v>
      </c>
      <c r="C364" s="5" t="s">
        <v>4495</v>
      </c>
      <c r="D364" s="5" t="str">
        <f>IFERROR(__xludf.DUMMYFUNCTION("""COMPUTED_VALUE"""),"")</f>
        <v/>
      </c>
      <c r="E364" s="5">
        <f>IFERROR(__xludf.DUMMYFUNCTION("""COMPUTED_VALUE"""),0.5992290179313052)</f>
        <v>0.5992290179</v>
      </c>
      <c r="F364" s="5">
        <f>IFERROR(__xludf.DUMMYFUNCTION("""COMPUTED_VALUE"""),1.0)</f>
        <v>1</v>
      </c>
      <c r="G364" s="5">
        <f>IFERROR(__xludf.DUMMYFUNCTION("""COMPUTED_VALUE"""),1.0)</f>
        <v>1</v>
      </c>
      <c r="H364" s="5">
        <f>IFERROR(__xludf.DUMMYFUNCTION("""COMPUTED_VALUE"""),0.5838323782038936)</f>
        <v>0.5838323782</v>
      </c>
      <c r="I364" s="5">
        <v>0.5581904923032157</v>
      </c>
    </row>
    <row r="365">
      <c r="A365" s="5" t="s">
        <v>4495</v>
      </c>
      <c r="B365" s="5" t="s">
        <v>4495</v>
      </c>
      <c r="C365" s="5" t="s">
        <v>4495</v>
      </c>
      <c r="D365" s="5" t="str">
        <f>IFERROR(__xludf.DUMMYFUNCTION("""COMPUTED_VALUE"""),"")</f>
        <v/>
      </c>
      <c r="E365" s="5">
        <f>IFERROR(__xludf.DUMMYFUNCTION("""COMPUTED_VALUE"""),0.46494767044687196)</f>
        <v>0.4649476704</v>
      </c>
      <c r="F365" s="5" t="str">
        <f>IFERROR(__xludf.DUMMYFUNCTION("""COMPUTED_VALUE"""),"")</f>
        <v/>
      </c>
      <c r="G365" s="5" t="str">
        <f>IFERROR(__xludf.DUMMYFUNCTION("""COMPUTED_VALUE"""),"")</f>
        <v/>
      </c>
      <c r="H365" s="5">
        <f>IFERROR(__xludf.DUMMYFUNCTION("""COMPUTED_VALUE"""),0.2713684047504423)</f>
        <v>0.2713684048</v>
      </c>
      <c r="I365" s="5">
        <v>0.14337375808676223</v>
      </c>
    </row>
    <row r="366">
      <c r="A366" s="5">
        <v>0.05640744797371303</v>
      </c>
      <c r="B366" s="5" t="s">
        <v>4495</v>
      </c>
      <c r="C366" s="5" t="s">
        <v>4495</v>
      </c>
      <c r="D366" s="5" t="str">
        <f>IFERROR(__xludf.DUMMYFUNCTION("""COMPUTED_VALUE"""),"")</f>
        <v/>
      </c>
      <c r="E366" s="5">
        <f>IFERROR(__xludf.DUMMYFUNCTION("""COMPUTED_VALUE"""),0.3867110571043727)</f>
        <v>0.3867110571</v>
      </c>
      <c r="F366" s="5" t="str">
        <f>IFERROR(__xludf.DUMMYFUNCTION("""COMPUTED_VALUE"""),"")</f>
        <v/>
      </c>
      <c r="G366" s="5">
        <f>IFERROR(__xludf.DUMMYFUNCTION("""COMPUTED_VALUE"""),1.0)</f>
        <v>1</v>
      </c>
      <c r="H366" s="5">
        <f>IFERROR(__xludf.DUMMYFUNCTION("""COMPUTED_VALUE"""),0.7413892507203973)</f>
        <v>0.7413892507</v>
      </c>
      <c r="I366" s="5">
        <v>0.3208166893481329</v>
      </c>
    </row>
    <row r="367">
      <c r="A367" s="5">
        <v>0.06688963210702341</v>
      </c>
      <c r="B367" s="5" t="s">
        <v>4495</v>
      </c>
      <c r="C367" s="5" t="s">
        <v>4495</v>
      </c>
      <c r="D367" s="5" t="str">
        <f>IFERROR(__xludf.DUMMYFUNCTION("""COMPUTED_VALUE"""),"")</f>
        <v/>
      </c>
      <c r="E367" s="5">
        <f>IFERROR(__xludf.DUMMYFUNCTION("""COMPUTED_VALUE"""),0.6393425607818837)</f>
        <v>0.6393425608</v>
      </c>
      <c r="F367" s="5" t="str">
        <f>IFERROR(__xludf.DUMMYFUNCTION("""COMPUTED_VALUE"""),"")</f>
        <v/>
      </c>
      <c r="G367" s="5">
        <f>IFERROR(__xludf.DUMMYFUNCTION("""COMPUTED_VALUE"""),1.0)</f>
        <v>1</v>
      </c>
      <c r="H367" s="5">
        <f>IFERROR(__xludf.DUMMYFUNCTION("""COMPUTED_VALUE"""),0.9835338939110506)</f>
        <v>0.9835338939</v>
      </c>
      <c r="I367" s="5">
        <v>0.408189029586576</v>
      </c>
    </row>
    <row r="368">
      <c r="A368" s="5" t="s">
        <v>4495</v>
      </c>
      <c r="B368" s="5" t="s">
        <v>4495</v>
      </c>
      <c r="C368" s="5" t="s">
        <v>4495</v>
      </c>
      <c r="D368" s="5" t="str">
        <f>IFERROR(__xludf.DUMMYFUNCTION("""COMPUTED_VALUE"""),"")</f>
        <v/>
      </c>
      <c r="E368" s="5">
        <f>IFERROR(__xludf.DUMMYFUNCTION("""COMPUTED_VALUE"""),0.22962860153806564)</f>
        <v>0.2296286015</v>
      </c>
      <c r="F368" s="5" t="str">
        <f>IFERROR(__xludf.DUMMYFUNCTION("""COMPUTED_VALUE"""),"")</f>
        <v/>
      </c>
      <c r="G368" s="5" t="str">
        <f>IFERROR(__xludf.DUMMYFUNCTION("""COMPUTED_VALUE"""),"")</f>
        <v/>
      </c>
      <c r="H368" s="5">
        <f>IFERROR(__xludf.DUMMYFUNCTION("""COMPUTED_VALUE"""),0.8698583169064583)</f>
        <v>0.8698583169</v>
      </c>
      <c r="I368" s="5">
        <v>0.14439298207516224</v>
      </c>
    </row>
    <row r="369">
      <c r="A369" s="5">
        <v>0.1002827931259517</v>
      </c>
      <c r="B369" s="5" t="s">
        <v>4495</v>
      </c>
      <c r="C369" s="5" t="s">
        <v>4495</v>
      </c>
      <c r="D369" s="5" t="str">
        <f>IFERROR(__xludf.DUMMYFUNCTION("""COMPUTED_VALUE"""),"")</f>
        <v/>
      </c>
      <c r="E369" s="5">
        <f>IFERROR(__xludf.DUMMYFUNCTION("""COMPUTED_VALUE"""),0.5156394588873553)</f>
        <v>0.5156394589</v>
      </c>
      <c r="F369" s="5" t="str">
        <f>IFERROR(__xludf.DUMMYFUNCTION("""COMPUTED_VALUE"""),"")</f>
        <v/>
      </c>
      <c r="G369" s="5">
        <f>IFERROR(__xludf.DUMMYFUNCTION("""COMPUTED_VALUE"""),1.0)</f>
        <v>1</v>
      </c>
      <c r="H369" s="5">
        <f>IFERROR(__xludf.DUMMYFUNCTION("""COMPUTED_VALUE"""),0.6931244900957695)</f>
        <v>0.6931244901</v>
      </c>
      <c r="I369" s="5">
        <v>0.34822231373141577</v>
      </c>
    </row>
    <row r="370">
      <c r="A370" s="5">
        <v>0.11082867310625318</v>
      </c>
      <c r="B370" s="5" t="s">
        <v>4495</v>
      </c>
      <c r="C370" s="5" t="s">
        <v>4495</v>
      </c>
      <c r="D370" s="5" t="str">
        <f>IFERROR(__xludf.DUMMYFUNCTION("""COMPUTED_VALUE"""),"")</f>
        <v/>
      </c>
      <c r="E370" s="5">
        <f>IFERROR(__xludf.DUMMYFUNCTION("""COMPUTED_VALUE"""),0.10238989523252559)</f>
        <v>0.1023898952</v>
      </c>
      <c r="F370" s="5" t="str">
        <f>IFERROR(__xludf.DUMMYFUNCTION("""COMPUTED_VALUE"""),"")</f>
        <v/>
      </c>
      <c r="G370" s="5">
        <f>IFERROR(__xludf.DUMMYFUNCTION("""COMPUTED_VALUE"""),1.0)</f>
        <v>1</v>
      </c>
      <c r="H370" s="5">
        <f>IFERROR(__xludf.DUMMYFUNCTION("""COMPUTED_VALUE"""),0.7467202844151569)</f>
        <v>0.7467202844</v>
      </c>
      <c r="I370" s="5">
        <v>0.2502695022496471</v>
      </c>
    </row>
    <row r="371">
      <c r="A371" s="5">
        <v>0.38145695364238413</v>
      </c>
      <c r="B371" s="5">
        <v>0.0</v>
      </c>
      <c r="C371" s="5" t="s">
        <v>4495</v>
      </c>
      <c r="D371" s="5" t="str">
        <f>IFERROR(__xludf.DUMMYFUNCTION("""COMPUTED_VALUE"""),"")</f>
        <v/>
      </c>
      <c r="E371" s="5">
        <f>IFERROR(__xludf.DUMMYFUNCTION("""COMPUTED_VALUE"""),0.33428356644099017)</f>
        <v>0.3342835664</v>
      </c>
      <c r="F371" s="5">
        <f>IFERROR(__xludf.DUMMYFUNCTION("""COMPUTED_VALUE"""),1.0)</f>
        <v>1</v>
      </c>
      <c r="G371" s="5">
        <f>IFERROR(__xludf.DUMMYFUNCTION("""COMPUTED_VALUE"""),1.0)</f>
        <v>1</v>
      </c>
      <c r="H371" s="5">
        <f>IFERROR(__xludf.DUMMYFUNCTION("""COMPUTED_VALUE"""),0.9305199270455304)</f>
        <v>0.930519927</v>
      </c>
      <c r="I371" s="5">
        <v>0.5266228843148006</v>
      </c>
    </row>
    <row r="372">
      <c r="A372" s="5" t="s">
        <v>4495</v>
      </c>
      <c r="B372" s="5" t="s">
        <v>4495</v>
      </c>
      <c r="C372" s="5" t="s">
        <v>4495</v>
      </c>
      <c r="D372" s="5" t="str">
        <f>IFERROR(__xludf.DUMMYFUNCTION("""COMPUTED_VALUE"""),"")</f>
        <v/>
      </c>
      <c r="E372" s="5">
        <f>IFERROR(__xludf.DUMMYFUNCTION("""COMPUTED_VALUE"""),0.18062650857502485)</f>
        <v>0.1806265086</v>
      </c>
      <c r="F372" s="5" t="str">
        <f>IFERROR(__xludf.DUMMYFUNCTION("""COMPUTED_VALUE"""),"")</f>
        <v/>
      </c>
      <c r="G372" s="5" t="str">
        <f>IFERROR(__xludf.DUMMYFUNCTION("""COMPUTED_VALUE"""),"")</f>
        <v/>
      </c>
      <c r="H372" s="5">
        <f>IFERROR(__xludf.DUMMYFUNCTION("""COMPUTED_VALUE"""),1.0)</f>
        <v>1</v>
      </c>
      <c r="I372" s="5">
        <v>0.1451566271437562</v>
      </c>
    </row>
    <row r="373">
      <c r="A373" s="5">
        <v>0.2733990147783251</v>
      </c>
      <c r="B373" s="5" t="s">
        <v>4495</v>
      </c>
      <c r="C373" s="5" t="s">
        <v>4495</v>
      </c>
      <c r="D373" s="5" t="str">
        <f>IFERROR(__xludf.DUMMYFUNCTION("""COMPUTED_VALUE"""),"")</f>
        <v/>
      </c>
      <c r="E373" s="5">
        <f>IFERROR(__xludf.DUMMYFUNCTION("""COMPUTED_VALUE"""),0.8501333696778393)</f>
        <v>0.8501333697</v>
      </c>
      <c r="F373" s="5" t="str">
        <f>IFERROR(__xludf.DUMMYFUNCTION("""COMPUTED_VALUE"""),"")</f>
        <v/>
      </c>
      <c r="G373" s="5">
        <f>IFERROR(__xludf.DUMMYFUNCTION("""COMPUTED_VALUE"""),1.0)</f>
        <v>1</v>
      </c>
      <c r="H373" s="5">
        <f>IFERROR(__xludf.DUMMYFUNCTION("""COMPUTED_VALUE"""),0.44025249672534217)</f>
        <v>0.4402524967</v>
      </c>
      <c r="I373" s="5">
        <v>0.406558592091994</v>
      </c>
    </row>
    <row r="374">
      <c r="A374" s="5">
        <v>0.15339578454332553</v>
      </c>
      <c r="B374" s="5">
        <v>1.0</v>
      </c>
      <c r="C374" s="5" t="s">
        <v>4495</v>
      </c>
      <c r="D374" s="5" t="str">
        <f>IFERROR(__xludf.DUMMYFUNCTION("""COMPUTED_VALUE"""),"")</f>
        <v/>
      </c>
      <c r="E374" s="5">
        <f>IFERROR(__xludf.DUMMYFUNCTION("""COMPUTED_VALUE"""),0.18062650857502485)</f>
        <v>0.1806265086</v>
      </c>
      <c r="F374" s="5">
        <f>IFERROR(__xludf.DUMMYFUNCTION("""COMPUTED_VALUE"""),1.0)</f>
        <v>1</v>
      </c>
      <c r="G374" s="5">
        <f>IFERROR(__xludf.DUMMYFUNCTION("""COMPUTED_VALUE"""),1.0)</f>
        <v>1</v>
      </c>
      <c r="H374" s="5">
        <f>IFERROR(__xludf.DUMMYFUNCTION("""COMPUTED_VALUE"""),0.6870647303206351)</f>
        <v>0.6870647303</v>
      </c>
      <c r="I374" s="5">
        <v>0.4638631001758197</v>
      </c>
    </row>
    <row r="375">
      <c r="A375" s="5">
        <v>0.3866242038216561</v>
      </c>
      <c r="B375" s="5">
        <v>0.0</v>
      </c>
      <c r="C375" s="5" t="s">
        <v>4495</v>
      </c>
      <c r="D375" s="5" t="str">
        <f>IFERROR(__xludf.DUMMYFUNCTION("""COMPUTED_VALUE"""),"")</f>
        <v/>
      </c>
      <c r="E375" s="5">
        <f>IFERROR(__xludf.DUMMYFUNCTION("""COMPUTED_VALUE"""),1.0)</f>
        <v>1</v>
      </c>
      <c r="F375" s="5">
        <f>IFERROR(__xludf.DUMMYFUNCTION("""COMPUTED_VALUE"""),1.0)</f>
        <v>1</v>
      </c>
      <c r="G375" s="5">
        <f>IFERROR(__xludf.DUMMYFUNCTION("""COMPUTED_VALUE"""),1.0)</f>
        <v>1</v>
      </c>
      <c r="H375" s="5">
        <f>IFERROR(__xludf.DUMMYFUNCTION("""COMPUTED_VALUE"""),0.7269663665350493)</f>
        <v>0.7269663665</v>
      </c>
      <c r="I375" s="5">
        <v>0.6726966366535049</v>
      </c>
    </row>
    <row r="376">
      <c r="A376" s="5">
        <v>0.306379821958457</v>
      </c>
      <c r="B376" s="5">
        <v>0.0</v>
      </c>
      <c r="C376" s="5" t="s">
        <v>4495</v>
      </c>
      <c r="D376" s="5" t="str">
        <f>IFERROR(__xludf.DUMMYFUNCTION("""COMPUTED_VALUE"""),"")</f>
        <v/>
      </c>
      <c r="E376" s="5">
        <f>IFERROR(__xludf.DUMMYFUNCTION("""COMPUTED_VALUE"""),0.6532759624345169)</f>
        <v>0.6532759624</v>
      </c>
      <c r="F376" s="5">
        <f>IFERROR(__xludf.DUMMYFUNCTION("""COMPUTED_VALUE"""),1.0)</f>
        <v>1</v>
      </c>
      <c r="G376" s="5">
        <f>IFERROR(__xludf.DUMMYFUNCTION("""COMPUTED_VALUE"""),1.0)</f>
        <v>1</v>
      </c>
      <c r="H376" s="5">
        <f>IFERROR(__xludf.DUMMYFUNCTION("""COMPUTED_VALUE"""),0.2970836899874542)</f>
        <v>0.29708369</v>
      </c>
      <c r="I376" s="5">
        <v>0.5430273596073747</v>
      </c>
    </row>
    <row r="377">
      <c r="A377" s="5">
        <v>0.25031712473572937</v>
      </c>
      <c r="B377" s="5" t="s">
        <v>4495</v>
      </c>
      <c r="C377" s="5" t="s">
        <v>4495</v>
      </c>
      <c r="D377" s="5" t="str">
        <f>IFERROR(__xludf.DUMMYFUNCTION("""COMPUTED_VALUE"""),"")</f>
        <v/>
      </c>
      <c r="E377" s="5">
        <f>IFERROR(__xludf.DUMMYFUNCTION("""COMPUTED_VALUE"""),1.0)</f>
        <v>1</v>
      </c>
      <c r="F377" s="5" t="str">
        <f>IFERROR(__xludf.DUMMYFUNCTION("""COMPUTED_VALUE"""),"")</f>
        <v/>
      </c>
      <c r="G377" s="5">
        <f>IFERROR(__xludf.DUMMYFUNCTION("""COMPUTED_VALUE"""),1.0)</f>
        <v>1</v>
      </c>
      <c r="H377" s="5">
        <f>IFERROR(__xludf.DUMMYFUNCTION("""COMPUTED_VALUE"""),0.7904562758009703)</f>
        <v>0.7904562758</v>
      </c>
      <c r="I377" s="5">
        <v>0.47904562758009706</v>
      </c>
    </row>
    <row r="378">
      <c r="A378" s="5">
        <v>0.09921355111917725</v>
      </c>
      <c r="B378" s="5">
        <v>0.0</v>
      </c>
      <c r="C378" s="5" t="s">
        <v>4495</v>
      </c>
      <c r="D378" s="5" t="str">
        <f>IFERROR(__xludf.DUMMYFUNCTION("""COMPUTED_VALUE"""),"")</f>
        <v/>
      </c>
      <c r="E378" s="5">
        <f>IFERROR(__xludf.DUMMYFUNCTION("""COMPUTED_VALUE"""),0.5353050503378812)</f>
        <v>0.5353050503</v>
      </c>
      <c r="F378" s="5">
        <f>IFERROR(__xludf.DUMMYFUNCTION("""COMPUTED_VALUE"""),1.0)</f>
        <v>1</v>
      </c>
      <c r="G378" s="5">
        <f>IFERROR(__xludf.DUMMYFUNCTION("""COMPUTED_VALUE"""),1.0)</f>
        <v>1</v>
      </c>
      <c r="H378" s="5">
        <f>IFERROR(__xludf.DUMMYFUNCTION("""COMPUTED_VALUE"""),1.0)</f>
        <v>1</v>
      </c>
      <c r="I378" s="5">
        <v>0.5838262625844703</v>
      </c>
    </row>
    <row r="379">
      <c r="A379" s="5">
        <v>0.1322690992018244</v>
      </c>
      <c r="B379" s="5">
        <v>0.0</v>
      </c>
      <c r="C379" s="5" t="s">
        <v>4495</v>
      </c>
      <c r="D379" s="5" t="str">
        <f>IFERROR(__xludf.DUMMYFUNCTION("""COMPUTED_VALUE"""),"")</f>
        <v/>
      </c>
      <c r="E379" s="5">
        <f>IFERROR(__xludf.DUMMYFUNCTION("""COMPUTED_VALUE"""),0.5658122078059921)</f>
        <v>0.5658122078</v>
      </c>
      <c r="F379" s="5">
        <f>IFERROR(__xludf.DUMMYFUNCTION("""COMPUTED_VALUE"""),1.0)</f>
        <v>1</v>
      </c>
      <c r="G379" s="5">
        <f>IFERROR(__xludf.DUMMYFUNCTION("""COMPUTED_VALUE"""),1.0)</f>
        <v>1</v>
      </c>
      <c r="H379" s="5">
        <f>IFERROR(__xludf.DUMMYFUNCTION("""COMPUTED_VALUE"""),0.6378128531320485)</f>
        <v>0.6378128531</v>
      </c>
      <c r="I379" s="5">
        <v>0.5552343372647028</v>
      </c>
    </row>
    <row r="380">
      <c r="A380" s="5">
        <v>0.06660293180369663</v>
      </c>
      <c r="B380" s="5">
        <v>1.0</v>
      </c>
      <c r="C380" s="5" t="s">
        <v>4495</v>
      </c>
      <c r="D380" s="5" t="str">
        <f>IFERROR(__xludf.DUMMYFUNCTION("""COMPUTED_VALUE"""),"")</f>
        <v/>
      </c>
      <c r="E380" s="5">
        <f>IFERROR(__xludf.DUMMYFUNCTION("""COMPUTED_VALUE"""),0.3867110571043727)</f>
        <v>0.3867110571</v>
      </c>
      <c r="F380" s="5">
        <f>IFERROR(__xludf.DUMMYFUNCTION("""COMPUTED_VALUE"""),1.0)</f>
        <v>1</v>
      </c>
      <c r="G380" s="5">
        <f>IFERROR(__xludf.DUMMYFUNCTION("""COMPUTED_VALUE"""),1.0)</f>
        <v>1</v>
      </c>
      <c r="H380" s="5">
        <f>IFERROR(__xludf.DUMMYFUNCTION("""COMPUTED_VALUE"""),0.3568361372236371)</f>
        <v>0.3568361372</v>
      </c>
      <c r="I380" s="5">
        <v>0.4823613779984569</v>
      </c>
    </row>
    <row r="381">
      <c r="A381" s="5">
        <v>0.08394607843137254</v>
      </c>
      <c r="B381" s="5" t="s">
        <v>4495</v>
      </c>
      <c r="C381" s="5" t="s">
        <v>4495</v>
      </c>
      <c r="D381" s="5" t="str">
        <f>IFERROR(__xludf.DUMMYFUNCTION("""COMPUTED_VALUE"""),"")</f>
        <v/>
      </c>
      <c r="E381" s="5">
        <f>IFERROR(__xludf.DUMMYFUNCTION("""COMPUTED_VALUE"""),0.4490080559640544)</f>
        <v>0.449008056</v>
      </c>
      <c r="F381" s="5" t="str">
        <f>IFERROR(__xludf.DUMMYFUNCTION("""COMPUTED_VALUE"""),"")</f>
        <v/>
      </c>
      <c r="G381" s="5">
        <f>IFERROR(__xludf.DUMMYFUNCTION("""COMPUTED_VALUE"""),1.0)</f>
        <v>1</v>
      </c>
      <c r="H381" s="5">
        <f>IFERROR(__xludf.DUMMYFUNCTION("""COMPUTED_VALUE"""),0.8305089551581765)</f>
        <v>0.8305089552</v>
      </c>
      <c r="I381" s="5">
        <v>0.3453029095068313</v>
      </c>
    </row>
    <row r="382">
      <c r="A382" s="5">
        <v>0.13612836438923395</v>
      </c>
      <c r="B382" s="5" t="s">
        <v>4495</v>
      </c>
      <c r="C382" s="5" t="s">
        <v>4495</v>
      </c>
      <c r="D382" s="5" t="str">
        <f>IFERROR(__xludf.DUMMYFUNCTION("""COMPUTED_VALUE"""),"")</f>
        <v/>
      </c>
      <c r="E382" s="5">
        <f>IFERROR(__xludf.DUMMYFUNCTION("""COMPUTED_VALUE"""),0.25886312191752414)</f>
        <v>0.2588631219</v>
      </c>
      <c r="F382" s="5" t="str">
        <f>IFERROR(__xludf.DUMMYFUNCTION("""COMPUTED_VALUE"""),"")</f>
        <v/>
      </c>
      <c r="G382" s="5">
        <f>IFERROR(__xludf.DUMMYFUNCTION("""COMPUTED_VALUE"""),1.0)</f>
        <v>1</v>
      </c>
      <c r="H382" s="5">
        <f>IFERROR(__xludf.DUMMYFUNCTION("""COMPUTED_VALUE"""),1.0)</f>
        <v>1</v>
      </c>
      <c r="I382" s="5">
        <v>0.31471578047938104</v>
      </c>
    </row>
    <row r="383">
      <c r="A383" s="5">
        <v>0.14026739179696351</v>
      </c>
      <c r="B383" s="5">
        <v>0.0</v>
      </c>
      <c r="C383" s="5" t="s">
        <v>4495</v>
      </c>
      <c r="D383" s="5" t="str">
        <f>IFERROR(__xludf.DUMMYFUNCTION("""COMPUTED_VALUE"""),"")</f>
        <v/>
      </c>
      <c r="E383" s="5">
        <f>IFERROR(__xludf.DUMMYFUNCTION("""COMPUTED_VALUE"""),0.4490080559640544)</f>
        <v>0.449008056</v>
      </c>
      <c r="F383" s="5">
        <f>IFERROR(__xludf.DUMMYFUNCTION("""COMPUTED_VALUE"""),1.0)</f>
        <v>1</v>
      </c>
      <c r="G383" s="5">
        <f>IFERROR(__xludf.DUMMYFUNCTION("""COMPUTED_VALUE"""),1.0)</f>
        <v>1</v>
      </c>
      <c r="H383" s="5">
        <f>IFERROR(__xludf.DUMMYFUNCTION("""COMPUTED_VALUE"""),1.0)</f>
        <v>1</v>
      </c>
      <c r="I383" s="5">
        <v>0.5622520139910135</v>
      </c>
    </row>
    <row r="384">
      <c r="A384" s="5">
        <v>0.08379413015737984</v>
      </c>
      <c r="B384" s="5">
        <v>1.0</v>
      </c>
      <c r="C384" s="5" t="s">
        <v>4495</v>
      </c>
      <c r="D384" s="5" t="str">
        <f>IFERROR(__xludf.DUMMYFUNCTION("""COMPUTED_VALUE"""),"")</f>
        <v/>
      </c>
      <c r="E384" s="5">
        <f>IFERROR(__xludf.DUMMYFUNCTION("""COMPUTED_VALUE"""),0.5223179681071728)</f>
        <v>0.5223179681</v>
      </c>
      <c r="F384" s="5">
        <f>IFERROR(__xludf.DUMMYFUNCTION("""COMPUTED_VALUE"""),1.0)</f>
        <v>1</v>
      </c>
      <c r="G384" s="5">
        <f>IFERROR(__xludf.DUMMYFUNCTION("""COMPUTED_VALUE"""),1.0)</f>
        <v>1</v>
      </c>
      <c r="H384" s="5">
        <f>IFERROR(__xludf.DUMMYFUNCTION("""COMPUTED_VALUE"""),0.6606163795575896)</f>
        <v>0.6606163796</v>
      </c>
      <c r="I384" s="5">
        <v>0.5466411299825521</v>
      </c>
    </row>
    <row r="385">
      <c r="A385" s="5">
        <v>0.13155339805825242</v>
      </c>
      <c r="B385" s="5">
        <v>2.0</v>
      </c>
      <c r="C385" s="5" t="s">
        <v>4495</v>
      </c>
      <c r="D385" s="5" t="str">
        <f>IFERROR(__xludf.DUMMYFUNCTION("""COMPUTED_VALUE"""),"")</f>
        <v/>
      </c>
      <c r="E385" s="5">
        <f>IFERROR(__xludf.DUMMYFUNCTION("""COMPUTED_VALUE"""),0.5156394588873553)</f>
        <v>0.5156394589</v>
      </c>
      <c r="F385" s="5">
        <f>IFERROR(__xludf.DUMMYFUNCTION("""COMPUTED_VALUE"""),1.0)</f>
        <v>1</v>
      </c>
      <c r="G385" s="5">
        <f>IFERROR(__xludf.DUMMYFUNCTION("""COMPUTED_VALUE"""),1.0)</f>
        <v>1</v>
      </c>
      <c r="H385" s="5">
        <f>IFERROR(__xludf.DUMMYFUNCTION("""COMPUTED_VALUE"""),0.19794016647757803)</f>
        <v>0.1979401665</v>
      </c>
      <c r="I385" s="5">
        <v>0.49870388136959665</v>
      </c>
    </row>
    <row r="386">
      <c r="A386" s="5">
        <v>0.06676036542515812</v>
      </c>
      <c r="B386" s="5">
        <v>0.0</v>
      </c>
      <c r="C386" s="5" t="s">
        <v>4495</v>
      </c>
      <c r="D386" s="5" t="str">
        <f>IFERROR(__xludf.DUMMYFUNCTION("""COMPUTED_VALUE"""),"")</f>
        <v/>
      </c>
      <c r="E386" s="5">
        <f>IFERROR(__xludf.DUMMYFUNCTION("""COMPUTED_VALUE"""),0.5353050503378812)</f>
        <v>0.5353050503</v>
      </c>
      <c r="F386" s="5">
        <f>IFERROR(__xludf.DUMMYFUNCTION("""COMPUTED_VALUE"""),1.0)</f>
        <v>1</v>
      </c>
      <c r="G386" s="5">
        <f>IFERROR(__xludf.DUMMYFUNCTION("""COMPUTED_VALUE"""),1.0)</f>
        <v>1</v>
      </c>
      <c r="H386" s="5">
        <f>IFERROR(__xludf.DUMMYFUNCTION("""COMPUTED_VALUE"""),0.46784371396551677)</f>
        <v>0.467843714</v>
      </c>
      <c r="I386" s="5">
        <v>0.530610633981022</v>
      </c>
    </row>
    <row r="387">
      <c r="A387" s="5">
        <v>0.15880370682392586</v>
      </c>
      <c r="B387" s="5">
        <v>0.0</v>
      </c>
      <c r="C387" s="5" t="s">
        <v>4495</v>
      </c>
      <c r="D387" s="5" t="str">
        <f>IFERROR(__xludf.DUMMYFUNCTION("""COMPUTED_VALUE"""),"")</f>
        <v/>
      </c>
      <c r="E387" s="5">
        <f>IFERROR(__xludf.DUMMYFUNCTION("""COMPUTED_VALUE"""),0.7586645771823989)</f>
        <v>0.7586645772</v>
      </c>
      <c r="F387" s="5">
        <f>IFERROR(__xludf.DUMMYFUNCTION("""COMPUTED_VALUE"""),1.0)</f>
        <v>1</v>
      </c>
      <c r="G387" s="5">
        <f>IFERROR(__xludf.DUMMYFUNCTION("""COMPUTED_VALUE"""),1.0)</f>
        <v>1</v>
      </c>
      <c r="H387" s="5">
        <f>IFERROR(__xludf.DUMMYFUNCTION("""COMPUTED_VALUE"""),0.22894149172909226)</f>
        <v>0.2289414917</v>
      </c>
      <c r="I387" s="5">
        <v>0.562560293468509</v>
      </c>
    </row>
    <row r="388">
      <c r="A388" s="5">
        <v>0.046300302899177845</v>
      </c>
      <c r="B388" s="5">
        <v>0.0</v>
      </c>
      <c r="C388" s="5" t="s">
        <v>4495</v>
      </c>
      <c r="D388" s="5" t="str">
        <f>IFERROR(__xludf.DUMMYFUNCTION("""COMPUTED_VALUE"""),"")</f>
        <v/>
      </c>
      <c r="E388" s="5">
        <f>IFERROR(__xludf.DUMMYFUNCTION("""COMPUTED_VALUE"""),0.4147749215282351)</f>
        <v>0.4147749215</v>
      </c>
      <c r="F388" s="5">
        <f>IFERROR(__xludf.DUMMYFUNCTION("""COMPUTED_VALUE"""),1.0)</f>
        <v>1</v>
      </c>
      <c r="G388" s="5">
        <f>IFERROR(__xludf.DUMMYFUNCTION("""COMPUTED_VALUE"""),1.0)</f>
        <v>1</v>
      </c>
      <c r="H388" s="5">
        <f>IFERROR(__xludf.DUMMYFUNCTION("""COMPUTED_VALUE"""),0.9924947859739995)</f>
        <v>0.992494786</v>
      </c>
      <c r="I388" s="5">
        <v>0.5529432089794587</v>
      </c>
    </row>
    <row r="389">
      <c r="A389" s="5">
        <v>0.043344289235825804</v>
      </c>
      <c r="B389" s="5" t="s">
        <v>4495</v>
      </c>
      <c r="C389" s="5" t="s">
        <v>4495</v>
      </c>
      <c r="D389" s="5" t="str">
        <f>IFERROR(__xludf.DUMMYFUNCTION("""COMPUTED_VALUE"""),"")</f>
        <v/>
      </c>
      <c r="E389" s="5">
        <f>IFERROR(__xludf.DUMMYFUNCTION("""COMPUTED_VALUE"""),0.18062650857502485)</f>
        <v>0.1806265086</v>
      </c>
      <c r="F389" s="5" t="str">
        <f>IFERROR(__xludf.DUMMYFUNCTION("""COMPUTED_VALUE"""),"")</f>
        <v/>
      </c>
      <c r="G389" s="5">
        <f>IFERROR(__xludf.DUMMYFUNCTION("""COMPUTED_VALUE"""),1.0)</f>
        <v>1</v>
      </c>
      <c r="H389" s="5">
        <f>IFERROR(__xludf.DUMMYFUNCTION("""COMPUTED_VALUE"""),0.7305203626336032)</f>
        <v>0.7305203626</v>
      </c>
      <c r="I389" s="5">
        <v>0.2682086634071165</v>
      </c>
    </row>
    <row r="390">
      <c r="A390" s="5">
        <v>0.10419190695420402</v>
      </c>
      <c r="B390" s="5" t="s">
        <v>4495</v>
      </c>
      <c r="C390" s="5" t="s">
        <v>4495</v>
      </c>
      <c r="D390" s="5" t="str">
        <f>IFERROR(__xludf.DUMMYFUNCTION("""COMPUTED_VALUE"""),"")</f>
        <v/>
      </c>
      <c r="E390" s="5">
        <f>IFERROR(__xludf.DUMMYFUNCTION("""COMPUTED_VALUE"""),0.5829185825435077)</f>
        <v>0.5829185825</v>
      </c>
      <c r="F390" s="5" t="str">
        <f>IFERROR(__xludf.DUMMYFUNCTION("""COMPUTED_VALUE"""),"")</f>
        <v/>
      </c>
      <c r="G390" s="5">
        <f>IFERROR(__xludf.DUMMYFUNCTION("""COMPUTED_VALUE"""),1.0)</f>
        <v>1</v>
      </c>
      <c r="H390" s="5">
        <f>IFERROR(__xludf.DUMMYFUNCTION("""COMPUTED_VALUE"""),1.0)</f>
        <v>1</v>
      </c>
      <c r="I390" s="5">
        <v>0.39572964563587687</v>
      </c>
    </row>
    <row r="391">
      <c r="A391" s="5">
        <v>0.0535289452815226</v>
      </c>
      <c r="B391" s="5" t="s">
        <v>4495</v>
      </c>
      <c r="C391" s="5" t="s">
        <v>4495</v>
      </c>
      <c r="D391" s="5" t="str">
        <f>IFERROR(__xludf.DUMMYFUNCTION("""COMPUTED_VALUE"""),"")</f>
        <v/>
      </c>
      <c r="E391" s="5">
        <f>IFERROR(__xludf.DUMMYFUNCTION("""COMPUTED_VALUE"""),0.14368593880932898)</f>
        <v>0.1436859388</v>
      </c>
      <c r="F391" s="5" t="str">
        <f>IFERROR(__xludf.DUMMYFUNCTION("""COMPUTED_VALUE"""),"")</f>
        <v/>
      </c>
      <c r="G391" s="5">
        <f>IFERROR(__xludf.DUMMYFUNCTION("""COMPUTED_VALUE"""),1.0)</f>
        <v>1</v>
      </c>
      <c r="H391" s="5">
        <f>IFERROR(__xludf.DUMMYFUNCTION("""COMPUTED_VALUE"""),0.701464288130925)</f>
        <v>0.7014642881</v>
      </c>
      <c r="I391" s="5">
        <v>0.25606791351542474</v>
      </c>
    </row>
    <row r="392">
      <c r="A392" s="5">
        <v>0.16561314791403287</v>
      </c>
      <c r="B392" s="5" t="s">
        <v>4495</v>
      </c>
      <c r="C392" s="5" t="s">
        <v>4495</v>
      </c>
      <c r="D392" s="5" t="str">
        <f>IFERROR(__xludf.DUMMYFUNCTION("""COMPUTED_VALUE"""),"")</f>
        <v/>
      </c>
      <c r="E392" s="5">
        <f>IFERROR(__xludf.DUMMYFUNCTION("""COMPUTED_VALUE"""),0.5992290179313052)</f>
        <v>0.5992290179</v>
      </c>
      <c r="F392" s="5" t="str">
        <f>IFERROR(__xludf.DUMMYFUNCTION("""COMPUTED_VALUE"""),"")</f>
        <v/>
      </c>
      <c r="G392" s="5">
        <f>IFERROR(__xludf.DUMMYFUNCTION("""COMPUTED_VALUE"""),1.0)</f>
        <v>1</v>
      </c>
      <c r="H392" s="5">
        <f>IFERROR(__xludf.DUMMYFUNCTION("""COMPUTED_VALUE"""),0.7451280479689457)</f>
        <v>0.745128048</v>
      </c>
      <c r="I392" s="5">
        <v>0.3743200592797209</v>
      </c>
    </row>
    <row r="393">
      <c r="A393" s="5">
        <v>0.16220981486923303</v>
      </c>
      <c r="B393" s="5">
        <v>1.0</v>
      </c>
      <c r="C393" s="5" t="s">
        <v>4495</v>
      </c>
      <c r="D393" s="5" t="str">
        <f>IFERROR(__xludf.DUMMYFUNCTION("""COMPUTED_VALUE"""),"")</f>
        <v/>
      </c>
      <c r="E393" s="5">
        <f>IFERROR(__xludf.DUMMYFUNCTION("""COMPUTED_VALUE"""),0.5288716380402964)</f>
        <v>0.528871638</v>
      </c>
      <c r="F393" s="5">
        <f>IFERROR(__xludf.DUMMYFUNCTION("""COMPUTED_VALUE"""),1.0)</f>
        <v>1</v>
      </c>
      <c r="G393" s="5">
        <f>IFERROR(__xludf.DUMMYFUNCTION("""COMPUTED_VALUE"""),1.0)</f>
        <v>1</v>
      </c>
      <c r="H393" s="5">
        <f>IFERROR(__xludf.DUMMYFUNCTION("""COMPUTED_VALUE"""),0.044372163770186025)</f>
        <v>0.04437216377</v>
      </c>
      <c r="I393" s="5">
        <v>0.48665512588709275</v>
      </c>
    </row>
    <row r="394">
      <c r="A394" s="5">
        <v>0.09709618874773139</v>
      </c>
      <c r="B394" s="5">
        <v>1.0</v>
      </c>
      <c r="C394" s="5" t="s">
        <v>4495</v>
      </c>
      <c r="D394" s="5" t="str">
        <f>IFERROR(__xludf.DUMMYFUNCTION("""COMPUTED_VALUE"""),"")</f>
        <v/>
      </c>
      <c r="E394" s="5">
        <f>IFERROR(__xludf.DUMMYFUNCTION("""COMPUTED_VALUE"""),0.5478282077467163)</f>
        <v>0.5478282077</v>
      </c>
      <c r="F394" s="5">
        <f>IFERROR(__xludf.DUMMYFUNCTION("""COMPUTED_VALUE"""),1.0)</f>
        <v>1</v>
      </c>
      <c r="G394" s="5">
        <f>IFERROR(__xludf.DUMMYFUNCTION("""COMPUTED_VALUE"""),1.0)</f>
        <v>1</v>
      </c>
      <c r="H394" s="5">
        <f>IFERROR(__xludf.DUMMYFUNCTION("""COMPUTED_VALUE"""),0.8516765277574855)</f>
        <v>0.8516765278</v>
      </c>
      <c r="I394" s="5">
        <v>0.5721247047124276</v>
      </c>
    </row>
    <row r="395">
      <c r="A395" s="5">
        <v>0.14501510574018128</v>
      </c>
      <c r="B395" s="5">
        <v>0.0</v>
      </c>
      <c r="C395" s="5" t="s">
        <v>4495</v>
      </c>
      <c r="D395" s="5" t="str">
        <f>IFERROR(__xludf.DUMMYFUNCTION("""COMPUTED_VALUE"""),"")</f>
        <v/>
      </c>
      <c r="E395" s="5">
        <f>IFERROR(__xludf.DUMMYFUNCTION("""COMPUTED_VALUE"""),0.6248324432545804)</f>
        <v>0.6248324433</v>
      </c>
      <c r="F395" s="5">
        <f>IFERROR(__xludf.DUMMYFUNCTION("""COMPUTED_VALUE"""),1.0)</f>
        <v>1</v>
      </c>
      <c r="G395" s="5">
        <f>IFERROR(__xludf.DUMMYFUNCTION("""COMPUTED_VALUE"""),1.0)</f>
        <v>1</v>
      </c>
      <c r="H395" s="5">
        <f>IFERROR(__xludf.DUMMYFUNCTION("""COMPUTED_VALUE"""),0.5679381885870348)</f>
        <v>0.5679381886</v>
      </c>
      <c r="I395" s="5">
        <v>0.5630019296723486</v>
      </c>
    </row>
    <row r="396">
      <c r="A396" s="5" t="s">
        <v>4495</v>
      </c>
      <c r="B396" s="5" t="s">
        <v>4495</v>
      </c>
      <c r="C396" s="5" t="s">
        <v>4495</v>
      </c>
      <c r="D396" s="5" t="str">
        <f>IFERROR(__xludf.DUMMYFUNCTION("""COMPUTED_VALUE"""),"")</f>
        <v/>
      </c>
      <c r="E396" s="5">
        <f>IFERROR(__xludf.DUMMYFUNCTION("""COMPUTED_VALUE"""),0.3227870895109485)</f>
        <v>0.3227870895</v>
      </c>
      <c r="F396" s="5" t="str">
        <f>IFERROR(__xludf.DUMMYFUNCTION("""COMPUTED_VALUE"""),"")</f>
        <v/>
      </c>
      <c r="G396" s="5" t="str">
        <f>IFERROR(__xludf.DUMMYFUNCTION("""COMPUTED_VALUE"""),"")</f>
        <v/>
      </c>
      <c r="H396" s="5">
        <f>IFERROR(__xludf.DUMMYFUNCTION("""COMPUTED_VALUE"""),0.3528060008387848)</f>
        <v>0.3528060008</v>
      </c>
      <c r="I396" s="5">
        <v>0.1159773724616156</v>
      </c>
    </row>
    <row r="397">
      <c r="A397" s="5">
        <v>0.03317152103559871</v>
      </c>
      <c r="B397" s="5" t="s">
        <v>4495</v>
      </c>
      <c r="C397" s="5" t="s">
        <v>4495</v>
      </c>
      <c r="D397" s="5" t="str">
        <f>IFERROR(__xludf.DUMMYFUNCTION("""COMPUTED_VALUE"""),"")</f>
        <v/>
      </c>
      <c r="E397" s="5">
        <f>IFERROR(__xludf.DUMMYFUNCTION("""COMPUTED_VALUE"""),0.29859742067166056)</f>
        <v>0.2985974207</v>
      </c>
      <c r="F397" s="5" t="str">
        <f>IFERROR(__xludf.DUMMYFUNCTION("""COMPUTED_VALUE"""),"")</f>
        <v/>
      </c>
      <c r="G397" s="5">
        <f>IFERROR(__xludf.DUMMYFUNCTION("""COMPUTED_VALUE"""),1.0)</f>
        <v>1</v>
      </c>
      <c r="H397" s="5">
        <f>IFERROR(__xludf.DUMMYFUNCTION("""COMPUTED_VALUE"""),0.794258974669697)</f>
        <v>0.7942589747</v>
      </c>
      <c r="I397" s="5">
        <v>0.30407525263488483</v>
      </c>
    </row>
    <row r="398">
      <c r="A398" s="5">
        <v>0.3062645011600928</v>
      </c>
      <c r="B398" s="5">
        <v>1.0</v>
      </c>
      <c r="C398" s="5" t="s">
        <v>4495</v>
      </c>
      <c r="D398" s="5" t="str">
        <f>IFERROR(__xludf.DUMMYFUNCTION("""COMPUTED_VALUE"""),"")</f>
        <v/>
      </c>
      <c r="E398" s="5">
        <f>IFERROR(__xludf.DUMMYFUNCTION("""COMPUTED_VALUE"""),0.4407580016075842)</f>
        <v>0.4407580016</v>
      </c>
      <c r="F398" s="5">
        <f>IFERROR(__xludf.DUMMYFUNCTION("""COMPUTED_VALUE"""),1.0)</f>
        <v>1</v>
      </c>
      <c r="G398" s="5">
        <f>IFERROR(__xludf.DUMMYFUNCTION("""COMPUTED_VALUE"""),1.0)</f>
        <v>1</v>
      </c>
      <c r="H398" s="5">
        <f>IFERROR(__xludf.DUMMYFUNCTION("""COMPUTED_VALUE"""),0.6221447821989444)</f>
        <v>0.6221447822</v>
      </c>
      <c r="I398" s="5">
        <v>0.5224039786217906</v>
      </c>
    </row>
    <row r="399">
      <c r="A399" s="5" t="s">
        <v>4495</v>
      </c>
      <c r="B399" s="5" t="s">
        <v>4495</v>
      </c>
      <c r="C399" s="5" t="s">
        <v>4495</v>
      </c>
      <c r="D399" s="5" t="str">
        <f>IFERROR(__xludf.DUMMYFUNCTION("""COMPUTED_VALUE"""),"")</f>
        <v/>
      </c>
      <c r="E399" s="5">
        <f>IFERROR(__xludf.DUMMYFUNCTION("""COMPUTED_VALUE"""),0.7118469843264902)</f>
        <v>0.7118469843</v>
      </c>
      <c r="F399" s="5" t="str">
        <f>IFERROR(__xludf.DUMMYFUNCTION("""COMPUTED_VALUE"""),"")</f>
        <v/>
      </c>
      <c r="G399" s="5" t="str">
        <f>IFERROR(__xludf.DUMMYFUNCTION("""COMPUTED_VALUE"""),"")</f>
        <v/>
      </c>
      <c r="H399" s="5">
        <f>IFERROR(__xludf.DUMMYFUNCTION("""COMPUTED_VALUE"""),0.5719683249718881)</f>
        <v>0.571968325</v>
      </c>
      <c r="I399" s="5">
        <v>0.23515857857881137</v>
      </c>
    </row>
    <row r="400">
      <c r="A400" s="5">
        <v>0.15102974828375287</v>
      </c>
      <c r="B400" s="5">
        <v>0.0</v>
      </c>
      <c r="C400" s="5" t="s">
        <v>4495</v>
      </c>
      <c r="D400" s="5" t="str">
        <f>IFERROR(__xludf.DUMMYFUNCTION("""COMPUTED_VALUE"""),"")</f>
        <v/>
      </c>
      <c r="E400" s="5">
        <f>IFERROR(__xludf.DUMMYFUNCTION("""COMPUTED_VALUE"""),0.5416225389667044)</f>
        <v>0.541622539</v>
      </c>
      <c r="F400" s="5">
        <f>IFERROR(__xludf.DUMMYFUNCTION("""COMPUTED_VALUE"""),1.0)</f>
        <v>1</v>
      </c>
      <c r="G400" s="5">
        <f>IFERROR(__xludf.DUMMYFUNCTION("""COMPUTED_VALUE"""),1.0)</f>
        <v>1</v>
      </c>
      <c r="H400" s="5">
        <f>IFERROR(__xludf.DUMMYFUNCTION("""COMPUTED_VALUE"""),0.7467202844151569)</f>
        <v>0.7467202844</v>
      </c>
      <c r="I400" s="5">
        <v>0.5600776631831917</v>
      </c>
    </row>
    <row r="401">
      <c r="A401" s="5" t="s">
        <v>4495</v>
      </c>
      <c r="B401" s="5" t="s">
        <v>4495</v>
      </c>
      <c r="C401" s="5" t="s">
        <v>4495</v>
      </c>
      <c r="D401" s="5" t="str">
        <f>IFERROR(__xludf.DUMMYFUNCTION("""COMPUTED_VALUE"""),"")</f>
        <v/>
      </c>
      <c r="E401" s="5">
        <f>IFERROR(__xludf.DUMMYFUNCTION("""COMPUTED_VALUE"""),0.10238989523252559)</f>
        <v>0.1023898952</v>
      </c>
      <c r="F401" s="5" t="str">
        <f>IFERROR(__xludf.DUMMYFUNCTION("""COMPUTED_VALUE"""),"")</f>
        <v/>
      </c>
      <c r="G401" s="5" t="str">
        <f>IFERROR(__xludf.DUMMYFUNCTION("""COMPUTED_VALUE"""),"")</f>
        <v/>
      </c>
      <c r="H401" s="5">
        <f>IFERROR(__xludf.DUMMYFUNCTION("""COMPUTED_VALUE"""),0.606602574247684)</f>
        <v>0.6066025742</v>
      </c>
      <c r="I401" s="5">
        <v>0.08625773123289981</v>
      </c>
    </row>
    <row r="402">
      <c r="A402" s="5">
        <v>0.030456852791878174</v>
      </c>
      <c r="B402" s="5" t="s">
        <v>4495</v>
      </c>
      <c r="C402" s="5" t="s">
        <v>4495</v>
      </c>
      <c r="D402" s="5" t="str">
        <f>IFERROR(__xludf.DUMMYFUNCTION("""COMPUTED_VALUE"""),"")</f>
        <v/>
      </c>
      <c r="E402" s="5">
        <f>IFERROR(__xludf.DUMMYFUNCTION("""COMPUTED_VALUE"""),0.33428356644099017)</f>
        <v>0.3342835664</v>
      </c>
      <c r="F402" s="5" t="str">
        <f>IFERROR(__xludf.DUMMYFUNCTION("""COMPUTED_VALUE"""),"")</f>
        <v/>
      </c>
      <c r="G402" s="5">
        <f>IFERROR(__xludf.DUMMYFUNCTION("""COMPUTED_VALUE"""),1.0)</f>
        <v>1</v>
      </c>
      <c r="H402" s="5">
        <f>IFERROR(__xludf.DUMMYFUNCTION("""COMPUTED_VALUE"""),0.07155230626969915)</f>
        <v>0.07155230627</v>
      </c>
      <c r="I402" s="5">
        <v>0.24072612223721743</v>
      </c>
    </row>
    <row r="403">
      <c r="A403" s="5">
        <v>0.06672788490970309</v>
      </c>
      <c r="B403" s="5">
        <v>0.0</v>
      </c>
      <c r="C403" s="5" t="s">
        <v>4495</v>
      </c>
      <c r="D403" s="5" t="str">
        <f>IFERROR(__xludf.DUMMYFUNCTION("""COMPUTED_VALUE"""),"")</f>
        <v/>
      </c>
      <c r="E403" s="5">
        <f>IFERROR(__xludf.DUMMYFUNCTION("""COMPUTED_VALUE"""),0.8603709183864263)</f>
        <v>0.8603709184</v>
      </c>
      <c r="F403" s="5">
        <f>IFERROR(__xludf.DUMMYFUNCTION("""COMPUTED_VALUE"""),1.0)</f>
        <v>1</v>
      </c>
      <c r="G403" s="5">
        <f>IFERROR(__xludf.DUMMYFUNCTION("""COMPUTED_VALUE"""),1.0)</f>
        <v>1</v>
      </c>
      <c r="H403" s="5">
        <f>IFERROR(__xludf.DUMMYFUNCTION("""COMPUTED_VALUE"""),0.6778084008282622)</f>
        <v>0.6778084008</v>
      </c>
      <c r="I403" s="5">
        <v>0.6328735696794329</v>
      </c>
    </row>
    <row r="404">
      <c r="A404" s="5">
        <v>0.08199921905505662</v>
      </c>
      <c r="B404" s="5" t="s">
        <v>4495</v>
      </c>
      <c r="C404" s="5" t="s">
        <v>4495</v>
      </c>
      <c r="D404" s="5" t="str">
        <f>IFERROR(__xludf.DUMMYFUNCTION("""COMPUTED_VALUE"""),"")</f>
        <v/>
      </c>
      <c r="E404" s="5">
        <f>IFERROR(__xludf.DUMMYFUNCTION("""COMPUTED_VALUE"""),0.35620389963626176)</f>
        <v>0.3562038996</v>
      </c>
      <c r="F404" s="5" t="str">
        <f>IFERROR(__xludf.DUMMYFUNCTION("""COMPUTED_VALUE"""),"")</f>
        <v/>
      </c>
      <c r="G404" s="5">
        <f>IFERROR(__xludf.DUMMYFUNCTION("""COMPUTED_VALUE"""),1.0)</f>
        <v>1</v>
      </c>
      <c r="H404" s="5">
        <f>IFERROR(__xludf.DUMMYFUNCTION("""COMPUTED_VALUE"""),0.832674235189469)</f>
        <v>0.8326742352</v>
      </c>
      <c r="I404" s="5">
        <v>0.32231839842801235</v>
      </c>
    </row>
    <row r="405">
      <c r="A405" s="5">
        <v>0.12809472551130247</v>
      </c>
      <c r="B405" s="5">
        <v>0.0</v>
      </c>
      <c r="C405" s="5" t="s">
        <v>4495</v>
      </c>
      <c r="D405" s="5" t="str">
        <f>IFERROR(__xludf.DUMMYFUNCTION("""COMPUTED_VALUE"""),"")</f>
        <v/>
      </c>
      <c r="E405" s="5">
        <f>IFERROR(__xludf.DUMMYFUNCTION("""COMPUTED_VALUE"""),0.7686352339046211)</f>
        <v>0.7686352339</v>
      </c>
      <c r="F405" s="5">
        <f>IFERROR(__xludf.DUMMYFUNCTION("""COMPUTED_VALUE"""),1.0)</f>
        <v>1</v>
      </c>
      <c r="G405" s="5">
        <f>IFERROR(__xludf.DUMMYFUNCTION("""COMPUTED_VALUE"""),1.0)</f>
        <v>1</v>
      </c>
      <c r="H405" s="5">
        <f>IFERROR(__xludf.DUMMYFUNCTION("""COMPUTED_VALUE"""),0.8834762343634998)</f>
        <v>0.8834762344</v>
      </c>
      <c r="I405" s="5">
        <v>0.6305064319125052</v>
      </c>
    </row>
    <row r="406">
      <c r="A406" s="5">
        <v>0.08967173738991192</v>
      </c>
      <c r="B406" s="5" t="s">
        <v>4495</v>
      </c>
      <c r="C406" s="5" t="s">
        <v>4495</v>
      </c>
      <c r="D406" s="5" t="str">
        <f>IFERROR(__xludf.DUMMYFUNCTION("""COMPUTED_VALUE"""),"")</f>
        <v/>
      </c>
      <c r="E406" s="5">
        <f>IFERROR(__xludf.DUMMYFUNCTION("""COMPUTED_VALUE"""),0.5829185825435077)</f>
        <v>0.5829185825</v>
      </c>
      <c r="F406" s="5" t="str">
        <f>IFERROR(__xludf.DUMMYFUNCTION("""COMPUTED_VALUE"""),"")</f>
        <v/>
      </c>
      <c r="G406" s="5">
        <f>IFERROR(__xludf.DUMMYFUNCTION("""COMPUTED_VALUE"""),1.0)</f>
        <v>1</v>
      </c>
      <c r="H406" s="5">
        <f>IFERROR(__xludf.DUMMYFUNCTION("""COMPUTED_VALUE"""),0.5253619594718052)</f>
        <v>0.5253619595</v>
      </c>
      <c r="I406" s="5">
        <v>0.3482658415830574</v>
      </c>
    </row>
    <row r="407">
      <c r="A407" s="5" t="s">
        <v>4495</v>
      </c>
      <c r="B407" s="5" t="s">
        <v>4495</v>
      </c>
      <c r="C407" s="5" t="s">
        <v>4495</v>
      </c>
      <c r="D407" s="5" t="str">
        <f>IFERROR(__xludf.DUMMYFUNCTION("""COMPUTED_VALUE"""),"")</f>
        <v/>
      </c>
      <c r="E407" s="5">
        <f>IFERROR(__xludf.DUMMYFUNCTION("""COMPUTED_VALUE"""),0.47265371983310933)</f>
        <v>0.4726537198</v>
      </c>
      <c r="F407" s="5" t="str">
        <f>IFERROR(__xludf.DUMMYFUNCTION("""COMPUTED_VALUE"""),"")</f>
        <v/>
      </c>
      <c r="G407" s="5" t="str">
        <f>IFERROR(__xludf.DUMMYFUNCTION("""COMPUTED_VALUE"""),"")</f>
        <v/>
      </c>
      <c r="H407" s="5">
        <f>IFERROR(__xludf.DUMMYFUNCTION("""COMPUTED_VALUE"""),0.5070483768501975)</f>
        <v>0.5070483769</v>
      </c>
      <c r="I407" s="5">
        <v>0.1688682676432971</v>
      </c>
    </row>
    <row r="408">
      <c r="A408" s="5">
        <v>0.17691453940066593</v>
      </c>
      <c r="B408" s="5" t="s">
        <v>4495</v>
      </c>
      <c r="C408" s="5" t="s">
        <v>4495</v>
      </c>
      <c r="D408" s="5" t="str">
        <f>IFERROR(__xludf.DUMMYFUNCTION("""COMPUTED_VALUE"""),"")</f>
        <v/>
      </c>
      <c r="E408" s="5">
        <f>IFERROR(__xludf.DUMMYFUNCTION("""COMPUTED_VALUE"""),0.8552895086758483)</f>
        <v>0.8552895087</v>
      </c>
      <c r="F408" s="5" t="str">
        <f>IFERROR(__xludf.DUMMYFUNCTION("""COMPUTED_VALUE"""),"")</f>
        <v/>
      </c>
      <c r="G408" s="5">
        <f>IFERROR(__xludf.DUMMYFUNCTION("""COMPUTED_VALUE"""),1.0)</f>
        <v>1</v>
      </c>
      <c r="H408" s="5">
        <f>IFERROR(__xludf.DUMMYFUNCTION("""COMPUTED_VALUE"""),1.0)</f>
        <v>1</v>
      </c>
      <c r="I408" s="5">
        <v>0.463822377168962</v>
      </c>
    </row>
    <row r="409">
      <c r="A409" s="5">
        <v>0.033700583279325985</v>
      </c>
      <c r="B409" s="5">
        <v>0.0</v>
      </c>
      <c r="C409" s="5" t="s">
        <v>4495</v>
      </c>
      <c r="D409" s="5" t="str">
        <f>IFERROR(__xludf.DUMMYFUNCTION("""COMPUTED_VALUE"""),"")</f>
        <v/>
      </c>
      <c r="E409" s="5">
        <f>IFERROR(__xludf.DUMMYFUNCTION("""COMPUTED_VALUE"""),0.559919445011029)</f>
        <v>0.559919445</v>
      </c>
      <c r="F409" s="5">
        <f>IFERROR(__xludf.DUMMYFUNCTION("""COMPUTED_VALUE"""),1.0)</f>
        <v>1</v>
      </c>
      <c r="G409" s="5">
        <f>IFERROR(__xludf.DUMMYFUNCTION("""COMPUTED_VALUE"""),1.0)</f>
        <v>1</v>
      </c>
      <c r="H409" s="5">
        <f>IFERROR(__xludf.DUMMYFUNCTION("""COMPUTED_VALUE"""),0.812773869932986)</f>
        <v>0.8127738699</v>
      </c>
      <c r="I409" s="5">
        <v>0.5712572482460558</v>
      </c>
    </row>
    <row r="410">
      <c r="A410" s="5" t="s">
        <v>4495</v>
      </c>
      <c r="B410" s="5" t="s">
        <v>4495</v>
      </c>
      <c r="C410" s="5" t="s">
        <v>4495</v>
      </c>
      <c r="D410" s="5" t="str">
        <f>IFERROR(__xludf.DUMMYFUNCTION("""COMPUTED_VALUE"""),"")</f>
        <v/>
      </c>
      <c r="E410" s="5">
        <f>IFERROR(__xludf.DUMMYFUNCTION("""COMPUTED_VALUE"""),0.5716075650904038)</f>
        <v>0.5716075651</v>
      </c>
      <c r="F410" s="5" t="str">
        <f>IFERROR(__xludf.DUMMYFUNCTION("""COMPUTED_VALUE"""),"")</f>
        <v/>
      </c>
      <c r="G410" s="5" t="str">
        <f>IFERROR(__xludf.DUMMYFUNCTION("""COMPUTED_VALUE"""),"")</f>
        <v/>
      </c>
      <c r="H410" s="5">
        <f>IFERROR(__xludf.DUMMYFUNCTION("""COMPUTED_VALUE"""),0.3634684953716459)</f>
        <v>0.3634684954</v>
      </c>
      <c r="I410" s="5">
        <v>0.17924874080976555</v>
      </c>
    </row>
    <row r="411">
      <c r="A411" s="5">
        <v>0.05017921146953405</v>
      </c>
      <c r="B411" s="5" t="s">
        <v>4495</v>
      </c>
      <c r="C411" s="5" t="s">
        <v>4495</v>
      </c>
      <c r="D411" s="5" t="str">
        <f>IFERROR(__xludf.DUMMYFUNCTION("""COMPUTED_VALUE"""),"")</f>
        <v/>
      </c>
      <c r="E411" s="5">
        <f>IFERROR(__xludf.DUMMYFUNCTION("""COMPUTED_VALUE"""),0.33428356644099017)</f>
        <v>0.3342835664</v>
      </c>
      <c r="F411" s="5" t="str">
        <f>IFERROR(__xludf.DUMMYFUNCTION("""COMPUTED_VALUE"""),"")</f>
        <v/>
      </c>
      <c r="G411" s="5">
        <f>IFERROR(__xludf.DUMMYFUNCTION("""COMPUTED_VALUE"""),1.0)</f>
        <v>1</v>
      </c>
      <c r="H411" s="5">
        <f>IFERROR(__xludf.DUMMYFUNCTION("""COMPUTED_VALUE"""),0.8100479960906362)</f>
        <v>0.8100479961</v>
      </c>
      <c r="I411" s="5">
        <v>0.31457569121931117</v>
      </c>
    </row>
    <row r="412">
      <c r="A412" s="5">
        <v>0.1373873873873874</v>
      </c>
      <c r="B412" s="5">
        <v>1.0</v>
      </c>
      <c r="C412" s="5" t="s">
        <v>4495</v>
      </c>
      <c r="D412" s="5" t="str">
        <f>IFERROR(__xludf.DUMMYFUNCTION("""COMPUTED_VALUE"""),"")</f>
        <v/>
      </c>
      <c r="E412" s="5">
        <f>IFERROR(__xludf.DUMMYFUNCTION("""COMPUTED_VALUE"""),0.7306007127585364)</f>
        <v>0.7306007128</v>
      </c>
      <c r="F412" s="5">
        <f>IFERROR(__xludf.DUMMYFUNCTION("""COMPUTED_VALUE"""),1.0)</f>
        <v>1</v>
      </c>
      <c r="G412" s="5">
        <f>IFERROR(__xludf.DUMMYFUNCTION("""COMPUTED_VALUE"""),1.0)</f>
        <v>1</v>
      </c>
      <c r="H412" s="5">
        <f>IFERROR(__xludf.DUMMYFUNCTION("""COMPUTED_VALUE"""),0.47294857693340075)</f>
        <v>0.4729485769</v>
      </c>
      <c r="I412" s="5">
        <v>0.5799450358829742</v>
      </c>
    </row>
    <row r="413">
      <c r="A413" s="5">
        <v>0.09425357251444208</v>
      </c>
      <c r="B413" s="5">
        <v>1.0</v>
      </c>
      <c r="C413" s="5" t="s">
        <v>4495</v>
      </c>
      <c r="D413" s="5" t="str">
        <f>IFERROR(__xludf.DUMMYFUNCTION("""COMPUTED_VALUE"""),"")</f>
        <v/>
      </c>
      <c r="E413" s="5">
        <f>IFERROR(__xludf.DUMMYFUNCTION("""COMPUTED_VALUE"""),0.4801940348116395)</f>
        <v>0.4801940348</v>
      </c>
      <c r="F413" s="5">
        <f>IFERROR(__xludf.DUMMYFUNCTION("""COMPUTED_VALUE"""),1.0)</f>
        <v>1</v>
      </c>
      <c r="G413" s="5">
        <f>IFERROR(__xludf.DUMMYFUNCTION("""COMPUTED_VALUE"""),1.0)</f>
        <v>1</v>
      </c>
      <c r="H413" s="5">
        <f>IFERROR(__xludf.DUMMYFUNCTION("""COMPUTED_VALUE"""),0.43584255026961716)</f>
        <v>0.4358425503</v>
      </c>
      <c r="I413" s="5">
        <v>0.5136327637298717</v>
      </c>
    </row>
    <row r="414">
      <c r="A414" s="5">
        <v>0.02877297196955634</v>
      </c>
      <c r="B414" s="5" t="s">
        <v>4495</v>
      </c>
      <c r="C414" s="5" t="s">
        <v>4495</v>
      </c>
      <c r="D414" s="5" t="str">
        <f>IFERROR(__xludf.DUMMYFUNCTION("""COMPUTED_VALUE"""),"")</f>
        <v/>
      </c>
      <c r="E414" s="5">
        <f>IFERROR(__xludf.DUMMYFUNCTION("""COMPUTED_VALUE"""),0.12364556257381001)</f>
        <v>0.1236455626</v>
      </c>
      <c r="F414" s="5" t="str">
        <f>IFERROR(__xludf.DUMMYFUNCTION("""COMPUTED_VALUE"""),"")</f>
        <v/>
      </c>
      <c r="G414" s="5">
        <f>IFERROR(__xludf.DUMMYFUNCTION("""COMPUTED_VALUE"""),1.0)</f>
        <v>1</v>
      </c>
      <c r="H414" s="5">
        <f>IFERROR(__xludf.DUMMYFUNCTION("""COMPUTED_VALUE"""),1.0)</f>
        <v>1</v>
      </c>
      <c r="I414" s="5">
        <v>0.2809113906434525</v>
      </c>
    </row>
    <row r="415">
      <c r="A415" s="5">
        <v>0.12480036504677161</v>
      </c>
      <c r="B415" s="5" t="s">
        <v>4495</v>
      </c>
      <c r="C415" s="5" t="s">
        <v>4495</v>
      </c>
      <c r="D415" s="5" t="str">
        <f>IFERROR(__xludf.DUMMYFUNCTION("""COMPUTED_VALUE"""),"")</f>
        <v/>
      </c>
      <c r="E415" s="5">
        <f>IFERROR(__xludf.DUMMYFUNCTION("""COMPUTED_VALUE"""),0.8501333696778393)</f>
        <v>0.8501333697</v>
      </c>
      <c r="F415" s="5" t="str">
        <f>IFERROR(__xludf.DUMMYFUNCTION("""COMPUTED_VALUE"""),"")</f>
        <v/>
      </c>
      <c r="G415" s="5">
        <f>IFERROR(__xludf.DUMMYFUNCTION("""COMPUTED_VALUE"""),1.0)</f>
        <v>1</v>
      </c>
      <c r="H415" s="5">
        <f>IFERROR(__xludf.DUMMYFUNCTION("""COMPUTED_VALUE"""),0.8454372130709235)</f>
        <v>0.8454372131</v>
      </c>
      <c r="I415" s="5">
        <v>0.44707706372655215</v>
      </c>
    </row>
    <row r="416">
      <c r="A416" s="5">
        <v>0.0468417317246274</v>
      </c>
      <c r="B416" s="5" t="s">
        <v>4495</v>
      </c>
      <c r="C416" s="5" t="s">
        <v>4495</v>
      </c>
      <c r="D416" s="5" t="str">
        <f>IFERROR(__xludf.DUMMYFUNCTION("""COMPUTED_VALUE"""),"")</f>
        <v/>
      </c>
      <c r="E416" s="5">
        <f>IFERROR(__xludf.DUMMYFUNCTION("""COMPUTED_VALUE"""),0.0)</f>
        <v>0</v>
      </c>
      <c r="F416" s="5" t="str">
        <f>IFERROR(__xludf.DUMMYFUNCTION("""COMPUTED_VALUE"""),"")</f>
        <v/>
      </c>
      <c r="G416" s="5">
        <f>IFERROR(__xludf.DUMMYFUNCTION("""COMPUTED_VALUE"""),1.0)</f>
        <v>1</v>
      </c>
      <c r="H416" s="5">
        <f>IFERROR(__xludf.DUMMYFUNCTION("""COMPUTED_VALUE"""),0.8100479960906362)</f>
        <v>0.8100479961</v>
      </c>
      <c r="I416" s="5">
        <v>0.23100479960906362</v>
      </c>
    </row>
    <row r="417">
      <c r="A417" s="5">
        <v>0.05408753096614368</v>
      </c>
      <c r="B417" s="5">
        <v>2.0</v>
      </c>
      <c r="C417" s="5" t="s">
        <v>4495</v>
      </c>
      <c r="D417" s="5" t="str">
        <f>IFERROR(__xludf.DUMMYFUNCTION("""COMPUTED_VALUE"""),"")</f>
        <v/>
      </c>
      <c r="E417" s="5">
        <f>IFERROR(__xludf.DUMMYFUNCTION("""COMPUTED_VALUE"""),0.0)</f>
        <v>0</v>
      </c>
      <c r="F417" s="5">
        <f>IFERROR(__xludf.DUMMYFUNCTION("""COMPUTED_VALUE"""),1.0)</f>
        <v>1</v>
      </c>
      <c r="G417" s="5">
        <f>IFERROR(__xludf.DUMMYFUNCTION("""COMPUTED_VALUE"""),1.0)</f>
        <v>1</v>
      </c>
      <c r="H417" s="5">
        <f>IFERROR(__xludf.DUMMYFUNCTION("""COMPUTED_VALUE"""),0.9259297340480559)</f>
        <v>0.925929734</v>
      </c>
      <c r="I417" s="5">
        <v>0.4425929734048056</v>
      </c>
    </row>
    <row r="418">
      <c r="A418" s="5">
        <v>0.07405803378085751</v>
      </c>
      <c r="B418" s="5">
        <v>0.0</v>
      </c>
      <c r="C418" s="5" t="s">
        <v>4495</v>
      </c>
      <c r="D418" s="5" t="str">
        <f>IFERROR(__xludf.DUMMYFUNCTION("""COMPUTED_VALUE"""),"")</f>
        <v/>
      </c>
      <c r="E418" s="5">
        <f>IFERROR(__xludf.DUMMYFUNCTION("""COMPUTED_VALUE"""),0.3963174424868398)</f>
        <v>0.3963174425</v>
      </c>
      <c r="F418" s="5">
        <f>IFERROR(__xludf.DUMMYFUNCTION("""COMPUTED_VALUE"""),1.0)</f>
        <v>1</v>
      </c>
      <c r="G418" s="5">
        <f>IFERROR(__xludf.DUMMYFUNCTION("""COMPUTED_VALUE"""),1.0)</f>
        <v>1</v>
      </c>
      <c r="H418" s="5">
        <f>IFERROR(__xludf.DUMMYFUNCTION("""COMPUTED_VALUE"""),0.13834818639455485)</f>
        <v>0.1383481864</v>
      </c>
      <c r="I418" s="5">
        <v>0.4629141792611654</v>
      </c>
    </row>
    <row r="419">
      <c r="A419" s="5">
        <v>0.045236606212215966</v>
      </c>
      <c r="B419" s="5" t="s">
        <v>4495</v>
      </c>
      <c r="C419" s="5" t="s">
        <v>4495</v>
      </c>
      <c r="D419" s="5" t="str">
        <f>IFERROR(__xludf.DUMMYFUNCTION("""COMPUTED_VALUE"""),"")</f>
        <v/>
      </c>
      <c r="E419" s="5">
        <f>IFERROR(__xludf.DUMMYFUNCTION("""COMPUTED_VALUE"""),0.3768340340141598)</f>
        <v>0.376834034</v>
      </c>
      <c r="F419" s="5" t="str">
        <f>IFERROR(__xludf.DUMMYFUNCTION("""COMPUTED_VALUE"""),"")</f>
        <v/>
      </c>
      <c r="G419" s="5">
        <f>IFERROR(__xludf.DUMMYFUNCTION("""COMPUTED_VALUE"""),1.0)</f>
        <v>1</v>
      </c>
      <c r="H419" s="5">
        <f>IFERROR(__xludf.DUMMYFUNCTION("""COMPUTED_VALUE"""),1.0)</f>
        <v>1</v>
      </c>
      <c r="I419" s="5">
        <v>0.34420850850353996</v>
      </c>
    </row>
    <row r="420">
      <c r="A420" s="5">
        <v>0.119533527696793</v>
      </c>
      <c r="B420" s="5">
        <v>0.0</v>
      </c>
      <c r="C420" s="5" t="s">
        <v>4495</v>
      </c>
      <c r="D420" s="5" t="str">
        <f>IFERROR(__xludf.DUMMYFUNCTION("""COMPUTED_VALUE"""),"")</f>
        <v/>
      </c>
      <c r="E420" s="5">
        <f>IFERROR(__xludf.DUMMYFUNCTION("""COMPUTED_VALUE"""),0.559919445011029)</f>
        <v>0.559919445</v>
      </c>
      <c r="F420" s="5">
        <f>IFERROR(__xludf.DUMMYFUNCTION("""COMPUTED_VALUE"""),1.0)</f>
        <v>1</v>
      </c>
      <c r="G420" s="5">
        <f>IFERROR(__xludf.DUMMYFUNCTION("""COMPUTED_VALUE"""),1.0)</f>
        <v>1</v>
      </c>
      <c r="H420" s="5">
        <f>IFERROR(__xludf.DUMMYFUNCTION("""COMPUTED_VALUE"""),1.0)</f>
        <v>1</v>
      </c>
      <c r="I420" s="5">
        <v>0.5899798612527573</v>
      </c>
    </row>
    <row r="421">
      <c r="A421" s="5">
        <v>0.10136086344439231</v>
      </c>
      <c r="B421" s="5" t="s">
        <v>4495</v>
      </c>
      <c r="C421" s="5" t="s">
        <v>4495</v>
      </c>
      <c r="D421" s="5" t="str">
        <f>IFERROR(__xludf.DUMMYFUNCTION("""COMPUTED_VALUE"""),"")</f>
        <v/>
      </c>
      <c r="E421" s="5">
        <f>IFERROR(__xludf.DUMMYFUNCTION("""COMPUTED_VALUE"""),0.5539259463633467)</f>
        <v>0.5539259464</v>
      </c>
      <c r="F421" s="5" t="str">
        <f>IFERROR(__xludf.DUMMYFUNCTION("""COMPUTED_VALUE"""),"")</f>
        <v/>
      </c>
      <c r="G421" s="5">
        <f>IFERROR(__xludf.DUMMYFUNCTION("""COMPUTED_VALUE"""),1.0)</f>
        <v>1</v>
      </c>
      <c r="H421" s="5">
        <f>IFERROR(__xludf.DUMMYFUNCTION("""COMPUTED_VALUE"""),0.7895002117391313)</f>
        <v>0.7895002117</v>
      </c>
      <c r="I421" s="5">
        <v>0.3674315077647498</v>
      </c>
    </row>
    <row r="422">
      <c r="A422" s="5" t="s">
        <v>4495</v>
      </c>
      <c r="B422" s="5" t="s">
        <v>4495</v>
      </c>
      <c r="C422" s="5" t="s">
        <v>4495</v>
      </c>
      <c r="D422" s="5" t="str">
        <f>IFERROR(__xludf.DUMMYFUNCTION("""COMPUTED_VALUE"""),"")</f>
        <v/>
      </c>
      <c r="E422" s="5">
        <f>IFERROR(__xludf.DUMMYFUNCTION("""COMPUTED_VALUE"""),0.5353050503378812)</f>
        <v>0.5353050503</v>
      </c>
      <c r="F422" s="5" t="str">
        <f>IFERROR(__xludf.DUMMYFUNCTION("""COMPUTED_VALUE"""),"")</f>
        <v/>
      </c>
      <c r="G422" s="5" t="str">
        <f>IFERROR(__xludf.DUMMYFUNCTION("""COMPUTED_VALUE"""),"")</f>
        <v/>
      </c>
      <c r="H422" s="5">
        <f>IFERROR(__xludf.DUMMYFUNCTION("""COMPUTED_VALUE"""),0.18607611324557238)</f>
        <v>0.1860761132</v>
      </c>
      <c r="I422" s="5">
        <v>0.15243387390902755</v>
      </c>
    </row>
    <row r="423">
      <c r="A423" s="5" t="s">
        <v>4495</v>
      </c>
      <c r="B423" s="5" t="s">
        <v>4495</v>
      </c>
      <c r="C423" s="5" t="s">
        <v>4495</v>
      </c>
      <c r="D423" s="5" t="str">
        <f>IFERROR(__xludf.DUMMYFUNCTION("""COMPUTED_VALUE"""),"")</f>
        <v/>
      </c>
      <c r="E423" s="5">
        <f>IFERROR(__xludf.DUMMYFUNCTION("""COMPUTED_VALUE"""),0.0)</f>
        <v>0</v>
      </c>
      <c r="F423" s="5" t="str">
        <f>IFERROR(__xludf.DUMMYFUNCTION("""COMPUTED_VALUE"""),"")</f>
        <v/>
      </c>
      <c r="G423" s="5" t="str">
        <f>IFERROR(__xludf.DUMMYFUNCTION("""COMPUTED_VALUE"""),"")</f>
        <v/>
      </c>
      <c r="H423" s="5">
        <f>IFERROR(__xludf.DUMMYFUNCTION("""COMPUTED_VALUE"""),0.0)</f>
        <v>0</v>
      </c>
      <c r="I423" s="5">
        <v>0.0</v>
      </c>
    </row>
    <row r="424">
      <c r="A424" s="5">
        <v>0.11906816220880069</v>
      </c>
      <c r="B424" s="5" t="s">
        <v>4495</v>
      </c>
      <c r="C424" s="5" t="s">
        <v>4495</v>
      </c>
      <c r="D424" s="5" t="str">
        <f>IFERROR(__xludf.DUMMYFUNCTION("""COMPUTED_VALUE"""),"")</f>
        <v/>
      </c>
      <c r="E424" s="5">
        <f>IFERROR(__xludf.DUMMYFUNCTION("""COMPUTED_VALUE"""),0.9183593683365966)</f>
        <v>0.9183593683</v>
      </c>
      <c r="F424" s="5" t="str">
        <f>IFERROR(__xludf.DUMMYFUNCTION("""COMPUTED_VALUE"""),"")</f>
        <v/>
      </c>
      <c r="G424" s="5">
        <f>IFERROR(__xludf.DUMMYFUNCTION("""COMPUTED_VALUE"""),1.0)</f>
        <v>1</v>
      </c>
      <c r="H424" s="5">
        <f>IFERROR(__xludf.DUMMYFUNCTION("""COMPUTED_VALUE"""),0.7107975462998052)</f>
        <v>0.7107975463</v>
      </c>
      <c r="I424" s="5">
        <v>0.45066959671412965</v>
      </c>
    </row>
    <row r="425">
      <c r="A425" s="5">
        <v>0.09551986475063398</v>
      </c>
      <c r="B425" s="5" t="s">
        <v>4495</v>
      </c>
      <c r="C425" s="5" t="s">
        <v>4495</v>
      </c>
      <c r="D425" s="5" t="str">
        <f>IFERROR(__xludf.DUMMYFUNCTION("""COMPUTED_VALUE"""),"")</f>
        <v/>
      </c>
      <c r="E425" s="5">
        <f>IFERROR(__xludf.DUMMYFUNCTION("""COMPUTED_VALUE"""),0.25886312191752414)</f>
        <v>0.2588631219</v>
      </c>
      <c r="F425" s="5" t="str">
        <f>IFERROR(__xludf.DUMMYFUNCTION("""COMPUTED_VALUE"""),"")</f>
        <v/>
      </c>
      <c r="G425" s="5">
        <f>IFERROR(__xludf.DUMMYFUNCTION("""COMPUTED_VALUE"""),1.0)</f>
        <v>1</v>
      </c>
      <c r="H425" s="5">
        <f>IFERROR(__xludf.DUMMYFUNCTION("""COMPUTED_VALUE"""),0.5070483768501975)</f>
        <v>0.5070483769</v>
      </c>
      <c r="I425" s="5">
        <v>0.26542061816440077</v>
      </c>
    </row>
    <row r="426">
      <c r="A426" s="5">
        <v>0.053266331658291456</v>
      </c>
      <c r="B426" s="5">
        <v>0.0</v>
      </c>
      <c r="C426" s="5" t="s">
        <v>4495</v>
      </c>
      <c r="D426" s="5" t="str">
        <f>IFERROR(__xludf.DUMMYFUNCTION("""COMPUTED_VALUE"""),"")</f>
        <v/>
      </c>
      <c r="E426" s="5">
        <f>IFERROR(__xludf.DUMMYFUNCTION("""COMPUTED_VALUE"""),0.5773086847360339)</f>
        <v>0.5773086847</v>
      </c>
      <c r="F426" s="5">
        <f>IFERROR(__xludf.DUMMYFUNCTION("""COMPUTED_VALUE"""),1.0)</f>
        <v>1</v>
      </c>
      <c r="G426" s="5">
        <f>IFERROR(__xludf.DUMMYFUNCTION("""COMPUTED_VALUE"""),1.0)</f>
        <v>1</v>
      </c>
      <c r="H426" s="5">
        <f>IFERROR(__xludf.DUMMYFUNCTION("""COMPUTED_VALUE"""),0.7545924021819583)</f>
        <v>0.7545924022</v>
      </c>
      <c r="I426" s="5">
        <v>0.5697864114022043</v>
      </c>
    </row>
    <row r="427">
      <c r="A427" s="5">
        <v>0.09976359338061466</v>
      </c>
      <c r="B427" s="5" t="s">
        <v>4495</v>
      </c>
      <c r="C427" s="5" t="s">
        <v>4495</v>
      </c>
      <c r="D427" s="5" t="str">
        <f>IFERROR(__xludf.DUMMYFUNCTION("""COMPUTED_VALUE"""),"")</f>
        <v/>
      </c>
      <c r="E427" s="5">
        <f>IFERROR(__xludf.DUMMYFUNCTION("""COMPUTED_VALUE"""),0.25886312191752414)</f>
        <v>0.2588631219</v>
      </c>
      <c r="F427" s="5" t="str">
        <f>IFERROR(__xludf.DUMMYFUNCTION("""COMPUTED_VALUE"""),"")</f>
        <v/>
      </c>
      <c r="G427" s="5">
        <f>IFERROR(__xludf.DUMMYFUNCTION("""COMPUTED_VALUE"""),1.0)</f>
        <v>1</v>
      </c>
      <c r="H427" s="5">
        <f>IFERROR(__xludf.DUMMYFUNCTION("""COMPUTED_VALUE"""),0.7648647660353476)</f>
        <v>0.764864766</v>
      </c>
      <c r="I427" s="5">
        <v>0.2912022570829158</v>
      </c>
    </row>
    <row r="428">
      <c r="A428" s="5">
        <v>0.14742589703588144</v>
      </c>
      <c r="B428" s="5">
        <v>0.0</v>
      </c>
      <c r="C428" s="5" t="s">
        <v>4495</v>
      </c>
      <c r="D428" s="5" t="str">
        <f>IFERROR(__xludf.DUMMYFUNCTION("""COMPUTED_VALUE"""),"")</f>
        <v/>
      </c>
      <c r="E428" s="5">
        <f>IFERROR(__xludf.DUMMYFUNCTION("""COMPUTED_VALUE"""),0.4407580016075842)</f>
        <v>0.4407580016</v>
      </c>
      <c r="F428" s="5">
        <f>IFERROR(__xludf.DUMMYFUNCTION("""COMPUTED_VALUE"""),1.0)</f>
        <v>1</v>
      </c>
      <c r="G428" s="5">
        <f>IFERROR(__xludf.DUMMYFUNCTION("""COMPUTED_VALUE"""),1.0)</f>
        <v>1</v>
      </c>
      <c r="H428" s="5">
        <f>IFERROR(__xludf.DUMMYFUNCTION("""COMPUTED_VALUE"""),0.17076002397806472)</f>
        <v>0.170760024</v>
      </c>
      <c r="I428" s="5">
        <v>0.4772655027997026</v>
      </c>
    </row>
    <row r="429">
      <c r="A429" s="5">
        <v>0.08142493638676845</v>
      </c>
      <c r="B429" s="5" t="s">
        <v>4495</v>
      </c>
      <c r="C429" s="5" t="s">
        <v>4495</v>
      </c>
      <c r="D429" s="5" t="str">
        <f>IFERROR(__xludf.DUMMYFUNCTION("""COMPUTED_VALUE"""),"")</f>
        <v/>
      </c>
      <c r="E429" s="5">
        <f>IFERROR(__xludf.DUMMYFUNCTION("""COMPUTED_VALUE"""),0.40566762681079266)</f>
        <v>0.4056676268</v>
      </c>
      <c r="F429" s="5" t="str">
        <f>IFERROR(__xludf.DUMMYFUNCTION("""COMPUTED_VALUE"""),"")</f>
        <v/>
      </c>
      <c r="G429" s="5">
        <f>IFERROR(__xludf.DUMMYFUNCTION("""COMPUTED_VALUE"""),1.0)</f>
        <v>1</v>
      </c>
      <c r="H429" s="5">
        <f>IFERROR(__xludf.DUMMYFUNCTION("""COMPUTED_VALUE"""),0.37642785751330293)</f>
        <v>0.3764278575</v>
      </c>
      <c r="I429" s="5">
        <v>0.28905969245402846</v>
      </c>
    </row>
    <row r="430">
      <c r="A430" s="5">
        <v>0.10745501285347044</v>
      </c>
      <c r="B430" s="5" t="s">
        <v>4495</v>
      </c>
      <c r="C430" s="5" t="s">
        <v>4495</v>
      </c>
      <c r="D430" s="5" t="str">
        <f>IFERROR(__xludf.DUMMYFUNCTION("""COMPUTED_VALUE"""),"")</f>
        <v/>
      </c>
      <c r="E430" s="5">
        <f>IFERROR(__xludf.DUMMYFUNCTION("""COMPUTED_VALUE"""),0.055572302376616874)</f>
        <v>0.05557230238</v>
      </c>
      <c r="F430" s="5" t="str">
        <f>IFERROR(__xludf.DUMMYFUNCTION("""COMPUTED_VALUE"""),"")</f>
        <v/>
      </c>
      <c r="G430" s="5">
        <f>IFERROR(__xludf.DUMMYFUNCTION("""COMPUTED_VALUE"""),1.0)</f>
        <v>1</v>
      </c>
      <c r="H430" s="5">
        <f>IFERROR(__xludf.DUMMYFUNCTION("""COMPUTED_VALUE"""),0.5953713476386906)</f>
        <v>0.5953713476</v>
      </c>
      <c r="I430" s="5">
        <v>0.2234302103580233</v>
      </c>
    </row>
    <row r="431">
      <c r="A431" s="5">
        <v>0.043897216274089934</v>
      </c>
      <c r="B431" s="5">
        <v>1.0</v>
      </c>
      <c r="C431" s="5" t="s">
        <v>4495</v>
      </c>
      <c r="D431" s="5" t="str">
        <f>IFERROR(__xludf.DUMMYFUNCTION("""COMPUTED_VALUE"""),"")</f>
        <v/>
      </c>
      <c r="E431" s="5">
        <f>IFERROR(__xludf.DUMMYFUNCTION("""COMPUTED_VALUE"""),0.3867110571043727)</f>
        <v>0.3867110571</v>
      </c>
      <c r="F431" s="5">
        <f>IFERROR(__xludf.DUMMYFUNCTION("""COMPUTED_VALUE"""),1.0)</f>
        <v>1</v>
      </c>
      <c r="G431" s="5">
        <f>IFERROR(__xludf.DUMMYFUNCTION("""COMPUTED_VALUE"""),1.0)</f>
        <v>1</v>
      </c>
      <c r="H431" s="5">
        <f>IFERROR(__xludf.DUMMYFUNCTION("""COMPUTED_VALUE"""),1.0)</f>
        <v>1</v>
      </c>
      <c r="I431" s="5">
        <v>0.5466777642760932</v>
      </c>
    </row>
    <row r="432">
      <c r="A432" s="5">
        <v>0.06548279689234185</v>
      </c>
      <c r="B432" s="5" t="s">
        <v>4495</v>
      </c>
      <c r="C432" s="5" t="s">
        <v>4495</v>
      </c>
      <c r="D432" s="5" t="str">
        <f>IFERROR(__xludf.DUMMYFUNCTION("""COMPUTED_VALUE"""),"")</f>
        <v/>
      </c>
      <c r="E432" s="5">
        <f>IFERROR(__xludf.DUMMYFUNCTION("""COMPUTED_VALUE"""),0.31090082806830316)</f>
        <v>0.3109008281</v>
      </c>
      <c r="F432" s="5" t="str">
        <f>IFERROR(__xludf.DUMMYFUNCTION("""COMPUTED_VALUE"""),"")</f>
        <v/>
      </c>
      <c r="G432" s="5">
        <f>IFERROR(__xludf.DUMMYFUNCTION("""COMPUTED_VALUE"""),1.0)</f>
        <v>1</v>
      </c>
      <c r="H432" s="5">
        <f>IFERROR(__xludf.DUMMYFUNCTION("""COMPUTED_VALUE"""),0.6683440466152498)</f>
        <v>0.6683440466</v>
      </c>
      <c r="I432" s="5">
        <v>0.2945596116786008</v>
      </c>
    </row>
    <row r="433">
      <c r="A433" s="5">
        <v>0.12310964083175803</v>
      </c>
      <c r="B433" s="5" t="s">
        <v>4495</v>
      </c>
      <c r="C433" s="5" t="s">
        <v>4495</v>
      </c>
      <c r="D433" s="5" t="str">
        <f>IFERROR(__xludf.DUMMYFUNCTION("""COMPUTED_VALUE"""),"")</f>
        <v/>
      </c>
      <c r="E433" s="5">
        <f>IFERROR(__xludf.DUMMYFUNCTION("""COMPUTED_VALUE"""),0.12364556257381001)</f>
        <v>0.1236455626</v>
      </c>
      <c r="F433" s="5" t="str">
        <f>IFERROR(__xludf.DUMMYFUNCTION("""COMPUTED_VALUE"""),"")</f>
        <v/>
      </c>
      <c r="G433" s="5">
        <f>IFERROR(__xludf.DUMMYFUNCTION("""COMPUTED_VALUE"""),1.0)</f>
        <v>1</v>
      </c>
      <c r="H433" s="5">
        <f>IFERROR(__xludf.DUMMYFUNCTION("""COMPUTED_VALUE"""),0.48790207811275793)</f>
        <v>0.4879020781</v>
      </c>
      <c r="I433" s="5">
        <v>0.2297015984547283</v>
      </c>
    </row>
    <row r="434">
      <c r="A434" s="5">
        <v>0.05686125852918878</v>
      </c>
      <c r="B434" s="5">
        <v>0.0</v>
      </c>
      <c r="C434" s="5" t="s">
        <v>4495</v>
      </c>
      <c r="D434" s="5" t="str">
        <f>IFERROR(__xludf.DUMMYFUNCTION("""COMPUTED_VALUE"""),"")</f>
        <v/>
      </c>
      <c r="E434" s="5">
        <f>IFERROR(__xludf.DUMMYFUNCTION("""COMPUTED_VALUE"""),0.21404331870033824)</f>
        <v>0.2140433187</v>
      </c>
      <c r="F434" s="5">
        <f>IFERROR(__xludf.DUMMYFUNCTION("""COMPUTED_VALUE"""),1.0)</f>
        <v>1</v>
      </c>
      <c r="G434" s="5">
        <f>IFERROR(__xludf.DUMMYFUNCTION("""COMPUTED_VALUE"""),1.0)</f>
        <v>1</v>
      </c>
      <c r="H434" s="5">
        <f>IFERROR(__xludf.DUMMYFUNCTION("""COMPUTED_VALUE"""),1.0)</f>
        <v>1</v>
      </c>
      <c r="I434" s="5">
        <v>0.5035108296750845</v>
      </c>
    </row>
    <row r="435">
      <c r="A435" s="5" t="s">
        <v>4495</v>
      </c>
      <c r="B435" s="5" t="s">
        <v>4495</v>
      </c>
      <c r="C435" s="5" t="s">
        <v>4495</v>
      </c>
      <c r="D435" s="5" t="str">
        <f>IFERROR(__xludf.DUMMYFUNCTION("""COMPUTED_VALUE"""),"")</f>
        <v/>
      </c>
      <c r="E435" s="5">
        <f>IFERROR(__xludf.DUMMYFUNCTION("""COMPUTED_VALUE"""),0.0)</f>
        <v>0</v>
      </c>
      <c r="F435" s="5" t="str">
        <f>IFERROR(__xludf.DUMMYFUNCTION("""COMPUTED_VALUE"""),"")</f>
        <v/>
      </c>
      <c r="G435" s="5" t="str">
        <f>IFERROR(__xludf.DUMMYFUNCTION("""COMPUTED_VALUE"""),"")</f>
        <v/>
      </c>
      <c r="H435" s="5">
        <f>IFERROR(__xludf.DUMMYFUNCTION("""COMPUTED_VALUE"""),0.12115616512388203)</f>
        <v>0.1211561651</v>
      </c>
      <c r="I435" s="5">
        <v>0.012115616512388204</v>
      </c>
    </row>
    <row r="436">
      <c r="A436" s="5">
        <v>0.08259700345754899</v>
      </c>
      <c r="B436" s="5" t="s">
        <v>4495</v>
      </c>
      <c r="C436" s="5" t="s">
        <v>4495</v>
      </c>
      <c r="D436" s="5" t="str">
        <f>IFERROR(__xludf.DUMMYFUNCTION("""COMPUTED_VALUE"""),"")</f>
        <v/>
      </c>
      <c r="E436" s="5">
        <f>IFERROR(__xludf.DUMMYFUNCTION("""COMPUTED_VALUE"""),0.43230913174650915)</f>
        <v>0.4323091317</v>
      </c>
      <c r="F436" s="5" t="str">
        <f>IFERROR(__xludf.DUMMYFUNCTION("""COMPUTED_VALUE"""),"")</f>
        <v/>
      </c>
      <c r="G436" s="5">
        <f>IFERROR(__xludf.DUMMYFUNCTION("""COMPUTED_VALUE"""),1.0)</f>
        <v>1</v>
      </c>
      <c r="H436" s="5">
        <f>IFERROR(__xludf.DUMMYFUNCTION("""COMPUTED_VALUE"""),0.44025249672534217)</f>
        <v>0.4402524967</v>
      </c>
      <c r="I436" s="5">
        <v>0.30210253260916153</v>
      </c>
    </row>
    <row r="437">
      <c r="A437" s="5">
        <v>0.09465020576131687</v>
      </c>
      <c r="B437" s="5">
        <v>0.0</v>
      </c>
      <c r="C437" s="5" t="s">
        <v>4495</v>
      </c>
      <c r="D437" s="5" t="str">
        <f>IFERROR(__xludf.DUMMYFUNCTION("""COMPUTED_VALUE"""),"")</f>
        <v/>
      </c>
      <c r="E437" s="5">
        <f>IFERROR(__xludf.DUMMYFUNCTION("""COMPUTED_VALUE"""),0.3768340340141598)</f>
        <v>0.376834034</v>
      </c>
      <c r="F437" s="5">
        <f>IFERROR(__xludf.DUMMYFUNCTION("""COMPUTED_VALUE"""),1.0)</f>
        <v>1</v>
      </c>
      <c r="G437" s="5">
        <f>IFERROR(__xludf.DUMMYFUNCTION("""COMPUTED_VALUE"""),1.0)</f>
        <v>1</v>
      </c>
      <c r="H437" s="5">
        <f>IFERROR(__xludf.DUMMYFUNCTION("""COMPUTED_VALUE"""),0.6606163795575896)</f>
        <v>0.6606163796</v>
      </c>
      <c r="I437" s="5">
        <v>0.5102701464592989</v>
      </c>
    </row>
    <row r="438">
      <c r="A438" s="5" t="s">
        <v>4495</v>
      </c>
      <c r="B438" s="5" t="s">
        <v>4495</v>
      </c>
      <c r="C438" s="5" t="s">
        <v>4495</v>
      </c>
      <c r="D438" s="5" t="str">
        <f>IFERROR(__xludf.DUMMYFUNCTION("""COMPUTED_VALUE"""),"")</f>
        <v/>
      </c>
      <c r="E438" s="5">
        <f>IFERROR(__xludf.DUMMYFUNCTION("""COMPUTED_VALUE"""),0.9548721026215339)</f>
        <v>0.9548721026</v>
      </c>
      <c r="F438" s="5" t="str">
        <f>IFERROR(__xludf.DUMMYFUNCTION("""COMPUTED_VALUE"""),"")</f>
        <v/>
      </c>
      <c r="G438" s="5" t="str">
        <f>IFERROR(__xludf.DUMMYFUNCTION("""COMPUTED_VALUE"""),"")</f>
        <v/>
      </c>
      <c r="H438" s="5">
        <f>IFERROR(__xludf.DUMMYFUNCTION("""COMPUTED_VALUE"""),0.7427283489499527)</f>
        <v>0.7427283489</v>
      </c>
      <c r="I438" s="5">
        <v>0.3129908605503787</v>
      </c>
    </row>
    <row r="439">
      <c r="A439" s="5">
        <v>0.1406570841889117</v>
      </c>
      <c r="B439" s="5">
        <v>1.0</v>
      </c>
      <c r="C439" s="5" t="s">
        <v>4495</v>
      </c>
      <c r="D439" s="5" t="str">
        <f>IFERROR(__xludf.DUMMYFUNCTION("""COMPUTED_VALUE"""),"")</f>
        <v/>
      </c>
      <c r="E439" s="5">
        <f>IFERROR(__xludf.DUMMYFUNCTION("""COMPUTED_VALUE"""),0.40566762681079266)</f>
        <v>0.4056676268</v>
      </c>
      <c r="F439" s="5">
        <f>IFERROR(__xludf.DUMMYFUNCTION("""COMPUTED_VALUE"""),1.0)</f>
        <v>1</v>
      </c>
      <c r="G439" s="5">
        <f>IFERROR(__xludf.DUMMYFUNCTION("""COMPUTED_VALUE"""),1.0)</f>
        <v>1</v>
      </c>
      <c r="H439" s="5">
        <f>IFERROR(__xludf.DUMMYFUNCTION("""COMPUTED_VALUE"""),0.336288352872133)</f>
        <v>0.3362883529</v>
      </c>
      <c r="I439" s="5">
        <v>0.48504574198991146</v>
      </c>
    </row>
    <row r="440">
      <c r="A440" s="5">
        <v>0.09297423887587822</v>
      </c>
      <c r="B440" s="5">
        <v>2.0</v>
      </c>
      <c r="C440" s="5" t="s">
        <v>4495</v>
      </c>
      <c r="D440" s="5" t="str">
        <f>IFERROR(__xludf.DUMMYFUNCTION("""COMPUTED_VALUE"""),"")</f>
        <v/>
      </c>
      <c r="E440" s="5">
        <f>IFERROR(__xludf.DUMMYFUNCTION("""COMPUTED_VALUE"""),0.5992290179313052)</f>
        <v>0.5992290179</v>
      </c>
      <c r="F440" s="5">
        <f>IFERROR(__xludf.DUMMYFUNCTION("""COMPUTED_VALUE"""),1.0)</f>
        <v>1</v>
      </c>
      <c r="G440" s="5">
        <f>IFERROR(__xludf.DUMMYFUNCTION("""COMPUTED_VALUE"""),1.0)</f>
        <v>1</v>
      </c>
      <c r="H440" s="5">
        <f>IFERROR(__xludf.DUMMYFUNCTION("""COMPUTED_VALUE"""),0.8359014236888187)</f>
        <v>0.8359014237</v>
      </c>
      <c r="I440" s="5">
        <v>0.5833973968517082</v>
      </c>
    </row>
    <row r="441">
      <c r="A441" s="5">
        <v>0.05866842452208306</v>
      </c>
      <c r="B441" s="5" t="s">
        <v>4495</v>
      </c>
      <c r="C441" s="5" t="s">
        <v>4495</v>
      </c>
      <c r="D441" s="5" t="str">
        <f>IFERROR(__xludf.DUMMYFUNCTION("""COMPUTED_VALUE"""),"")</f>
        <v/>
      </c>
      <c r="E441" s="5">
        <f>IFERROR(__xludf.DUMMYFUNCTION("""COMPUTED_VALUE"""),0.029589222297267914)</f>
        <v>0.0295892223</v>
      </c>
      <c r="F441" s="5" t="str">
        <f>IFERROR(__xludf.DUMMYFUNCTION("""COMPUTED_VALUE"""),"")</f>
        <v/>
      </c>
      <c r="G441" s="5">
        <f>IFERROR(__xludf.DUMMYFUNCTION("""COMPUTED_VALUE"""),1.0)</f>
        <v>1</v>
      </c>
      <c r="H441" s="5">
        <f>IFERROR(__xludf.DUMMYFUNCTION("""COMPUTED_VALUE"""),0.5719683249718881)</f>
        <v>0.571968325</v>
      </c>
      <c r="I441" s="5">
        <v>0.2145941380715058</v>
      </c>
    </row>
    <row r="442">
      <c r="A442" s="5" t="s">
        <v>4495</v>
      </c>
      <c r="B442" s="5" t="s">
        <v>4495</v>
      </c>
      <c r="C442" s="5" t="s">
        <v>4495</v>
      </c>
      <c r="D442" s="5" t="str">
        <f>IFERROR(__xludf.DUMMYFUNCTION("""COMPUTED_VALUE"""),"")</f>
        <v/>
      </c>
      <c r="E442" s="5">
        <f>IFERROR(__xludf.DUMMYFUNCTION("""COMPUTED_VALUE"""),0.19773288331254052)</f>
        <v>0.1977328833</v>
      </c>
      <c r="F442" s="5" t="str">
        <f>IFERROR(__xludf.DUMMYFUNCTION("""COMPUTED_VALUE"""),"")</f>
        <v/>
      </c>
      <c r="G442" s="5" t="str">
        <f>IFERROR(__xludf.DUMMYFUNCTION("""COMPUTED_VALUE"""),"")</f>
        <v/>
      </c>
      <c r="H442" s="5">
        <f>IFERROR(__xludf.DUMMYFUNCTION("""COMPUTED_VALUE"""),0.37642785751330293)</f>
        <v>0.3764278575</v>
      </c>
      <c r="I442" s="5">
        <v>0.08707600657946543</v>
      </c>
    </row>
    <row r="443">
      <c r="A443" s="5">
        <v>0.16995181778361804</v>
      </c>
      <c r="B443" s="5" t="s">
        <v>4495</v>
      </c>
      <c r="C443" s="5" t="s">
        <v>4495</v>
      </c>
      <c r="D443" s="5" t="str">
        <f>IFERROR(__xludf.DUMMYFUNCTION("""COMPUTED_VALUE"""),"")</f>
        <v/>
      </c>
      <c r="E443" s="5">
        <f>IFERROR(__xludf.DUMMYFUNCTION("""COMPUTED_VALUE"""),0.5288716380402964)</f>
        <v>0.528871638</v>
      </c>
      <c r="F443" s="5" t="str">
        <f>IFERROR(__xludf.DUMMYFUNCTION("""COMPUTED_VALUE"""),"")</f>
        <v/>
      </c>
      <c r="G443" s="5">
        <f>IFERROR(__xludf.DUMMYFUNCTION("""COMPUTED_VALUE"""),1.0)</f>
        <v>1</v>
      </c>
      <c r="H443" s="5">
        <f>IFERROR(__xludf.DUMMYFUNCTION("""COMPUTED_VALUE"""),0.5235660248168494)</f>
        <v>0.5235660248</v>
      </c>
      <c r="I443" s="5">
        <v>0.334574511991759</v>
      </c>
    </row>
    <row r="444">
      <c r="A444" s="5" t="s">
        <v>4495</v>
      </c>
      <c r="B444" s="5" t="s">
        <v>4495</v>
      </c>
      <c r="C444" s="5" t="s">
        <v>4495</v>
      </c>
      <c r="D444" s="5" t="str">
        <f>IFERROR(__xludf.DUMMYFUNCTION("""COMPUTED_VALUE"""),"")</f>
        <v/>
      </c>
      <c r="E444" s="5">
        <f>IFERROR(__xludf.DUMMYFUNCTION("""COMPUTED_VALUE"""),0.7306007127585364)</f>
        <v>0.7306007128</v>
      </c>
      <c r="F444" s="5" t="str">
        <f>IFERROR(__xludf.DUMMYFUNCTION("""COMPUTED_VALUE"""),"")</f>
        <v/>
      </c>
      <c r="G444" s="5" t="str">
        <f>IFERROR(__xludf.DUMMYFUNCTION("""COMPUTED_VALUE"""),"")</f>
        <v/>
      </c>
      <c r="H444" s="5">
        <f>IFERROR(__xludf.DUMMYFUNCTION("""COMPUTED_VALUE"""),0.6809165037794195)</f>
        <v>0.6809165038</v>
      </c>
      <c r="I444" s="5">
        <v>0.25074182856757604</v>
      </c>
    </row>
    <row r="445">
      <c r="A445" s="5">
        <v>0.13821138211382114</v>
      </c>
      <c r="B445" s="5" t="s">
        <v>4495</v>
      </c>
      <c r="C445" s="5" t="s">
        <v>4495</v>
      </c>
      <c r="D445" s="5" t="str">
        <f>IFERROR(__xludf.DUMMYFUNCTION("""COMPUTED_VALUE"""),"")</f>
        <v/>
      </c>
      <c r="E445" s="5">
        <f>IFERROR(__xludf.DUMMYFUNCTION("""COMPUTED_VALUE"""),0.3454150135275693)</f>
        <v>0.3454150135</v>
      </c>
      <c r="F445" s="5" t="str">
        <f>IFERROR(__xludf.DUMMYFUNCTION("""COMPUTED_VALUE"""),"")</f>
        <v/>
      </c>
      <c r="G445" s="5">
        <f>IFERROR(__xludf.DUMMYFUNCTION("""COMPUTED_VALUE"""),1.0)</f>
        <v>1</v>
      </c>
      <c r="H445" s="5">
        <f>IFERROR(__xludf.DUMMYFUNCTION("""COMPUTED_VALUE"""),0.6931244900957695)</f>
        <v>0.6931244901</v>
      </c>
      <c r="I445" s="5">
        <v>0.30566620239146924</v>
      </c>
    </row>
    <row r="446">
      <c r="A446" s="5">
        <v>0.04205946337926034</v>
      </c>
      <c r="B446" s="5">
        <v>0.0</v>
      </c>
      <c r="C446" s="5" t="s">
        <v>4495</v>
      </c>
      <c r="D446" s="5" t="str">
        <f>IFERROR(__xludf.DUMMYFUNCTION("""COMPUTED_VALUE"""),"")</f>
        <v/>
      </c>
      <c r="E446" s="5">
        <f>IFERROR(__xludf.DUMMYFUNCTION("""COMPUTED_VALUE"""),0.5018882402125678)</f>
        <v>0.5018882402</v>
      </c>
      <c r="F446" s="5">
        <f>IFERROR(__xludf.DUMMYFUNCTION("""COMPUTED_VALUE"""),1.0)</f>
        <v>1</v>
      </c>
      <c r="G446" s="5">
        <f>IFERROR(__xludf.DUMMYFUNCTION("""COMPUTED_VALUE"""),1.0)</f>
        <v>1</v>
      </c>
      <c r="H446" s="5">
        <f>IFERROR(__xludf.DUMMYFUNCTION("""COMPUTED_VALUE"""),0.15486583436120666)</f>
        <v>0.1548658344</v>
      </c>
      <c r="I446" s="5">
        <v>0.49095864348926266</v>
      </c>
    </row>
    <row r="447">
      <c r="A447" s="5">
        <v>0.03658254225515165</v>
      </c>
      <c r="B447" s="5" t="s">
        <v>4495</v>
      </c>
      <c r="C447" s="5" t="s">
        <v>4495</v>
      </c>
      <c r="D447" s="5" t="str">
        <f>IFERROR(__xludf.DUMMYFUNCTION("""COMPUTED_VALUE"""),"")</f>
        <v/>
      </c>
      <c r="E447" s="5">
        <f>IFERROR(__xludf.DUMMYFUNCTION("""COMPUTED_VALUE"""),0.22962860153806564)</f>
        <v>0.2296286015</v>
      </c>
      <c r="F447" s="5" t="str">
        <f>IFERROR(__xludf.DUMMYFUNCTION("""COMPUTED_VALUE"""),"")</f>
        <v/>
      </c>
      <c r="G447" s="5">
        <f>IFERROR(__xludf.DUMMYFUNCTION("""COMPUTED_VALUE"""),1.0)</f>
        <v>1</v>
      </c>
      <c r="H447" s="5">
        <f>IFERROR(__xludf.DUMMYFUNCTION("""COMPUTED_VALUE"""),0.3072322783694543)</f>
        <v>0.3072322784</v>
      </c>
      <c r="I447" s="5">
        <v>0.23813037822146182</v>
      </c>
    </row>
    <row r="448">
      <c r="A448" s="5" t="s">
        <v>4495</v>
      </c>
      <c r="B448" s="5" t="s">
        <v>4495</v>
      </c>
      <c r="C448" s="5" t="s">
        <v>4495</v>
      </c>
      <c r="D448" s="5" t="str">
        <f>IFERROR(__xludf.DUMMYFUNCTION("""COMPUTED_VALUE"""),"")</f>
        <v/>
      </c>
      <c r="E448" s="5">
        <f>IFERROR(__xludf.DUMMYFUNCTION("""COMPUTED_VALUE"""),0.7413895988672289)</f>
        <v>0.7413895989</v>
      </c>
      <c r="F448" s="5" t="str">
        <f>IFERROR(__xludf.DUMMYFUNCTION("""COMPUTED_VALUE"""),"")</f>
        <v/>
      </c>
      <c r="G448" s="5" t="str">
        <f>IFERROR(__xludf.DUMMYFUNCTION("""COMPUTED_VALUE"""),"")</f>
        <v/>
      </c>
      <c r="H448" s="5">
        <f>IFERROR(__xludf.DUMMYFUNCTION("""COMPUTED_VALUE"""),0.7386982125651004)</f>
        <v>0.7386982126</v>
      </c>
      <c r="I448" s="5">
        <v>0.25921722097331723</v>
      </c>
    </row>
    <row r="449">
      <c r="A449" s="5">
        <v>0.12956204379562045</v>
      </c>
      <c r="B449" s="5" t="s">
        <v>4495</v>
      </c>
      <c r="C449" s="5" t="s">
        <v>4495</v>
      </c>
      <c r="D449" s="5" t="str">
        <f>IFERROR(__xludf.DUMMYFUNCTION("""COMPUTED_VALUE"""),"")</f>
        <v/>
      </c>
      <c r="E449" s="5">
        <f>IFERROR(__xludf.DUMMYFUNCTION("""COMPUTED_VALUE"""),0.43230913174650915)</f>
        <v>0.4323091317</v>
      </c>
      <c r="F449" s="5" t="str">
        <f>IFERROR(__xludf.DUMMYFUNCTION("""COMPUTED_VALUE"""),"")</f>
        <v/>
      </c>
      <c r="G449" s="5">
        <f>IFERROR(__xludf.DUMMYFUNCTION("""COMPUTED_VALUE"""),1.0)</f>
        <v>1</v>
      </c>
      <c r="H449" s="5">
        <f>IFERROR(__xludf.DUMMYFUNCTION("""COMPUTED_VALUE"""),0.7648647660353476)</f>
        <v>0.764864766</v>
      </c>
      <c r="I449" s="5">
        <v>0.33456375954016204</v>
      </c>
    </row>
    <row r="450">
      <c r="A450" s="5">
        <v>0.1498550724637681</v>
      </c>
      <c r="B450" s="5" t="s">
        <v>4495</v>
      </c>
      <c r="C450" s="5" t="s">
        <v>4495</v>
      </c>
      <c r="D450" s="5" t="str">
        <f>IFERROR(__xludf.DUMMYFUNCTION("""COMPUTED_VALUE"""),"")</f>
        <v/>
      </c>
      <c r="E450" s="5">
        <f>IFERROR(__xludf.DUMMYFUNCTION("""COMPUTED_VALUE"""),0.24455047616844922)</f>
        <v>0.2445504762</v>
      </c>
      <c r="F450" s="5" t="str">
        <f>IFERROR(__xludf.DUMMYFUNCTION("""COMPUTED_VALUE"""),"")</f>
        <v/>
      </c>
      <c r="G450" s="5">
        <f>IFERROR(__xludf.DUMMYFUNCTION("""COMPUTED_VALUE"""),1.0)</f>
        <v>1</v>
      </c>
      <c r="H450" s="5">
        <f>IFERROR(__xludf.DUMMYFUNCTION("""COMPUTED_VALUE"""),0.26784414955359176)</f>
        <v>0.2678441496</v>
      </c>
      <c r="I450" s="5">
        <v>0.2379220339974715</v>
      </c>
    </row>
    <row r="451">
      <c r="A451" s="5">
        <v>0.12823397075365578</v>
      </c>
      <c r="B451" s="5">
        <v>0.0</v>
      </c>
      <c r="C451" s="5" t="s">
        <v>4495</v>
      </c>
      <c r="D451" s="5" t="str">
        <f>IFERROR(__xludf.DUMMYFUNCTION("""COMPUTED_VALUE"""),"")</f>
        <v/>
      </c>
      <c r="E451" s="5">
        <f>IFERROR(__xludf.DUMMYFUNCTION("""COMPUTED_VALUE"""),0.10238989523252559)</f>
        <v>0.1023898952</v>
      </c>
      <c r="F451" s="5">
        <f>IFERROR(__xludf.DUMMYFUNCTION("""COMPUTED_VALUE"""),1.0)</f>
        <v>1</v>
      </c>
      <c r="G451" s="5">
        <f>IFERROR(__xludf.DUMMYFUNCTION("""COMPUTED_VALUE"""),1.0)</f>
        <v>1</v>
      </c>
      <c r="H451" s="5">
        <f>IFERROR(__xludf.DUMMYFUNCTION("""COMPUTED_VALUE"""),0.7989645659521445)</f>
        <v>0.798964566</v>
      </c>
      <c r="I451" s="5">
        <v>0.45549393040334585</v>
      </c>
    </row>
    <row r="452">
      <c r="A452" s="5" t="s">
        <v>4495</v>
      </c>
      <c r="B452" s="5" t="s">
        <v>4495</v>
      </c>
      <c r="C452" s="5" t="s">
        <v>4495</v>
      </c>
      <c r="D452" s="5" t="str">
        <f>IFERROR(__xludf.DUMMYFUNCTION("""COMPUTED_VALUE"""),"")</f>
        <v/>
      </c>
      <c r="E452" s="5">
        <f>IFERROR(__xludf.DUMMYFUNCTION("""COMPUTED_VALUE"""),0.7586645771823989)</f>
        <v>0.7586645772</v>
      </c>
      <c r="F452" s="5" t="str">
        <f>IFERROR(__xludf.DUMMYFUNCTION("""COMPUTED_VALUE"""),"")</f>
        <v/>
      </c>
      <c r="G452" s="5" t="str">
        <f>IFERROR(__xludf.DUMMYFUNCTION("""COMPUTED_VALUE"""),"")</f>
        <v/>
      </c>
      <c r="H452" s="5">
        <f>IFERROR(__xludf.DUMMYFUNCTION("""COMPUTED_VALUE"""),0.4467820234631535)</f>
        <v>0.4467820235</v>
      </c>
      <c r="I452" s="5">
        <v>0.23434434664191506</v>
      </c>
    </row>
    <row r="453">
      <c r="A453" s="5">
        <v>0.17010526315789473</v>
      </c>
      <c r="B453" s="5" t="s">
        <v>4495</v>
      </c>
      <c r="C453" s="5" t="s">
        <v>4495</v>
      </c>
      <c r="D453" s="5" t="str">
        <f>IFERROR(__xludf.DUMMYFUNCTION("""COMPUTED_VALUE"""),"")</f>
        <v/>
      </c>
      <c r="E453" s="5">
        <f>IFERROR(__xludf.DUMMYFUNCTION("""COMPUTED_VALUE"""),0.5992290179313052)</f>
        <v>0.5992290179</v>
      </c>
      <c r="F453" s="5" t="str">
        <f>IFERROR(__xludf.DUMMYFUNCTION("""COMPUTED_VALUE"""),"")</f>
        <v/>
      </c>
      <c r="G453" s="5">
        <f>IFERROR(__xludf.DUMMYFUNCTION("""COMPUTED_VALUE"""),1.0)</f>
        <v>1</v>
      </c>
      <c r="H453" s="5">
        <f>IFERROR(__xludf.DUMMYFUNCTION("""COMPUTED_VALUE"""),0.9386582679908009)</f>
        <v>0.938658268</v>
      </c>
      <c r="I453" s="5">
        <v>0.39367308128190637</v>
      </c>
    </row>
    <row r="454">
      <c r="A454" s="5">
        <v>0.13072658301721624</v>
      </c>
      <c r="B454" s="5">
        <v>0.0</v>
      </c>
      <c r="C454" s="5" t="s">
        <v>4495</v>
      </c>
      <c r="D454" s="5" t="str">
        <f>IFERROR(__xludf.DUMMYFUNCTION("""COMPUTED_VALUE"""),"")</f>
        <v/>
      </c>
      <c r="E454" s="5">
        <f>IFERROR(__xludf.DUMMYFUNCTION("""COMPUTED_VALUE"""),0.21404331870033824)</f>
        <v>0.2140433187</v>
      </c>
      <c r="F454" s="5">
        <f>IFERROR(__xludf.DUMMYFUNCTION("""COMPUTED_VALUE"""),1.0)</f>
        <v>1</v>
      </c>
      <c r="G454" s="5">
        <f>IFERROR(__xludf.DUMMYFUNCTION("""COMPUTED_VALUE"""),1.0)</f>
        <v>1</v>
      </c>
      <c r="H454" s="5">
        <f>IFERROR(__xludf.DUMMYFUNCTION("""COMPUTED_VALUE"""),0.42785092454560963)</f>
        <v>0.4278509245</v>
      </c>
      <c r="I454" s="5">
        <v>0.44629592212964553</v>
      </c>
    </row>
    <row r="455">
      <c r="A455" s="5" t="s">
        <v>4495</v>
      </c>
      <c r="B455" s="5" t="s">
        <v>4495</v>
      </c>
      <c r="C455" s="5" t="s">
        <v>4495</v>
      </c>
      <c r="D455" s="5" t="str">
        <f>IFERROR(__xludf.DUMMYFUNCTION("""COMPUTED_VALUE"""),"")</f>
        <v/>
      </c>
      <c r="E455" s="5">
        <f>IFERROR(__xludf.DUMMYFUNCTION("""COMPUTED_VALUE"""),0.0)</f>
        <v>0</v>
      </c>
      <c r="F455" s="5" t="str">
        <f>IFERROR(__xludf.DUMMYFUNCTION("""COMPUTED_VALUE"""),"")</f>
        <v/>
      </c>
      <c r="G455" s="5" t="str">
        <f>IFERROR(__xludf.DUMMYFUNCTION("""COMPUTED_VALUE"""),"")</f>
        <v/>
      </c>
      <c r="H455" s="5">
        <f>IFERROR(__xludf.DUMMYFUNCTION("""COMPUTED_VALUE"""),0.9602602357171964)</f>
        <v>0.9602602357</v>
      </c>
      <c r="I455" s="5">
        <v>0.09602602357171965</v>
      </c>
    </row>
    <row r="456">
      <c r="A456" s="5">
        <v>0.04447814000505433</v>
      </c>
      <c r="B456" s="5" t="s">
        <v>4495</v>
      </c>
      <c r="C456" s="5" t="s">
        <v>4495</v>
      </c>
      <c r="D456" s="5" t="str">
        <f>IFERROR(__xludf.DUMMYFUNCTION("""COMPUTED_VALUE"""),"")</f>
        <v/>
      </c>
      <c r="E456" s="5">
        <f>IFERROR(__xludf.DUMMYFUNCTION("""COMPUTED_VALUE"""),0.18062650857502485)</f>
        <v>0.1806265086</v>
      </c>
      <c r="F456" s="5" t="str">
        <f>IFERROR(__xludf.DUMMYFUNCTION("""COMPUTED_VALUE"""),"")</f>
        <v/>
      </c>
      <c r="G456" s="5">
        <f>IFERROR(__xludf.DUMMYFUNCTION("""COMPUTED_VALUE"""),1.0)</f>
        <v>1</v>
      </c>
      <c r="H456" s="5">
        <f>IFERROR(__xludf.DUMMYFUNCTION("""COMPUTED_VALUE"""),0.0)</f>
        <v>0</v>
      </c>
      <c r="I456" s="5">
        <v>0.1951566271437562</v>
      </c>
    </row>
    <row r="457">
      <c r="A457" s="5">
        <v>0.13871866295264623</v>
      </c>
      <c r="B457" s="5" t="s">
        <v>4495</v>
      </c>
      <c r="C457" s="5" t="s">
        <v>4495</v>
      </c>
      <c r="D457" s="5" t="str">
        <f>IFERROR(__xludf.DUMMYFUNCTION("""COMPUTED_VALUE"""),"")</f>
        <v/>
      </c>
      <c r="E457" s="5">
        <f>IFERROR(__xludf.DUMMYFUNCTION("""COMPUTED_VALUE"""),0.6045014651516367)</f>
        <v>0.6045014652</v>
      </c>
      <c r="F457" s="5" t="str">
        <f>IFERROR(__xludf.DUMMYFUNCTION("""COMPUTED_VALUE"""),"")</f>
        <v/>
      </c>
      <c r="G457" s="5">
        <f>IFERROR(__xludf.DUMMYFUNCTION("""COMPUTED_VALUE"""),1.0)</f>
        <v>1</v>
      </c>
      <c r="H457" s="5">
        <f>IFERROR(__xludf.DUMMYFUNCTION("""COMPUTED_VALUE"""),0.9406685154275308)</f>
        <v>0.9406685154</v>
      </c>
      <c r="I457" s="5">
        <v>0.3951922178306623</v>
      </c>
    </row>
    <row r="458">
      <c r="A458" s="5">
        <v>0.07525510204081633</v>
      </c>
      <c r="B458" s="5">
        <v>0.0</v>
      </c>
      <c r="C458" s="5" t="s">
        <v>4495</v>
      </c>
      <c r="D458" s="5" t="str">
        <f>IFERROR(__xludf.DUMMYFUNCTION("""COMPUTED_VALUE"""),"")</f>
        <v/>
      </c>
      <c r="E458" s="5">
        <f>IFERROR(__xludf.DUMMYFUNCTION("""COMPUTED_VALUE"""),0.6837831199026277)</f>
        <v>0.6837831199</v>
      </c>
      <c r="F458" s="5">
        <f>IFERROR(__xludf.DUMMYFUNCTION("""COMPUTED_VALUE"""),1.0)</f>
        <v>1</v>
      </c>
      <c r="G458" s="5">
        <f>IFERROR(__xludf.DUMMYFUNCTION("""COMPUTED_VALUE"""),1.0)</f>
        <v>1</v>
      </c>
      <c r="H458" s="5">
        <f>IFERROR(__xludf.DUMMYFUNCTION("""COMPUTED_VALUE"""),0.3481524061041382)</f>
        <v>0.3481524061</v>
      </c>
      <c r="I458" s="5">
        <v>0.5557610205860708</v>
      </c>
    </row>
    <row r="459">
      <c r="A459" s="5">
        <v>0.07876712328767123</v>
      </c>
      <c r="B459" s="5" t="s">
        <v>4495</v>
      </c>
      <c r="C459" s="5" t="s">
        <v>4495</v>
      </c>
      <c r="D459" s="5" t="str">
        <f>IFERROR(__xludf.DUMMYFUNCTION("""COMPUTED_VALUE"""),"")</f>
        <v/>
      </c>
      <c r="E459" s="5">
        <f>IFERROR(__xludf.DUMMYFUNCTION("""COMPUTED_VALUE"""),0.7232191531066832)</f>
        <v>0.7232191531</v>
      </c>
      <c r="F459" s="5" t="str">
        <f>IFERROR(__xludf.DUMMYFUNCTION("""COMPUTED_VALUE"""),"")</f>
        <v/>
      </c>
      <c r="G459" s="5">
        <f>IFERROR(__xludf.DUMMYFUNCTION("""COMPUTED_VALUE"""),1.0)</f>
        <v>1</v>
      </c>
      <c r="H459" s="5">
        <f>IFERROR(__xludf.DUMMYFUNCTION("""COMPUTED_VALUE"""),0.7386982125651004)</f>
        <v>0.7386982126</v>
      </c>
      <c r="I459" s="5">
        <v>0.40467460953318085</v>
      </c>
    </row>
    <row r="460">
      <c r="A460" s="5">
        <v>0.08239700374531835</v>
      </c>
      <c r="B460" s="5">
        <v>0.0</v>
      </c>
      <c r="C460" s="5" t="s">
        <v>4495</v>
      </c>
      <c r="D460" s="5" t="str">
        <f>IFERROR(__xludf.DUMMYFUNCTION("""COMPUTED_VALUE"""),"")</f>
        <v/>
      </c>
      <c r="E460" s="5">
        <f>IFERROR(__xludf.DUMMYFUNCTION("""COMPUTED_VALUE"""),0.3963174424868398)</f>
        <v>0.3963174425</v>
      </c>
      <c r="F460" s="5">
        <f>IFERROR(__xludf.DUMMYFUNCTION("""COMPUTED_VALUE"""),1.0)</f>
        <v>1</v>
      </c>
      <c r="G460" s="5">
        <f>IFERROR(__xludf.DUMMYFUNCTION("""COMPUTED_VALUE"""),1.0)</f>
        <v>1</v>
      </c>
      <c r="H460" s="5">
        <f>IFERROR(__xludf.DUMMYFUNCTION("""COMPUTED_VALUE"""),0.08451166841135611)</f>
        <v>0.08451166841</v>
      </c>
      <c r="I460" s="5">
        <v>0.45753052746284556</v>
      </c>
    </row>
    <row r="461">
      <c r="A461" s="5">
        <v>0.24511930585683298</v>
      </c>
      <c r="B461" s="5">
        <v>1.0</v>
      </c>
      <c r="C461" s="5" t="s">
        <v>4495</v>
      </c>
      <c r="D461" s="5" t="str">
        <f>IFERROR(__xludf.DUMMYFUNCTION("""COMPUTED_VALUE"""),"")</f>
        <v/>
      </c>
      <c r="E461" s="5">
        <f>IFERROR(__xludf.DUMMYFUNCTION("""COMPUTED_VALUE"""),0.6920331742590979)</f>
        <v>0.6920331743</v>
      </c>
      <c r="F461" s="5">
        <f>IFERROR(__xludf.DUMMYFUNCTION("""COMPUTED_VALUE"""),1.0)</f>
        <v>1</v>
      </c>
      <c r="G461" s="5">
        <f>IFERROR(__xludf.DUMMYFUNCTION("""COMPUTED_VALUE"""),1.0)</f>
        <v>1</v>
      </c>
      <c r="H461" s="5">
        <f>IFERROR(__xludf.DUMMYFUNCTION("""COMPUTED_VALUE"""),0.2851777087312837)</f>
        <v>0.2851777087</v>
      </c>
      <c r="I461" s="5">
        <v>0.5515260644379029</v>
      </c>
    </row>
    <row r="462">
      <c r="A462" s="5">
        <v>0.04221748400852878</v>
      </c>
      <c r="B462" s="5" t="s">
        <v>4495</v>
      </c>
      <c r="C462" s="5" t="s">
        <v>4495</v>
      </c>
      <c r="D462" s="5" t="str">
        <f>IFERROR(__xludf.DUMMYFUNCTION("""COMPUTED_VALUE"""),"")</f>
        <v/>
      </c>
      <c r="E462" s="5">
        <f>IFERROR(__xludf.DUMMYFUNCTION("""COMPUTED_VALUE"""),0.6837831199026277)</f>
        <v>0.6837831199</v>
      </c>
      <c r="F462" s="5" t="str">
        <f>IFERROR(__xludf.DUMMYFUNCTION("""COMPUTED_VALUE"""),"")</f>
        <v/>
      </c>
      <c r="G462" s="5">
        <f>IFERROR(__xludf.DUMMYFUNCTION("""COMPUTED_VALUE"""),1.0)</f>
        <v>1</v>
      </c>
      <c r="H462" s="5">
        <f>IFERROR(__xludf.DUMMYFUNCTION("""COMPUTED_VALUE"""),0.5896413811759237)</f>
        <v>0.5896413812</v>
      </c>
      <c r="I462" s="5">
        <v>0.3799099180932493</v>
      </c>
    </row>
    <row r="463">
      <c r="A463" s="5">
        <v>0.0575492341356674</v>
      </c>
      <c r="B463" s="5" t="s">
        <v>4495</v>
      </c>
      <c r="C463" s="5" t="s">
        <v>4495</v>
      </c>
      <c r="D463" s="5" t="str">
        <f>IFERROR(__xludf.DUMMYFUNCTION("""COMPUTED_VALUE"""),"")</f>
        <v/>
      </c>
      <c r="E463" s="5">
        <f>IFERROR(__xludf.DUMMYFUNCTION("""COMPUTED_VALUE"""),0.7413895988672289)</f>
        <v>0.7413895989</v>
      </c>
      <c r="F463" s="5" t="str">
        <f>IFERROR(__xludf.DUMMYFUNCTION("""COMPUTED_VALUE"""),"")</f>
        <v/>
      </c>
      <c r="G463" s="5">
        <f>IFERROR(__xludf.DUMMYFUNCTION("""COMPUTED_VALUE"""),1.0)</f>
        <v>1</v>
      </c>
      <c r="H463" s="5">
        <f>IFERROR(__xludf.DUMMYFUNCTION("""COMPUTED_VALUE"""),0.606602574247684)</f>
        <v>0.6066025742</v>
      </c>
      <c r="I463" s="5">
        <v>0.3960076571415756</v>
      </c>
    </row>
    <row r="464">
      <c r="A464" s="5">
        <v>0.07377557346559206</v>
      </c>
      <c r="B464" s="5" t="s">
        <v>4495</v>
      </c>
      <c r="C464" s="5" t="s">
        <v>4495</v>
      </c>
      <c r="D464" s="5" t="str">
        <f>IFERROR(__xludf.DUMMYFUNCTION("""COMPUTED_VALUE"""),"")</f>
        <v/>
      </c>
      <c r="E464" s="5">
        <f>IFERROR(__xludf.DUMMYFUNCTION("""COMPUTED_VALUE"""),0.21404331870033824)</f>
        <v>0.2140433187</v>
      </c>
      <c r="F464" s="5" t="str">
        <f>IFERROR(__xludf.DUMMYFUNCTION("""COMPUTED_VALUE"""),"")</f>
        <v/>
      </c>
      <c r="G464" s="5">
        <f>IFERROR(__xludf.DUMMYFUNCTION("""COMPUTED_VALUE"""),1.0)</f>
        <v>1</v>
      </c>
      <c r="H464" s="5">
        <f>IFERROR(__xludf.DUMMYFUNCTION("""COMPUTED_VALUE"""),0.26784414955359176)</f>
        <v>0.2678441496</v>
      </c>
      <c r="I464" s="5">
        <v>0.23029524463044374</v>
      </c>
    </row>
    <row r="465">
      <c r="A465" s="5">
        <v>0.17125984251968504</v>
      </c>
      <c r="B465" s="5">
        <v>0.0</v>
      </c>
      <c r="C465" s="5" t="s">
        <v>4495</v>
      </c>
      <c r="D465" s="5" t="str">
        <f>IFERROR(__xludf.DUMMYFUNCTION("""COMPUTED_VALUE"""),"")</f>
        <v/>
      </c>
      <c r="E465" s="5">
        <f>IFERROR(__xludf.DUMMYFUNCTION("""COMPUTED_VALUE"""),0.21404331870033824)</f>
        <v>0.2140433187</v>
      </c>
      <c r="F465" s="5">
        <f>IFERROR(__xludf.DUMMYFUNCTION("""COMPUTED_VALUE"""),1.0)</f>
        <v>1</v>
      </c>
      <c r="G465" s="5">
        <f>IFERROR(__xludf.DUMMYFUNCTION("""COMPUTED_VALUE"""),1.0)</f>
        <v>1</v>
      </c>
      <c r="H465" s="5">
        <f>IFERROR(__xludf.DUMMYFUNCTION("""COMPUTED_VALUE"""),0.3568361372236371)</f>
        <v>0.3568361372</v>
      </c>
      <c r="I465" s="5">
        <v>0.4391944433974483</v>
      </c>
    </row>
    <row r="466">
      <c r="A466" s="5" t="s">
        <v>4495</v>
      </c>
      <c r="B466" s="5" t="s">
        <v>4495</v>
      </c>
      <c r="C466" s="5" t="s">
        <v>4495</v>
      </c>
      <c r="D466" s="5" t="str">
        <f>IFERROR(__xludf.DUMMYFUNCTION("""COMPUTED_VALUE"""),"")</f>
        <v/>
      </c>
      <c r="E466" s="5">
        <f>IFERROR(__xludf.DUMMYFUNCTION("""COMPUTED_VALUE"""),0.19773288331254052)</f>
        <v>0.1977328833</v>
      </c>
      <c r="F466" s="5" t="str">
        <f>IFERROR(__xludf.DUMMYFUNCTION("""COMPUTED_VALUE"""),"")</f>
        <v/>
      </c>
      <c r="G466" s="5" t="str">
        <f>IFERROR(__xludf.DUMMYFUNCTION("""COMPUTED_VALUE"""),"")</f>
        <v/>
      </c>
      <c r="H466" s="5">
        <f>IFERROR(__xludf.DUMMYFUNCTION("""COMPUTED_VALUE"""),0.4467820234631535)</f>
        <v>0.4467820235</v>
      </c>
      <c r="I466" s="5">
        <v>0.09411142317445048</v>
      </c>
    </row>
    <row r="467">
      <c r="A467" s="5">
        <v>0.11550151975683891</v>
      </c>
      <c r="B467" s="5" t="s">
        <v>4495</v>
      </c>
      <c r="C467" s="5" t="s">
        <v>4495</v>
      </c>
      <c r="D467" s="5" t="str">
        <f>IFERROR(__xludf.DUMMYFUNCTION("""COMPUTED_VALUE"""),"")</f>
        <v/>
      </c>
      <c r="E467" s="5">
        <f>IFERROR(__xludf.DUMMYFUNCTION("""COMPUTED_VALUE"""),0.8369011905248982)</f>
        <v>0.8369011905</v>
      </c>
      <c r="F467" s="5" t="str">
        <f>IFERROR(__xludf.DUMMYFUNCTION("""COMPUTED_VALUE"""),"")</f>
        <v/>
      </c>
      <c r="G467" s="5">
        <f>IFERROR(__xludf.DUMMYFUNCTION("""COMPUTED_VALUE"""),1.0)</f>
        <v>1</v>
      </c>
      <c r="H467" s="5">
        <f>IFERROR(__xludf.DUMMYFUNCTION("""COMPUTED_VALUE"""),0.7221805645984484)</f>
        <v>0.7221805646</v>
      </c>
      <c r="I467" s="5">
        <v>0.43144335409106943</v>
      </c>
    </row>
    <row r="468">
      <c r="A468" s="5">
        <v>0.08966565349544073</v>
      </c>
      <c r="B468" s="5" t="s">
        <v>4495</v>
      </c>
      <c r="C468" s="5" t="s">
        <v>4495</v>
      </c>
      <c r="D468" s="5" t="str">
        <f>IFERROR(__xludf.DUMMYFUNCTION("""COMPUTED_VALUE"""),"")</f>
        <v/>
      </c>
      <c r="E468" s="5">
        <f>IFERROR(__xludf.DUMMYFUNCTION("""COMPUTED_VALUE"""),0.47265371983310933)</f>
        <v>0.4726537198</v>
      </c>
      <c r="F468" s="5" t="str">
        <f>IFERROR(__xludf.DUMMYFUNCTION("""COMPUTED_VALUE"""),"")</f>
        <v/>
      </c>
      <c r="G468" s="5">
        <f>IFERROR(__xludf.DUMMYFUNCTION("""COMPUTED_VALUE"""),1.0)</f>
        <v>1</v>
      </c>
      <c r="H468" s="5">
        <f>IFERROR(__xludf.DUMMYFUNCTION("""COMPUTED_VALUE"""),0.2595043515184367)</f>
        <v>0.2595043515</v>
      </c>
      <c r="I468" s="5">
        <v>0.29411386511012105</v>
      </c>
    </row>
    <row r="469">
      <c r="A469" s="5">
        <v>0.10880503144654088</v>
      </c>
      <c r="B469" s="5">
        <v>0.0</v>
      </c>
      <c r="C469" s="5" t="s">
        <v>4495</v>
      </c>
      <c r="D469" s="5" t="str">
        <f>IFERROR(__xludf.DUMMYFUNCTION("""COMPUTED_VALUE"""),"")</f>
        <v/>
      </c>
      <c r="E469" s="5">
        <f>IFERROR(__xludf.DUMMYFUNCTION("""COMPUTED_VALUE"""),0.5156394588873553)</f>
        <v>0.5156394589</v>
      </c>
      <c r="F469" s="5">
        <f>IFERROR(__xludf.DUMMYFUNCTION("""COMPUTED_VALUE"""),1.0)</f>
        <v>1</v>
      </c>
      <c r="G469" s="5">
        <f>IFERROR(__xludf.DUMMYFUNCTION("""COMPUTED_VALUE"""),1.0)</f>
        <v>1</v>
      </c>
      <c r="H469" s="5">
        <f>IFERROR(__xludf.DUMMYFUNCTION("""COMPUTED_VALUE"""),0.9998192495174985)</f>
        <v>0.9998192495</v>
      </c>
      <c r="I469" s="5">
        <v>0.5788917896735887</v>
      </c>
    </row>
    <row r="470">
      <c r="A470" s="5">
        <v>0.04640250260688217</v>
      </c>
      <c r="B470" s="5" t="s">
        <v>4495</v>
      </c>
      <c r="C470" s="5" t="s">
        <v>4495</v>
      </c>
      <c r="D470" s="5" t="str">
        <f>IFERROR(__xludf.DUMMYFUNCTION("""COMPUTED_VALUE"""),"")</f>
        <v/>
      </c>
      <c r="E470" s="5">
        <f>IFERROR(__xludf.DUMMYFUNCTION("""COMPUTED_VALUE"""),0.21404331870033824)</f>
        <v>0.2140433187</v>
      </c>
      <c r="F470" s="5" t="str">
        <f>IFERROR(__xludf.DUMMYFUNCTION("""COMPUTED_VALUE"""),"")</f>
        <v/>
      </c>
      <c r="G470" s="5">
        <f>IFERROR(__xludf.DUMMYFUNCTION("""COMPUTED_VALUE"""),1.0)</f>
        <v>1</v>
      </c>
      <c r="H470" s="5">
        <f>IFERROR(__xludf.DUMMYFUNCTION("""COMPUTED_VALUE"""),0.4302643754965017)</f>
        <v>0.4302643755</v>
      </c>
      <c r="I470" s="5">
        <v>0.24653726722473474</v>
      </c>
    </row>
    <row r="471">
      <c r="A471" s="5">
        <v>0.09122704750801515</v>
      </c>
      <c r="B471" s="5">
        <v>0.0</v>
      </c>
      <c r="C471" s="5" t="s">
        <v>4495</v>
      </c>
      <c r="D471" s="5" t="str">
        <f>IFERROR(__xludf.DUMMYFUNCTION("""COMPUTED_VALUE"""),"")</f>
        <v/>
      </c>
      <c r="E471" s="5">
        <f>IFERROR(__xludf.DUMMYFUNCTION("""COMPUTED_VALUE"""),0.5088312618047772)</f>
        <v>0.5088312618</v>
      </c>
      <c r="F471" s="5">
        <f>IFERROR(__xludf.DUMMYFUNCTION("""COMPUTED_VALUE"""),1.0)</f>
        <v>1</v>
      </c>
      <c r="G471" s="5">
        <f>IFERROR(__xludf.DUMMYFUNCTION("""COMPUTED_VALUE"""),1.0)</f>
        <v>1</v>
      </c>
      <c r="H471" s="5">
        <f>IFERROR(__xludf.DUMMYFUNCTION("""COMPUTED_VALUE"""),0.8834762343634998)</f>
        <v>0.8834762344</v>
      </c>
      <c r="I471" s="5">
        <v>0.5655554388875442</v>
      </c>
    </row>
    <row r="472">
      <c r="A472" s="5">
        <v>0.03528696004867167</v>
      </c>
      <c r="B472" s="5">
        <v>0.0</v>
      </c>
      <c r="C472" s="5" t="s">
        <v>4495</v>
      </c>
      <c r="D472" s="5" t="str">
        <f>IFERROR(__xludf.DUMMYFUNCTION("""COMPUTED_VALUE"""),"")</f>
        <v/>
      </c>
      <c r="E472" s="5">
        <f>IFERROR(__xludf.DUMMYFUNCTION("""COMPUTED_VALUE"""),0.3867110571043727)</f>
        <v>0.3867110571</v>
      </c>
      <c r="F472" s="5">
        <f>IFERROR(__xludf.DUMMYFUNCTION("""COMPUTED_VALUE"""),1.0)</f>
        <v>1</v>
      </c>
      <c r="G472" s="5">
        <f>IFERROR(__xludf.DUMMYFUNCTION("""COMPUTED_VALUE"""),1.0)</f>
        <v>1</v>
      </c>
      <c r="H472" s="5">
        <f>IFERROR(__xludf.DUMMYFUNCTION("""COMPUTED_VALUE"""),1.0)</f>
        <v>1</v>
      </c>
      <c r="I472" s="5">
        <v>0.5466777642760932</v>
      </c>
    </row>
    <row r="473">
      <c r="A473" s="5">
        <v>0.06830031282586027</v>
      </c>
      <c r="B473" s="5" t="s">
        <v>4495</v>
      </c>
      <c r="C473" s="5" t="s">
        <v>4495</v>
      </c>
      <c r="D473" s="5" t="str">
        <f>IFERROR(__xludf.DUMMYFUNCTION("""COMPUTED_VALUE"""),"")</f>
        <v/>
      </c>
      <c r="E473" s="5">
        <f>IFERROR(__xludf.DUMMYFUNCTION("""COMPUTED_VALUE"""),0.4570684369953818)</f>
        <v>0.457068437</v>
      </c>
      <c r="F473" s="5" t="str">
        <f>IFERROR(__xludf.DUMMYFUNCTION("""COMPUTED_VALUE"""),"")</f>
        <v/>
      </c>
      <c r="G473" s="5">
        <f>IFERROR(__xludf.DUMMYFUNCTION("""COMPUTED_VALUE"""),1.0)</f>
        <v>1</v>
      </c>
      <c r="H473" s="5">
        <f>IFERROR(__xludf.DUMMYFUNCTION("""COMPUTED_VALUE"""),1.0)</f>
        <v>1</v>
      </c>
      <c r="I473" s="5">
        <v>0.3642671092488454</v>
      </c>
    </row>
    <row r="474">
      <c r="A474" s="5">
        <v>0.14399624765478425</v>
      </c>
      <c r="B474" s="5">
        <v>0.0</v>
      </c>
      <c r="C474" s="5" t="s">
        <v>4495</v>
      </c>
      <c r="D474" s="5" t="str">
        <f>IFERROR(__xludf.DUMMYFUNCTION("""COMPUTED_VALUE"""),"")</f>
        <v/>
      </c>
      <c r="E474" s="5">
        <f>IFERROR(__xludf.DUMMYFUNCTION("""COMPUTED_VALUE"""),0.6393425607818837)</f>
        <v>0.6393425608</v>
      </c>
      <c r="F474" s="5">
        <f>IFERROR(__xludf.DUMMYFUNCTION("""COMPUTED_VALUE"""),1.0)</f>
        <v>1</v>
      </c>
      <c r="G474" s="5">
        <f>IFERROR(__xludf.DUMMYFUNCTION("""COMPUTED_VALUE"""),1.0)</f>
        <v>1</v>
      </c>
      <c r="H474" s="5">
        <f>IFERROR(__xludf.DUMMYFUNCTION("""COMPUTED_VALUE"""),0.7773625982257488)</f>
        <v>0.7773625982</v>
      </c>
      <c r="I474" s="5">
        <v>0.5875719000180458</v>
      </c>
    </row>
    <row r="475">
      <c r="A475" s="5">
        <v>0.09090909090909091</v>
      </c>
      <c r="B475" s="5">
        <v>1.0</v>
      </c>
      <c r="C475" s="5" t="s">
        <v>4495</v>
      </c>
      <c r="D475" s="5" t="str">
        <f>IFERROR(__xludf.DUMMYFUNCTION("""COMPUTED_VALUE"""),"")</f>
        <v/>
      </c>
      <c r="E475" s="5">
        <f>IFERROR(__xludf.DUMMYFUNCTION("""COMPUTED_VALUE"""),1.0)</f>
        <v>1</v>
      </c>
      <c r="F475" s="5">
        <f>IFERROR(__xludf.DUMMYFUNCTION("""COMPUTED_VALUE"""),1.0)</f>
        <v>1</v>
      </c>
      <c r="G475" s="5">
        <f>IFERROR(__xludf.DUMMYFUNCTION("""COMPUTED_VALUE"""),1.0)</f>
        <v>1</v>
      </c>
      <c r="H475" s="5">
        <f>IFERROR(__xludf.DUMMYFUNCTION("""COMPUTED_VALUE"""),0.8082208954445161)</f>
        <v>0.8082208954</v>
      </c>
      <c r="I475" s="5">
        <v>0.6808220895444516</v>
      </c>
    </row>
    <row r="476">
      <c r="A476" s="5" t="s">
        <v>4495</v>
      </c>
      <c r="B476" s="5" t="s">
        <v>4495</v>
      </c>
      <c r="C476" s="5" t="s">
        <v>4495</v>
      </c>
      <c r="D476" s="5" t="str">
        <f>IFERROR(__xludf.DUMMYFUNCTION("""COMPUTED_VALUE"""),"")</f>
        <v/>
      </c>
      <c r="E476" s="5">
        <f>IFERROR(__xludf.DUMMYFUNCTION("""COMPUTED_VALUE"""),0.3768340340141598)</f>
        <v>0.376834034</v>
      </c>
      <c r="F476" s="5" t="str">
        <f>IFERROR(__xludf.DUMMYFUNCTION("""COMPUTED_VALUE"""),"")</f>
        <v/>
      </c>
      <c r="G476" s="5" t="str">
        <f>IFERROR(__xludf.DUMMYFUNCTION("""COMPUTED_VALUE"""),"")</f>
        <v/>
      </c>
      <c r="H476" s="5">
        <f>IFERROR(__xludf.DUMMYFUNCTION("""COMPUTED_VALUE"""),0.5289310150557403)</f>
        <v>0.5289310151</v>
      </c>
      <c r="I476" s="5">
        <v>0.14710161000911398</v>
      </c>
    </row>
    <row r="477">
      <c r="A477" s="5">
        <v>0.05559232296492389</v>
      </c>
      <c r="B477" s="5">
        <v>0.0</v>
      </c>
      <c r="C477" s="5" t="s">
        <v>4495</v>
      </c>
      <c r="D477" s="5" t="str">
        <f>IFERROR(__xludf.DUMMYFUNCTION("""COMPUTED_VALUE"""),"")</f>
        <v/>
      </c>
      <c r="E477" s="5">
        <f>IFERROR(__xludf.DUMMYFUNCTION("""COMPUTED_VALUE"""),0.6440488211484913)</f>
        <v>0.6440488211</v>
      </c>
      <c r="F477" s="5">
        <f>IFERROR(__xludf.DUMMYFUNCTION("""COMPUTED_VALUE"""),1.0)</f>
        <v>1</v>
      </c>
      <c r="G477" s="5">
        <f>IFERROR(__xludf.DUMMYFUNCTION("""COMPUTED_VALUE"""),1.0)</f>
        <v>1</v>
      </c>
      <c r="H477" s="5">
        <f>IFERROR(__xludf.DUMMYFUNCTION("""COMPUTED_VALUE"""),0.6931244900957695)</f>
        <v>0.6931244901</v>
      </c>
      <c r="I477" s="5">
        <v>0.5803246542966998</v>
      </c>
    </row>
    <row r="478">
      <c r="A478" s="5">
        <v>0.05558482613277134</v>
      </c>
      <c r="B478" s="5" t="s">
        <v>4495</v>
      </c>
      <c r="C478" s="5" t="s">
        <v>4495</v>
      </c>
      <c r="D478" s="5" t="str">
        <f>IFERROR(__xludf.DUMMYFUNCTION("""COMPUTED_VALUE"""),"")</f>
        <v/>
      </c>
      <c r="E478" s="5">
        <f>IFERROR(__xludf.DUMMYFUNCTION("""COMPUTED_VALUE"""),0.14368593880932898)</f>
        <v>0.1436859388</v>
      </c>
      <c r="F478" s="5" t="str">
        <f>IFERROR(__xludf.DUMMYFUNCTION("""COMPUTED_VALUE"""),"")</f>
        <v/>
      </c>
      <c r="G478" s="5">
        <f>IFERROR(__xludf.DUMMYFUNCTION("""COMPUTED_VALUE"""),1.0)</f>
        <v>1</v>
      </c>
      <c r="H478" s="5">
        <f>IFERROR(__xludf.DUMMYFUNCTION("""COMPUTED_VALUE"""),0.42175608534532755)</f>
        <v>0.4217560853</v>
      </c>
      <c r="I478" s="5">
        <v>0.228097093236865</v>
      </c>
    </row>
    <row r="479">
      <c r="A479" s="5">
        <v>0.05106689043394869</v>
      </c>
      <c r="B479" s="5" t="s">
        <v>4495</v>
      </c>
      <c r="C479" s="5" t="s">
        <v>4495</v>
      </c>
      <c r="D479" s="5" t="str">
        <f>IFERROR(__xludf.DUMMYFUNCTION("""COMPUTED_VALUE"""),"")</f>
        <v/>
      </c>
      <c r="E479" s="5">
        <f>IFERROR(__xludf.DUMMYFUNCTION("""COMPUTED_VALUE"""),0.3867110571043727)</f>
        <v>0.3867110571</v>
      </c>
      <c r="F479" s="5" t="str">
        <f>IFERROR(__xludf.DUMMYFUNCTION("""COMPUTED_VALUE"""),"")</f>
        <v/>
      </c>
      <c r="G479" s="5">
        <f>IFERROR(__xludf.DUMMYFUNCTION("""COMPUTED_VALUE"""),1.0)</f>
        <v>1</v>
      </c>
      <c r="H479" s="5">
        <f>IFERROR(__xludf.DUMMYFUNCTION("""COMPUTED_VALUE"""),0.7989645659521445)</f>
        <v>0.798964566</v>
      </c>
      <c r="I479" s="5">
        <v>0.3265742208713076</v>
      </c>
    </row>
    <row r="480">
      <c r="A480" s="5">
        <v>0.0594059405940594</v>
      </c>
      <c r="B480" s="5">
        <v>0.0</v>
      </c>
      <c r="C480" s="5" t="s">
        <v>4495</v>
      </c>
      <c r="D480" s="5" t="str">
        <f>IFERROR(__xludf.DUMMYFUNCTION("""COMPUTED_VALUE"""),"")</f>
        <v/>
      </c>
      <c r="E480" s="5">
        <f>IFERROR(__xludf.DUMMYFUNCTION("""COMPUTED_VALUE"""),0.7378300644058394)</f>
        <v>0.7378300644</v>
      </c>
      <c r="F480" s="5">
        <f>IFERROR(__xludf.DUMMYFUNCTION("""COMPUTED_VALUE"""),1.0)</f>
        <v>1</v>
      </c>
      <c r="G480" s="5">
        <f>IFERROR(__xludf.DUMMYFUNCTION("""COMPUTED_VALUE"""),1.0)</f>
        <v>1</v>
      </c>
      <c r="H480" s="5">
        <f>IFERROR(__xludf.DUMMYFUNCTION("""COMPUTED_VALUE"""),0.7634125368778296)</f>
        <v>0.7634125369</v>
      </c>
      <c r="I480" s="5">
        <v>0.6107987697892429</v>
      </c>
    </row>
    <row r="481">
      <c r="A481" s="5">
        <v>0.0970873786407767</v>
      </c>
      <c r="B481" s="5">
        <v>0.0</v>
      </c>
      <c r="C481" s="5" t="s">
        <v>4495</v>
      </c>
      <c r="D481" s="5" t="str">
        <f>IFERROR(__xludf.DUMMYFUNCTION("""COMPUTED_VALUE"""),"")</f>
        <v/>
      </c>
      <c r="E481" s="5">
        <f>IFERROR(__xludf.DUMMYFUNCTION("""COMPUTED_VALUE"""),0.5716075650904038)</f>
        <v>0.5716075651</v>
      </c>
      <c r="F481" s="5">
        <f>IFERROR(__xludf.DUMMYFUNCTION("""COMPUTED_VALUE"""),1.0)</f>
        <v>1</v>
      </c>
      <c r="G481" s="5">
        <f>IFERROR(__xludf.DUMMYFUNCTION("""COMPUTED_VALUE"""),1.0)</f>
        <v>1</v>
      </c>
      <c r="H481" s="5">
        <f>IFERROR(__xludf.DUMMYFUNCTION("""COMPUTED_VALUE"""),0.7354461034445195)</f>
        <v>0.7354461034</v>
      </c>
      <c r="I481" s="5">
        <v>0.5664465016170529</v>
      </c>
    </row>
    <row r="482">
      <c r="A482" s="5">
        <v>0.060225846925972396</v>
      </c>
      <c r="B482" s="5">
        <v>0.0</v>
      </c>
      <c r="C482" s="5" t="s">
        <v>4495</v>
      </c>
      <c r="D482" s="5" t="str">
        <f>IFERROR(__xludf.DUMMYFUNCTION("""COMPUTED_VALUE"""),"")</f>
        <v/>
      </c>
      <c r="E482" s="5">
        <f>IFERROR(__xludf.DUMMYFUNCTION("""COMPUTED_VALUE"""),0.5223179681071728)</f>
        <v>0.5223179681</v>
      </c>
      <c r="F482" s="5">
        <f>IFERROR(__xludf.DUMMYFUNCTION("""COMPUTED_VALUE"""),1.0)</f>
        <v>1</v>
      </c>
      <c r="G482" s="5">
        <f>IFERROR(__xludf.DUMMYFUNCTION("""COMPUTED_VALUE"""),1.0)</f>
        <v>1</v>
      </c>
      <c r="H482" s="5">
        <f>IFERROR(__xludf.DUMMYFUNCTION("""COMPUTED_VALUE"""),0.7989645659521445)</f>
        <v>0.798964566</v>
      </c>
      <c r="I482" s="5">
        <v>0.5604759486220077</v>
      </c>
    </row>
    <row r="483">
      <c r="A483" s="5">
        <v>0.04790419161676647</v>
      </c>
      <c r="B483" s="5">
        <v>0.0</v>
      </c>
      <c r="C483" s="5" t="s">
        <v>4495</v>
      </c>
      <c r="D483" s="5" t="str">
        <f>IFERROR(__xludf.DUMMYFUNCTION("""COMPUTED_VALUE"""),"")</f>
        <v/>
      </c>
      <c r="E483" s="5">
        <f>IFERROR(__xludf.DUMMYFUNCTION("""COMPUTED_VALUE"""),0.25886312191752414)</f>
        <v>0.2588631219</v>
      </c>
      <c r="F483" s="5">
        <f>IFERROR(__xludf.DUMMYFUNCTION("""COMPUTED_VALUE"""),1.0)</f>
        <v>1</v>
      </c>
      <c r="G483" s="5">
        <f>IFERROR(__xludf.DUMMYFUNCTION("""COMPUTED_VALUE"""),1.0)</f>
        <v>1</v>
      </c>
      <c r="H483" s="5">
        <f>IFERROR(__xludf.DUMMYFUNCTION("""COMPUTED_VALUE"""),0.5140096268840141)</f>
        <v>0.5140096269</v>
      </c>
      <c r="I483" s="5">
        <v>0.4661167431677825</v>
      </c>
    </row>
    <row r="484">
      <c r="A484" s="5" t="s">
        <v>4495</v>
      </c>
      <c r="B484" s="5" t="s">
        <v>4495</v>
      </c>
      <c r="C484" s="5" t="s">
        <v>4495</v>
      </c>
      <c r="D484" s="5" t="str">
        <f>IFERROR(__xludf.DUMMYFUNCTION("""COMPUTED_VALUE"""),"")</f>
        <v/>
      </c>
      <c r="E484" s="5">
        <f>IFERROR(__xludf.DUMMYFUNCTION("""COMPUTED_VALUE"""),0.24455047616844922)</f>
        <v>0.2445504762</v>
      </c>
      <c r="F484" s="5" t="str">
        <f>IFERROR(__xludf.DUMMYFUNCTION("""COMPUTED_VALUE"""),"")</f>
        <v/>
      </c>
      <c r="G484" s="5" t="str">
        <f>IFERROR(__xludf.DUMMYFUNCTION("""COMPUTED_VALUE"""),"")</f>
        <v/>
      </c>
      <c r="H484" s="5">
        <f>IFERROR(__xludf.DUMMYFUNCTION("""COMPUTED_VALUE"""),0.0)</f>
        <v>0</v>
      </c>
      <c r="I484" s="5">
        <v>0.061137619042112304</v>
      </c>
    </row>
    <row r="485">
      <c r="A485" s="5">
        <v>0.07968369829683698</v>
      </c>
      <c r="B485" s="5">
        <v>0.0</v>
      </c>
      <c r="C485" s="5" t="s">
        <v>4495</v>
      </c>
      <c r="D485" s="5" t="str">
        <f>IFERROR(__xludf.DUMMYFUNCTION("""COMPUTED_VALUE"""),"")</f>
        <v/>
      </c>
      <c r="E485" s="5">
        <f>IFERROR(__xludf.DUMMYFUNCTION("""COMPUTED_VALUE"""),0.4490080559640544)</f>
        <v>0.449008056</v>
      </c>
      <c r="F485" s="5">
        <f>IFERROR(__xludf.DUMMYFUNCTION("""COMPUTED_VALUE"""),1.0)</f>
        <v>1</v>
      </c>
      <c r="G485" s="5">
        <f>IFERROR(__xludf.DUMMYFUNCTION("""COMPUTED_VALUE"""),1.0)</f>
        <v>1</v>
      </c>
      <c r="H485" s="5">
        <f>IFERROR(__xludf.DUMMYFUNCTION("""COMPUTED_VALUE"""),0.09708412557552656)</f>
        <v>0.09708412558</v>
      </c>
      <c r="I485" s="5">
        <v>0.47196042654856624</v>
      </c>
    </row>
    <row r="486">
      <c r="A486" s="5">
        <v>0.09714285714285714</v>
      </c>
      <c r="B486" s="5" t="s">
        <v>4495</v>
      </c>
      <c r="C486" s="5" t="s">
        <v>4495</v>
      </c>
      <c r="D486" s="5" t="str">
        <f>IFERROR(__xludf.DUMMYFUNCTION("""COMPUTED_VALUE"""),"")</f>
        <v/>
      </c>
      <c r="E486" s="5">
        <f>IFERROR(__xludf.DUMMYFUNCTION("""COMPUTED_VALUE"""),0.22962860153806564)</f>
        <v>0.2296286015</v>
      </c>
      <c r="F486" s="5" t="str">
        <f>IFERROR(__xludf.DUMMYFUNCTION("""COMPUTED_VALUE"""),"")</f>
        <v/>
      </c>
      <c r="G486" s="5">
        <f>IFERROR(__xludf.DUMMYFUNCTION("""COMPUTED_VALUE"""),1.0)</f>
        <v>1</v>
      </c>
      <c r="H486" s="5">
        <f>IFERROR(__xludf.DUMMYFUNCTION("""COMPUTED_VALUE"""),0.5759602604370906)</f>
        <v>0.5759602604</v>
      </c>
      <c r="I486" s="5">
        <v>0.26500317642822546</v>
      </c>
    </row>
    <row r="487">
      <c r="A487" s="5">
        <v>0.049531459170013385</v>
      </c>
      <c r="B487" s="5">
        <v>1.0</v>
      </c>
      <c r="C487" s="5" t="s">
        <v>4495</v>
      </c>
      <c r="D487" s="5" t="str">
        <f>IFERROR(__xludf.DUMMYFUNCTION("""COMPUTED_VALUE"""),"")</f>
        <v/>
      </c>
      <c r="E487" s="5">
        <f>IFERROR(__xludf.DUMMYFUNCTION("""COMPUTED_VALUE"""),0.6248324432545804)</f>
        <v>0.6248324433</v>
      </c>
      <c r="F487" s="5">
        <f>IFERROR(__xludf.DUMMYFUNCTION("""COMPUTED_VALUE"""),1.0)</f>
        <v>1</v>
      </c>
      <c r="G487" s="5">
        <f>IFERROR(__xludf.DUMMYFUNCTION("""COMPUTED_VALUE"""),1.0)</f>
        <v>1</v>
      </c>
      <c r="H487" s="5">
        <f>IFERROR(__xludf.DUMMYFUNCTION("""COMPUTED_VALUE"""),0.37642785751330293)</f>
        <v>0.3764278575</v>
      </c>
      <c r="I487" s="5">
        <v>0.5438508965649754</v>
      </c>
    </row>
    <row r="488">
      <c r="A488" s="5">
        <v>0.051991150442477874</v>
      </c>
      <c r="B488" s="5">
        <v>1.0</v>
      </c>
      <c r="C488" s="5" t="s">
        <v>4495</v>
      </c>
      <c r="D488" s="5" t="str">
        <f>IFERROR(__xludf.DUMMYFUNCTION("""COMPUTED_VALUE"""),"")</f>
        <v/>
      </c>
      <c r="E488" s="5">
        <f>IFERROR(__xludf.DUMMYFUNCTION("""COMPUTED_VALUE"""),0.3768340340141598)</f>
        <v>0.376834034</v>
      </c>
      <c r="F488" s="5">
        <f>IFERROR(__xludf.DUMMYFUNCTION("""COMPUTED_VALUE"""),1.0)</f>
        <v>1</v>
      </c>
      <c r="G488" s="5">
        <f>IFERROR(__xludf.DUMMYFUNCTION("""COMPUTED_VALUE"""),1.0)</f>
        <v>1</v>
      </c>
      <c r="H488" s="5">
        <f>IFERROR(__xludf.DUMMYFUNCTION("""COMPUTED_VALUE"""),0.9148232267820557)</f>
        <v>0.9148232268</v>
      </c>
      <c r="I488" s="5">
        <v>0.5356908311817455</v>
      </c>
    </row>
    <row r="489">
      <c r="A489" s="5">
        <v>0.10719131614654002</v>
      </c>
      <c r="B489" s="5">
        <v>0.0</v>
      </c>
      <c r="C489" s="5" t="s">
        <v>4495</v>
      </c>
      <c r="D489" s="5" t="str">
        <f>IFERROR(__xludf.DUMMYFUNCTION("""COMPUTED_VALUE"""),"")</f>
        <v/>
      </c>
      <c r="E489" s="5">
        <f>IFERROR(__xludf.DUMMYFUNCTION("""COMPUTED_VALUE"""),0.9808551827008829)</f>
        <v>0.9808551827</v>
      </c>
      <c r="F489" s="5">
        <f>IFERROR(__xludf.DUMMYFUNCTION("""COMPUTED_VALUE"""),1.0)</f>
        <v>1</v>
      </c>
      <c r="G489" s="5">
        <f>IFERROR(__xludf.DUMMYFUNCTION("""COMPUTED_VALUE"""),1.0)</f>
        <v>1</v>
      </c>
      <c r="H489" s="5">
        <f>IFERROR(__xludf.DUMMYFUNCTION("""COMPUTED_VALUE"""),0.5991484674713998)</f>
        <v>0.5991484675</v>
      </c>
      <c r="I489" s="5">
        <v>0.6551286424223607</v>
      </c>
    </row>
    <row r="490">
      <c r="A490" s="5" t="s">
        <v>4495</v>
      </c>
      <c r="B490" s="5" t="s">
        <v>4495</v>
      </c>
      <c r="C490" s="5" t="s">
        <v>4495</v>
      </c>
      <c r="D490" s="5" t="str">
        <f>IFERROR(__xludf.DUMMYFUNCTION("""COMPUTED_VALUE"""),"")</f>
        <v/>
      </c>
      <c r="E490" s="5">
        <f>IFERROR(__xludf.DUMMYFUNCTION("""COMPUTED_VALUE"""),0.4875755944634929)</f>
        <v>0.4875755945</v>
      </c>
      <c r="F490" s="5" t="str">
        <f>IFERROR(__xludf.DUMMYFUNCTION("""COMPUTED_VALUE"""),"")</f>
        <v/>
      </c>
      <c r="G490" s="5" t="str">
        <f>IFERROR(__xludf.DUMMYFUNCTION("""COMPUTED_VALUE"""),"")</f>
        <v/>
      </c>
      <c r="H490" s="5">
        <f>IFERROR(__xludf.DUMMYFUNCTION("""COMPUTED_VALUE"""),0.29191618910194683)</f>
        <v>0.2919161891</v>
      </c>
      <c r="I490" s="5">
        <v>0.15108551752606791</v>
      </c>
    </row>
    <row r="491">
      <c r="A491" s="5">
        <v>0.19069020866773675</v>
      </c>
      <c r="B491" s="5" t="s">
        <v>4495</v>
      </c>
      <c r="C491" s="5" t="s">
        <v>4495</v>
      </c>
      <c r="D491" s="5" t="str">
        <f>IFERROR(__xludf.DUMMYFUNCTION("""COMPUTED_VALUE"""),"")</f>
        <v/>
      </c>
      <c r="E491" s="5">
        <f>IFERROR(__xludf.DUMMYFUNCTION("""COMPUTED_VALUE"""),0.4147749215282351)</f>
        <v>0.4147749215</v>
      </c>
      <c r="F491" s="5" t="str">
        <f>IFERROR(__xludf.DUMMYFUNCTION("""COMPUTED_VALUE"""),"")</f>
        <v/>
      </c>
      <c r="G491" s="5">
        <f>IFERROR(__xludf.DUMMYFUNCTION("""COMPUTED_VALUE"""),1.0)</f>
        <v>1</v>
      </c>
      <c r="H491" s="5">
        <f>IFERROR(__xludf.DUMMYFUNCTION("""COMPUTED_VALUE"""),0.7989645659521445)</f>
        <v>0.798964566</v>
      </c>
      <c r="I491" s="5">
        <v>0.3335901869772732</v>
      </c>
    </row>
    <row r="492">
      <c r="A492" s="5">
        <v>0.040395879620278734</v>
      </c>
      <c r="B492" s="5" t="s">
        <v>4495</v>
      </c>
      <c r="C492" s="5" t="s">
        <v>4495</v>
      </c>
      <c r="D492" s="5" t="str">
        <f>IFERROR(__xludf.DUMMYFUNCTION("""COMPUTED_VALUE"""),"")</f>
        <v/>
      </c>
      <c r="E492" s="5">
        <f>IFERROR(__xludf.DUMMYFUNCTION("""COMPUTED_VALUE"""),0.0)</f>
        <v>0</v>
      </c>
      <c r="F492" s="5" t="str">
        <f>IFERROR(__xludf.DUMMYFUNCTION("""COMPUTED_VALUE"""),"")</f>
        <v/>
      </c>
      <c r="G492" s="5">
        <f>IFERROR(__xludf.DUMMYFUNCTION("""COMPUTED_VALUE"""),1.0)</f>
        <v>1</v>
      </c>
      <c r="H492" s="5">
        <f>IFERROR(__xludf.DUMMYFUNCTION("""COMPUTED_VALUE"""),0.8608655331288015)</f>
        <v>0.8608655331</v>
      </c>
      <c r="I492" s="5">
        <v>0.23608655331288014</v>
      </c>
    </row>
    <row r="493">
      <c r="A493" s="5">
        <v>0.07481559536354057</v>
      </c>
      <c r="B493" s="5">
        <v>0.0</v>
      </c>
      <c r="C493" s="5" t="s">
        <v>4495</v>
      </c>
      <c r="D493" s="5" t="str">
        <f>IFERROR(__xludf.DUMMYFUNCTION("""COMPUTED_VALUE"""),"")</f>
        <v/>
      </c>
      <c r="E493" s="5">
        <f>IFERROR(__xludf.DUMMYFUNCTION("""COMPUTED_VALUE"""),0.4801940348116395)</f>
        <v>0.4801940348</v>
      </c>
      <c r="F493" s="5">
        <f>IFERROR(__xludf.DUMMYFUNCTION("""COMPUTED_VALUE"""),1.0)</f>
        <v>1</v>
      </c>
      <c r="G493" s="5">
        <f>IFERROR(__xludf.DUMMYFUNCTION("""COMPUTED_VALUE"""),1.0)</f>
        <v>1</v>
      </c>
      <c r="H493" s="5">
        <f>IFERROR(__xludf.DUMMYFUNCTION("""COMPUTED_VALUE"""),0.8872875367406374)</f>
        <v>0.8872875367</v>
      </c>
      <c r="I493" s="5">
        <v>0.5587772623769737</v>
      </c>
    </row>
    <row r="494">
      <c r="A494" s="5">
        <v>0.1460415065334358</v>
      </c>
      <c r="B494" s="5">
        <v>1.0</v>
      </c>
      <c r="C494" s="5" t="s">
        <v>4495</v>
      </c>
      <c r="D494" s="5" t="str">
        <f>IFERROR(__xludf.DUMMYFUNCTION("""COMPUTED_VALUE"""),"")</f>
        <v/>
      </c>
      <c r="E494" s="5">
        <f>IFERROR(__xludf.DUMMYFUNCTION("""COMPUTED_VALUE"""),0.4147749215282351)</f>
        <v>0.4147749215</v>
      </c>
      <c r="F494" s="5">
        <f>IFERROR(__xludf.DUMMYFUNCTION("""COMPUTED_VALUE"""),1.0)</f>
        <v>1</v>
      </c>
      <c r="G494" s="5">
        <f>IFERROR(__xludf.DUMMYFUNCTION("""COMPUTED_VALUE"""),1.0)</f>
        <v>1</v>
      </c>
      <c r="H494" s="5">
        <f>IFERROR(__xludf.DUMMYFUNCTION("""COMPUTED_VALUE"""),0.5304513995169988)</f>
        <v>0.5304513995</v>
      </c>
      <c r="I494" s="5">
        <v>0.5067388703337586</v>
      </c>
    </row>
    <row r="495">
      <c r="A495" s="5">
        <v>0.058342623560014864</v>
      </c>
      <c r="B495" s="5" t="s">
        <v>4495</v>
      </c>
      <c r="C495" s="5" t="s">
        <v>4495</v>
      </c>
      <c r="D495" s="5" t="str">
        <f>IFERROR(__xludf.DUMMYFUNCTION("""COMPUTED_VALUE"""),"")</f>
        <v/>
      </c>
      <c r="E495" s="5">
        <f>IFERROR(__xludf.DUMMYFUNCTION("""COMPUTED_VALUE"""),0.5773086847360339)</f>
        <v>0.5773086847</v>
      </c>
      <c r="F495" s="5" t="str">
        <f>IFERROR(__xludf.DUMMYFUNCTION("""COMPUTED_VALUE"""),"")</f>
        <v/>
      </c>
      <c r="G495" s="5">
        <f>IFERROR(__xludf.DUMMYFUNCTION("""COMPUTED_VALUE"""),1.0)</f>
        <v>1</v>
      </c>
      <c r="H495" s="5">
        <f>IFERROR(__xludf.DUMMYFUNCTION("""COMPUTED_VALUE"""),0.681535381243285)</f>
        <v>0.6815353812</v>
      </c>
      <c r="I495" s="5">
        <v>0.362480709308337</v>
      </c>
    </row>
    <row r="496">
      <c r="A496" s="5">
        <v>0.09144350097975179</v>
      </c>
      <c r="B496" s="5" t="s">
        <v>4495</v>
      </c>
      <c r="C496" s="5" t="s">
        <v>4495</v>
      </c>
      <c r="D496" s="5" t="str">
        <f>IFERROR(__xludf.DUMMYFUNCTION("""COMPUTED_VALUE"""),"")</f>
        <v/>
      </c>
      <c r="E496" s="5">
        <f>IFERROR(__xludf.DUMMYFUNCTION("""COMPUTED_VALUE"""),0.4490080559640544)</f>
        <v>0.449008056</v>
      </c>
      <c r="F496" s="5" t="str">
        <f>IFERROR(__xludf.DUMMYFUNCTION("""COMPUTED_VALUE"""),"")</f>
        <v/>
      </c>
      <c r="G496" s="5">
        <f>IFERROR(__xludf.DUMMYFUNCTION("""COMPUTED_VALUE"""),1.0)</f>
        <v>1</v>
      </c>
      <c r="H496" s="5">
        <f>IFERROR(__xludf.DUMMYFUNCTION("""COMPUTED_VALUE"""),0.7093527900342949)</f>
        <v>0.70935279</v>
      </c>
      <c r="I496" s="5">
        <v>0.3331872929944431</v>
      </c>
    </row>
    <row r="497">
      <c r="A497" s="5">
        <v>0.07499215563225604</v>
      </c>
      <c r="B497" s="5">
        <v>1.0</v>
      </c>
      <c r="C497" s="5" t="s">
        <v>4495</v>
      </c>
      <c r="D497" s="5" t="str">
        <f>IFERROR(__xludf.DUMMYFUNCTION("""COMPUTED_VALUE"""),"")</f>
        <v/>
      </c>
      <c r="E497" s="5">
        <f>IFERROR(__xludf.DUMMYFUNCTION("""COMPUTED_VALUE"""),0.905291602379154)</f>
        <v>0.9052916024</v>
      </c>
      <c r="F497" s="5">
        <f>IFERROR(__xludf.DUMMYFUNCTION("""COMPUTED_VALUE"""),1.0)</f>
        <v>1</v>
      </c>
      <c r="G497" s="5">
        <f>IFERROR(__xludf.DUMMYFUNCTION("""COMPUTED_VALUE"""),1.0)</f>
        <v>1</v>
      </c>
      <c r="H497" s="5">
        <f>IFERROR(__xludf.DUMMYFUNCTION("""COMPUTED_VALUE"""),0.5070483768501975)</f>
        <v>0.5070483769</v>
      </c>
      <c r="I497" s="5">
        <v>0.6270277382798083</v>
      </c>
    </row>
    <row r="498">
      <c r="A498" s="5" t="s">
        <v>4495</v>
      </c>
      <c r="B498" s="5" t="s">
        <v>4495</v>
      </c>
      <c r="C498" s="5" t="s">
        <v>4495</v>
      </c>
      <c r="D498" s="5" t="str">
        <f>IFERROR(__xludf.DUMMYFUNCTION("""COMPUTED_VALUE"""),"")</f>
        <v/>
      </c>
      <c r="E498" s="5">
        <f>IFERROR(__xludf.DUMMYFUNCTION("""COMPUTED_VALUE"""),0.5658122078059921)</f>
        <v>0.5658122078</v>
      </c>
      <c r="F498" s="5" t="str">
        <f>IFERROR(__xludf.DUMMYFUNCTION("""COMPUTED_VALUE"""),"")</f>
        <v/>
      </c>
      <c r="G498" s="5" t="str">
        <f>IFERROR(__xludf.DUMMYFUNCTION("""COMPUTED_VALUE"""),"")</f>
        <v/>
      </c>
      <c r="H498" s="5">
        <f>IFERROR(__xludf.DUMMYFUNCTION("""COMPUTED_VALUE"""),0.5736837898218915)</f>
        <v>0.5736837898</v>
      </c>
      <c r="I498" s="5">
        <v>0.19882143093368718</v>
      </c>
    </row>
    <row r="499">
      <c r="A499" s="5">
        <v>0.10691244239631337</v>
      </c>
      <c r="B499" s="5">
        <v>0.0</v>
      </c>
      <c r="C499" s="5" t="s">
        <v>4495</v>
      </c>
      <c r="D499" s="5" t="str">
        <f>IFERROR(__xludf.DUMMYFUNCTION("""COMPUTED_VALUE"""),"")</f>
        <v/>
      </c>
      <c r="E499" s="5">
        <f>IFERROR(__xludf.DUMMYFUNCTION("""COMPUTED_VALUE"""),0.6345722676997336)</f>
        <v>0.6345722677</v>
      </c>
      <c r="F499" s="5">
        <f>IFERROR(__xludf.DUMMYFUNCTION("""COMPUTED_VALUE"""),1.0)</f>
        <v>1</v>
      </c>
      <c r="G499" s="5">
        <f>IFERROR(__xludf.DUMMYFUNCTION("""COMPUTED_VALUE"""),1.0)</f>
        <v>1</v>
      </c>
      <c r="H499" s="5">
        <f>IFERROR(__xludf.DUMMYFUNCTION("""COMPUTED_VALUE"""),1.0)</f>
        <v>1</v>
      </c>
      <c r="I499" s="5">
        <v>0.6086430669249334</v>
      </c>
    </row>
    <row r="500">
      <c r="A500" s="5">
        <v>0.09916666666666667</v>
      </c>
      <c r="B500" s="5">
        <v>0.0</v>
      </c>
      <c r="C500" s="5" t="s">
        <v>4495</v>
      </c>
      <c r="D500" s="5" t="str">
        <f>IFERROR(__xludf.DUMMYFUNCTION("""COMPUTED_VALUE"""),"")</f>
        <v/>
      </c>
      <c r="E500" s="5">
        <f>IFERROR(__xludf.DUMMYFUNCTION("""COMPUTED_VALUE"""),0.3963174424868398)</f>
        <v>0.3963174425</v>
      </c>
      <c r="F500" s="5">
        <f>IFERROR(__xludf.DUMMYFUNCTION("""COMPUTED_VALUE"""),1.0)</f>
        <v>1</v>
      </c>
      <c r="G500" s="5">
        <f>IFERROR(__xludf.DUMMYFUNCTION("""COMPUTED_VALUE"""),1.0)</f>
        <v>1</v>
      </c>
      <c r="H500" s="5">
        <f>IFERROR(__xludf.DUMMYFUNCTION("""COMPUTED_VALUE"""),0.9165964758791749)</f>
        <v>0.9165964759</v>
      </c>
      <c r="I500" s="5">
        <v>0.5407390082096275</v>
      </c>
    </row>
    <row r="501">
      <c r="A501" s="5">
        <v>0.040838068181818184</v>
      </c>
      <c r="B501" s="5" t="s">
        <v>4495</v>
      </c>
      <c r="C501" s="5" t="s">
        <v>4495</v>
      </c>
      <c r="D501" s="5" t="str">
        <f>IFERROR(__xludf.DUMMYFUNCTION("""COMPUTED_VALUE"""),"")</f>
        <v/>
      </c>
      <c r="E501" s="5">
        <f>IFERROR(__xludf.DUMMYFUNCTION("""COMPUTED_VALUE"""),0.10238989523252559)</f>
        <v>0.1023898952</v>
      </c>
      <c r="F501" s="5" t="str">
        <f>IFERROR(__xludf.DUMMYFUNCTION("""COMPUTED_VALUE"""),"")</f>
        <v/>
      </c>
      <c r="G501" s="5">
        <f>IFERROR(__xludf.DUMMYFUNCTION("""COMPUTED_VALUE"""),1.0)</f>
        <v>1</v>
      </c>
      <c r="H501" s="5">
        <f>IFERROR(__xludf.DUMMYFUNCTION("""COMPUTED_VALUE"""),0.5542188634631464)</f>
        <v>0.5542188635</v>
      </c>
      <c r="I501" s="5">
        <v>0.23101936015444605</v>
      </c>
    </row>
    <row r="502">
      <c r="A502" s="5" t="s">
        <v>4495</v>
      </c>
      <c r="B502" s="5" t="s">
        <v>4495</v>
      </c>
      <c r="C502" s="5" t="s">
        <v>4495</v>
      </c>
      <c r="D502" s="5" t="str">
        <f>IFERROR(__xludf.DUMMYFUNCTION("""COMPUTED_VALUE"""),"")</f>
        <v/>
      </c>
      <c r="E502" s="5">
        <f>IFERROR(__xludf.DUMMYFUNCTION("""COMPUTED_VALUE"""),0.0)</f>
        <v>0</v>
      </c>
      <c r="F502" s="5" t="str">
        <f>IFERROR(__xludf.DUMMYFUNCTION("""COMPUTED_VALUE"""),"")</f>
        <v/>
      </c>
      <c r="G502" s="5" t="str">
        <f>IFERROR(__xludf.DUMMYFUNCTION("""COMPUTED_VALUE"""),"")</f>
        <v/>
      </c>
      <c r="H502" s="5">
        <f>IFERROR(__xludf.DUMMYFUNCTION("""COMPUTED_VALUE"""),0.3634684953716459)</f>
        <v>0.3634684954</v>
      </c>
      <c r="I502" s="5">
        <v>0.03634684953716459</v>
      </c>
    </row>
    <row r="503">
      <c r="A503" s="5">
        <v>0.051645569620253164</v>
      </c>
      <c r="B503" s="5" t="s">
        <v>4495</v>
      </c>
      <c r="C503" s="5" t="s">
        <v>4495</v>
      </c>
      <c r="D503" s="5" t="str">
        <f>IFERROR(__xludf.DUMMYFUNCTION("""COMPUTED_VALUE"""),"")</f>
        <v/>
      </c>
      <c r="E503" s="5">
        <f>IFERROR(__xludf.DUMMYFUNCTION("""COMPUTED_VALUE"""),0.4490080559640544)</f>
        <v>0.449008056</v>
      </c>
      <c r="F503" s="5" t="str">
        <f>IFERROR(__xludf.DUMMYFUNCTION("""COMPUTED_VALUE"""),"")</f>
        <v/>
      </c>
      <c r="G503" s="5">
        <f>IFERROR(__xludf.DUMMYFUNCTION("""COMPUTED_VALUE"""),1.0)</f>
        <v>1</v>
      </c>
      <c r="H503" s="5">
        <f>IFERROR(__xludf.DUMMYFUNCTION("""COMPUTED_VALUE"""),0.7221805645984484)</f>
        <v>0.7221805646</v>
      </c>
      <c r="I503" s="5">
        <v>0.33447007045085847</v>
      </c>
    </row>
    <row r="504">
      <c r="A504" s="5">
        <v>0.17782026768642448</v>
      </c>
      <c r="B504" s="5" t="s">
        <v>4495</v>
      </c>
      <c r="C504" s="5" t="s">
        <v>4495</v>
      </c>
      <c r="D504" s="5" t="str">
        <f>IFERROR(__xludf.DUMMYFUNCTION("""COMPUTED_VALUE"""),"")</f>
        <v/>
      </c>
      <c r="E504" s="5">
        <f>IFERROR(__xludf.DUMMYFUNCTION("""COMPUTED_VALUE"""),0.47265371983310933)</f>
        <v>0.4726537198</v>
      </c>
      <c r="F504" s="5" t="str">
        <f>IFERROR(__xludf.DUMMYFUNCTION("""COMPUTED_VALUE"""),"")</f>
        <v/>
      </c>
      <c r="G504" s="5">
        <f>IFERROR(__xludf.DUMMYFUNCTION("""COMPUTED_VALUE"""),1.0)</f>
        <v>1</v>
      </c>
      <c r="H504" s="5">
        <f>IFERROR(__xludf.DUMMYFUNCTION("""COMPUTED_VALUE"""),0.8578247542986999)</f>
        <v>0.8578247543</v>
      </c>
      <c r="I504" s="5">
        <v>0.35394590538814735</v>
      </c>
    </row>
    <row r="505">
      <c r="A505" s="5" t="s">
        <v>4495</v>
      </c>
      <c r="B505" s="5" t="s">
        <v>4495</v>
      </c>
      <c r="C505" s="5" t="s">
        <v>4495</v>
      </c>
      <c r="D505" s="5" t="str">
        <f>IFERROR(__xludf.DUMMYFUNCTION("""COMPUTED_VALUE"""),"")</f>
        <v/>
      </c>
      <c r="E505" s="5">
        <f>IFERROR(__xludf.DUMMYFUNCTION("""COMPUTED_VALUE"""),0.19773288331254052)</f>
        <v>0.1977328833</v>
      </c>
      <c r="F505" s="5" t="str">
        <f>IFERROR(__xludf.DUMMYFUNCTION("""COMPUTED_VALUE"""),"")</f>
        <v/>
      </c>
      <c r="G505" s="5" t="str">
        <f>IFERROR(__xludf.DUMMYFUNCTION("""COMPUTED_VALUE"""),"")</f>
        <v/>
      </c>
      <c r="H505" s="5">
        <f>IFERROR(__xludf.DUMMYFUNCTION("""COMPUTED_VALUE"""),0.6961219834498718)</f>
        <v>0.6961219834</v>
      </c>
      <c r="I505" s="5">
        <v>0.11904541917312231</v>
      </c>
    </row>
    <row r="506">
      <c r="A506" s="5">
        <v>0.21835748792270532</v>
      </c>
      <c r="B506" s="5">
        <v>2.0</v>
      </c>
      <c r="C506" s="5" t="s">
        <v>4495</v>
      </c>
      <c r="D506" s="5" t="str">
        <f>IFERROR(__xludf.DUMMYFUNCTION("""COMPUTED_VALUE"""),"")</f>
        <v/>
      </c>
      <c r="E506" s="5">
        <f>IFERROR(__xludf.DUMMYFUNCTION("""COMPUTED_VALUE"""),0.33428356644099017)</f>
        <v>0.3342835664</v>
      </c>
      <c r="F506" s="5">
        <f>IFERROR(__xludf.DUMMYFUNCTION("""COMPUTED_VALUE"""),1.0)</f>
        <v>1</v>
      </c>
      <c r="G506" s="5">
        <f>IFERROR(__xludf.DUMMYFUNCTION("""COMPUTED_VALUE"""),1.0)</f>
        <v>1</v>
      </c>
      <c r="H506" s="5">
        <f>IFERROR(__xludf.DUMMYFUNCTION("""COMPUTED_VALUE"""),0.4130723542258289)</f>
        <v>0.4130723542</v>
      </c>
      <c r="I506" s="5">
        <v>0.47487812703283044</v>
      </c>
    </row>
    <row r="507">
      <c r="A507" s="5">
        <v>0.03634058736530742</v>
      </c>
      <c r="B507" s="5" t="s">
        <v>4495</v>
      </c>
      <c r="C507" s="5" t="s">
        <v>4495</v>
      </c>
      <c r="D507" s="5" t="str">
        <f>IFERROR(__xludf.DUMMYFUNCTION("""COMPUTED_VALUE"""),"")</f>
        <v/>
      </c>
      <c r="E507" s="5">
        <f>IFERROR(__xludf.DUMMYFUNCTION("""COMPUTED_VALUE"""),0.5018882402125678)</f>
        <v>0.5018882402</v>
      </c>
      <c r="F507" s="5" t="str">
        <f>IFERROR(__xludf.DUMMYFUNCTION("""COMPUTED_VALUE"""),"")</f>
        <v/>
      </c>
      <c r="G507" s="5">
        <f>IFERROR(__xludf.DUMMYFUNCTION("""COMPUTED_VALUE"""),1.0)</f>
        <v>1</v>
      </c>
      <c r="H507" s="5">
        <f>IFERROR(__xludf.DUMMYFUNCTION("""COMPUTED_VALUE"""),0.4704038801376717)</f>
        <v>0.4704038801</v>
      </c>
      <c r="I507" s="5">
        <v>0.32251244806690915</v>
      </c>
    </row>
    <row r="508">
      <c r="A508" s="5">
        <v>0.07053509381514941</v>
      </c>
      <c r="B508" s="5" t="s">
        <v>4495</v>
      </c>
      <c r="C508" s="5" t="s">
        <v>4495</v>
      </c>
      <c r="D508" s="5" t="str">
        <f>IFERROR(__xludf.DUMMYFUNCTION("""COMPUTED_VALUE"""),"")</f>
        <v/>
      </c>
      <c r="E508" s="5">
        <f>IFERROR(__xludf.DUMMYFUNCTION("""COMPUTED_VALUE"""),0.18062650857502485)</f>
        <v>0.1806265086</v>
      </c>
      <c r="F508" s="5" t="str">
        <f>IFERROR(__xludf.DUMMYFUNCTION("""COMPUTED_VALUE"""),"")</f>
        <v/>
      </c>
      <c r="G508" s="5">
        <f>IFERROR(__xludf.DUMMYFUNCTION("""COMPUTED_VALUE"""),1.0)</f>
        <v>1</v>
      </c>
      <c r="H508" s="5">
        <f>IFERROR(__xludf.DUMMYFUNCTION("""COMPUTED_VALUE"""),0.611012520703407)</f>
        <v>0.6110125207</v>
      </c>
      <c r="I508" s="5">
        <v>0.25625787921409693</v>
      </c>
    </row>
    <row r="509">
      <c r="A509" s="5">
        <v>0.05278506853310003</v>
      </c>
      <c r="B509" s="5">
        <v>0.0</v>
      </c>
      <c r="C509" s="5" t="s">
        <v>4495</v>
      </c>
      <c r="D509" s="5" t="str">
        <f>IFERROR(__xludf.DUMMYFUNCTION("""COMPUTED_VALUE"""),"")</f>
        <v/>
      </c>
      <c r="E509" s="5">
        <f>IFERROR(__xludf.DUMMYFUNCTION("""COMPUTED_VALUE"""),0.21404331870033824)</f>
        <v>0.2140433187</v>
      </c>
      <c r="F509" s="5">
        <f>IFERROR(__xludf.DUMMYFUNCTION("""COMPUTED_VALUE"""),1.0)</f>
        <v>1</v>
      </c>
      <c r="G509" s="5">
        <f>IFERROR(__xludf.DUMMYFUNCTION("""COMPUTED_VALUE"""),1.0)</f>
        <v>1</v>
      </c>
      <c r="H509" s="5">
        <f>IFERROR(__xludf.DUMMYFUNCTION("""COMPUTED_VALUE"""),0.6635308966453656)</f>
        <v>0.6635308966</v>
      </c>
      <c r="I509" s="5">
        <v>0.46986391933962113</v>
      </c>
    </row>
    <row r="510">
      <c r="A510" s="5" t="s">
        <v>4495</v>
      </c>
      <c r="B510" s="5" t="s">
        <v>4495</v>
      </c>
      <c r="C510" s="5" t="s">
        <v>4495</v>
      </c>
      <c r="D510" s="5" t="str">
        <f>IFERROR(__xludf.DUMMYFUNCTION("""COMPUTED_VALUE"""),"")</f>
        <v/>
      </c>
      <c r="E510" s="5">
        <f>IFERROR(__xludf.DUMMYFUNCTION("""COMPUTED_VALUE"""),0.3227870895109485)</f>
        <v>0.3227870895</v>
      </c>
      <c r="F510" s="5" t="str">
        <f>IFERROR(__xludf.DUMMYFUNCTION("""COMPUTED_VALUE"""),"")</f>
        <v/>
      </c>
      <c r="G510" s="5" t="str">
        <f>IFERROR(__xludf.DUMMYFUNCTION("""COMPUTED_VALUE"""),"")</f>
        <v/>
      </c>
      <c r="H510" s="5">
        <f>IFERROR(__xludf.DUMMYFUNCTION("""COMPUTED_VALUE"""),0.7263711070177566)</f>
        <v>0.726371107</v>
      </c>
      <c r="I510" s="5">
        <v>0.1533338830795128</v>
      </c>
    </row>
    <row r="511">
      <c r="A511" s="5">
        <v>0.12882527147087858</v>
      </c>
      <c r="B511" s="5" t="s">
        <v>4495</v>
      </c>
      <c r="C511" s="5" t="s">
        <v>4495</v>
      </c>
      <c r="D511" s="5" t="str">
        <f>IFERROR(__xludf.DUMMYFUNCTION("""COMPUTED_VALUE"""),"")</f>
        <v/>
      </c>
      <c r="E511" s="5">
        <f>IFERROR(__xludf.DUMMYFUNCTION("""COMPUTED_VALUE"""),0.35620389963626176)</f>
        <v>0.3562038996</v>
      </c>
      <c r="F511" s="5" t="str">
        <f>IFERROR(__xludf.DUMMYFUNCTION("""COMPUTED_VALUE"""),"")</f>
        <v/>
      </c>
      <c r="G511" s="5">
        <f>IFERROR(__xludf.DUMMYFUNCTION("""COMPUTED_VALUE"""),1.0)</f>
        <v>1</v>
      </c>
      <c r="H511" s="5">
        <f>IFERROR(__xludf.DUMMYFUNCTION("""COMPUTED_VALUE"""),0.3146863851457374)</f>
        <v>0.3146863851</v>
      </c>
      <c r="I511" s="5">
        <v>0.27051961342363917</v>
      </c>
    </row>
    <row r="512">
      <c r="A512" s="5" t="s">
        <v>4495</v>
      </c>
      <c r="B512" s="5" t="s">
        <v>4495</v>
      </c>
      <c r="C512" s="5" t="s">
        <v>4495</v>
      </c>
      <c r="D512" s="5" t="str">
        <f>IFERROR(__xludf.DUMMYFUNCTION("""COMPUTED_VALUE"""),"")</f>
        <v/>
      </c>
      <c r="E512" s="5">
        <f>IFERROR(__xludf.DUMMYFUNCTION("""COMPUTED_VALUE"""),0.4147749215282351)</f>
        <v>0.4147749215</v>
      </c>
      <c r="F512" s="5" t="str">
        <f>IFERROR(__xludf.DUMMYFUNCTION("""COMPUTED_VALUE"""),"")</f>
        <v/>
      </c>
      <c r="G512" s="5" t="str">
        <f>IFERROR(__xludf.DUMMYFUNCTION("""COMPUTED_VALUE"""),"")</f>
        <v/>
      </c>
      <c r="H512" s="5">
        <f>IFERROR(__xludf.DUMMYFUNCTION("""COMPUTED_VALUE"""),0.5126265516233153)</f>
        <v>0.5126265516</v>
      </c>
      <c r="I512" s="5">
        <v>0.15495638554439028</v>
      </c>
    </row>
    <row r="513">
      <c r="A513" s="5" t="s">
        <v>4495</v>
      </c>
      <c r="B513" s="5" t="s">
        <v>4495</v>
      </c>
      <c r="C513" s="5" t="s">
        <v>4495</v>
      </c>
      <c r="D513" s="5" t="str">
        <f>IFERROR(__xludf.DUMMYFUNCTION("""COMPUTED_VALUE"""),"")</f>
        <v/>
      </c>
      <c r="E513" s="5">
        <f>IFERROR(__xludf.DUMMYFUNCTION("""COMPUTED_VALUE"""),0.14368593880932898)</f>
        <v>0.1436859388</v>
      </c>
      <c r="F513" s="5" t="str">
        <f>IFERROR(__xludf.DUMMYFUNCTION("""COMPUTED_VALUE"""),"")</f>
        <v/>
      </c>
      <c r="G513" s="5" t="str">
        <f>IFERROR(__xludf.DUMMYFUNCTION("""COMPUTED_VALUE"""),"")</f>
        <v/>
      </c>
      <c r="H513" s="5">
        <f>IFERROR(__xludf.DUMMYFUNCTION("""COMPUTED_VALUE"""),0.619081888419464)</f>
        <v>0.6190818884</v>
      </c>
      <c r="I513" s="5">
        <v>0.09782967354427866</v>
      </c>
    </row>
    <row r="514">
      <c r="A514" s="5">
        <v>0.09417213431107681</v>
      </c>
      <c r="B514" s="5">
        <v>0.0</v>
      </c>
      <c r="C514" s="5" t="s">
        <v>4495</v>
      </c>
      <c r="D514" s="5" t="str">
        <f>IFERROR(__xludf.DUMMYFUNCTION("""COMPUTED_VALUE"""),"")</f>
        <v/>
      </c>
      <c r="E514" s="5">
        <f>IFERROR(__xludf.DUMMYFUNCTION("""COMPUTED_VALUE"""),0.3963174424868398)</f>
        <v>0.3963174425</v>
      </c>
      <c r="F514" s="5">
        <f>IFERROR(__xludf.DUMMYFUNCTION("""COMPUTED_VALUE"""),1.0)</f>
        <v>1</v>
      </c>
      <c r="G514" s="5">
        <f>IFERROR(__xludf.DUMMYFUNCTION("""COMPUTED_VALUE"""),1.0)</f>
        <v>1</v>
      </c>
      <c r="H514" s="5">
        <f>IFERROR(__xludf.DUMMYFUNCTION("""COMPUTED_VALUE"""),0.3256258583392715)</f>
        <v>0.3256258583</v>
      </c>
      <c r="I514" s="5">
        <v>0.48164194645563707</v>
      </c>
    </row>
    <row r="515">
      <c r="A515" s="5">
        <v>0.031203195207189217</v>
      </c>
      <c r="B515" s="5">
        <v>0.0</v>
      </c>
      <c r="C515" s="5" t="s">
        <v>4495</v>
      </c>
      <c r="D515" s="5" t="str">
        <f>IFERROR(__xludf.DUMMYFUNCTION("""COMPUTED_VALUE"""),"")</f>
        <v/>
      </c>
      <c r="E515" s="5">
        <f>IFERROR(__xludf.DUMMYFUNCTION("""COMPUTED_VALUE"""),0.25886312191752414)</f>
        <v>0.2588631219</v>
      </c>
      <c r="F515" s="5">
        <f>IFERROR(__xludf.DUMMYFUNCTION("""COMPUTED_VALUE"""),1.0)</f>
        <v>1</v>
      </c>
      <c r="G515" s="5">
        <f>IFERROR(__xludf.DUMMYFUNCTION("""COMPUTED_VALUE"""),1.0)</f>
        <v>1</v>
      </c>
      <c r="H515" s="5">
        <f>IFERROR(__xludf.DUMMYFUNCTION("""COMPUTED_VALUE"""),0.6597489311801111)</f>
        <v>0.6597489312</v>
      </c>
      <c r="I515" s="5">
        <v>0.4806906735973922</v>
      </c>
    </row>
    <row r="516">
      <c r="A516" s="5">
        <v>0.10653753026634383</v>
      </c>
      <c r="B516" s="5">
        <v>0.0</v>
      </c>
      <c r="C516" s="5" t="s">
        <v>4495</v>
      </c>
      <c r="D516" s="5" t="str">
        <f>IFERROR(__xludf.DUMMYFUNCTION("""COMPUTED_VALUE"""),"")</f>
        <v/>
      </c>
      <c r="E516" s="5">
        <f>IFERROR(__xludf.DUMMYFUNCTION("""COMPUTED_VALUE"""),0.7378300644058394)</f>
        <v>0.7378300644</v>
      </c>
      <c r="F516" s="5">
        <f>IFERROR(__xludf.DUMMYFUNCTION("""COMPUTED_VALUE"""),1.0)</f>
        <v>1</v>
      </c>
      <c r="G516" s="5">
        <f>IFERROR(__xludf.DUMMYFUNCTION("""COMPUTED_VALUE"""),1.0)</f>
        <v>1</v>
      </c>
      <c r="H516" s="5">
        <f>IFERROR(__xludf.DUMMYFUNCTION("""COMPUTED_VALUE"""),0.8786630843936165)</f>
        <v>0.8786630844</v>
      </c>
      <c r="I516" s="5">
        <v>0.6223238245408216</v>
      </c>
    </row>
    <row r="517">
      <c r="A517" s="5">
        <v>0.05501889962200756</v>
      </c>
      <c r="B517" s="5">
        <v>1.0</v>
      </c>
      <c r="C517" s="5" t="s">
        <v>4495</v>
      </c>
      <c r="D517" s="5" t="str">
        <f>IFERROR(__xludf.DUMMYFUNCTION("""COMPUTED_VALUE"""),"")</f>
        <v/>
      </c>
      <c r="E517" s="5">
        <f>IFERROR(__xludf.DUMMYFUNCTION("""COMPUTED_VALUE"""),0.3963174424868398)</f>
        <v>0.3963174425</v>
      </c>
      <c r="F517" s="5">
        <f>IFERROR(__xludf.DUMMYFUNCTION("""COMPUTED_VALUE"""),1.0)</f>
        <v>1</v>
      </c>
      <c r="G517" s="5">
        <f>IFERROR(__xludf.DUMMYFUNCTION("""COMPUTED_VALUE"""),1.0)</f>
        <v>1</v>
      </c>
      <c r="H517" s="5">
        <f>IFERROR(__xludf.DUMMYFUNCTION("""COMPUTED_VALUE"""),0.5597603386555386)</f>
        <v>0.5597603387</v>
      </c>
      <c r="I517" s="5">
        <v>0.5050553944872638</v>
      </c>
    </row>
    <row r="518">
      <c r="A518" s="5">
        <v>0.07899305555555555</v>
      </c>
      <c r="B518" s="5">
        <v>1.0</v>
      </c>
      <c r="C518" s="5" t="s">
        <v>4495</v>
      </c>
      <c r="D518" s="5" t="str">
        <f>IFERROR(__xludf.DUMMYFUNCTION("""COMPUTED_VALUE"""),"")</f>
        <v/>
      </c>
      <c r="E518" s="5">
        <f>IFERROR(__xludf.DUMMYFUNCTION("""COMPUTED_VALUE"""),0.35620389963626176)</f>
        <v>0.3562038996</v>
      </c>
      <c r="F518" s="5">
        <f>IFERROR(__xludf.DUMMYFUNCTION("""COMPUTED_VALUE"""),1.0)</f>
        <v>1</v>
      </c>
      <c r="G518" s="5">
        <f>IFERROR(__xludf.DUMMYFUNCTION("""COMPUTED_VALUE"""),1.0)</f>
        <v>1</v>
      </c>
      <c r="H518" s="5">
        <f>IFERROR(__xludf.DUMMYFUNCTION("""COMPUTED_VALUE"""),0.6351657920078956)</f>
        <v>0.635165792</v>
      </c>
      <c r="I518" s="5">
        <v>0.502567554109855</v>
      </c>
    </row>
    <row r="519">
      <c r="A519" s="5">
        <v>0.0896277556920853</v>
      </c>
      <c r="B519" s="5" t="s">
        <v>4495</v>
      </c>
      <c r="C519" s="5" t="s">
        <v>4495</v>
      </c>
      <c r="D519" s="5" t="str">
        <f>IFERROR(__xludf.DUMMYFUNCTION("""COMPUTED_VALUE"""),"")</f>
        <v/>
      </c>
      <c r="E519" s="5">
        <f>IFERROR(__xludf.DUMMYFUNCTION("""COMPUTED_VALUE"""),0.5018882402125678)</f>
        <v>0.5018882402</v>
      </c>
      <c r="F519" s="5" t="str">
        <f>IFERROR(__xludf.DUMMYFUNCTION("""COMPUTED_VALUE"""),"")</f>
        <v/>
      </c>
      <c r="G519" s="5">
        <f>IFERROR(__xludf.DUMMYFUNCTION("""COMPUTED_VALUE"""),1.0)</f>
        <v>1</v>
      </c>
      <c r="H519" s="5">
        <f>IFERROR(__xludf.DUMMYFUNCTION("""COMPUTED_VALUE"""),0.5394602144337074)</f>
        <v>0.5394602144</v>
      </c>
      <c r="I519" s="5">
        <v>0.3294180814965127</v>
      </c>
    </row>
    <row r="520">
      <c r="A520" s="5">
        <v>0.12658227848101267</v>
      </c>
      <c r="B520" s="5" t="s">
        <v>4495</v>
      </c>
      <c r="C520" s="5" t="s">
        <v>4495</v>
      </c>
      <c r="D520" s="5" t="str">
        <f>IFERROR(__xludf.DUMMYFUNCTION("""COMPUTED_VALUE"""),"")</f>
        <v/>
      </c>
      <c r="E520" s="5">
        <f>IFERROR(__xludf.DUMMYFUNCTION("""COMPUTED_VALUE"""),0.3227870895109485)</f>
        <v>0.3227870895</v>
      </c>
      <c r="F520" s="5" t="str">
        <f>IFERROR(__xludf.DUMMYFUNCTION("""COMPUTED_VALUE"""),"")</f>
        <v/>
      </c>
      <c r="G520" s="5">
        <f>IFERROR(__xludf.DUMMYFUNCTION("""COMPUTED_VALUE"""),1.0)</f>
        <v>1</v>
      </c>
      <c r="H520" s="5">
        <f>IFERROR(__xludf.DUMMYFUNCTION("""COMPUTED_VALUE"""),0.6809165037794195)</f>
        <v>0.6809165038</v>
      </c>
      <c r="I520" s="5">
        <v>0.2987884227556791</v>
      </c>
    </row>
    <row r="521">
      <c r="A521" s="5" t="s">
        <v>4495</v>
      </c>
      <c r="B521" s="5" t="s">
        <v>4495</v>
      </c>
      <c r="C521" s="5" t="s">
        <v>4495</v>
      </c>
      <c r="D521" s="5" t="str">
        <f>IFERROR(__xludf.DUMMYFUNCTION("""COMPUTED_VALUE"""),"")</f>
        <v/>
      </c>
      <c r="E521" s="5">
        <f>IFERROR(__xludf.DUMMYFUNCTION("""COMPUTED_VALUE"""),0.10238989523252559)</f>
        <v>0.1023898952</v>
      </c>
      <c r="F521" s="5" t="str">
        <f>IFERROR(__xludf.DUMMYFUNCTION("""COMPUTED_VALUE"""),"")</f>
        <v/>
      </c>
      <c r="G521" s="5" t="str">
        <f>IFERROR(__xludf.DUMMYFUNCTION("""COMPUTED_VALUE"""),"")</f>
        <v/>
      </c>
      <c r="H521" s="5">
        <f>IFERROR(__xludf.DUMMYFUNCTION("""COMPUTED_VALUE"""),0.15486583436120666)</f>
        <v>0.1548658344</v>
      </c>
      <c r="I521" s="5">
        <v>0.04108405724425206</v>
      </c>
    </row>
    <row r="522">
      <c r="A522" s="5" t="s">
        <v>4495</v>
      </c>
      <c r="B522" s="5" t="s">
        <v>4495</v>
      </c>
      <c r="C522" s="5" t="s">
        <v>4495</v>
      </c>
      <c r="D522" s="5" t="str">
        <f>IFERROR(__xludf.DUMMYFUNCTION("""COMPUTED_VALUE"""),"")</f>
        <v/>
      </c>
      <c r="E522" s="5">
        <f>IFERROR(__xludf.DUMMYFUNCTION("""COMPUTED_VALUE"""),0.10238989523252559)</f>
        <v>0.1023898952</v>
      </c>
      <c r="F522" s="5" t="str">
        <f>IFERROR(__xludf.DUMMYFUNCTION("""COMPUTED_VALUE"""),"")</f>
        <v/>
      </c>
      <c r="G522" s="5" t="str">
        <f>IFERROR(__xludf.DUMMYFUNCTION("""COMPUTED_VALUE"""),"")</f>
        <v/>
      </c>
      <c r="H522" s="5">
        <f>IFERROR(__xludf.DUMMYFUNCTION("""COMPUTED_VALUE"""),0.5070483768501975)</f>
        <v>0.5070483769</v>
      </c>
      <c r="I522" s="5">
        <v>0.07630231149315116</v>
      </c>
    </row>
    <row r="523">
      <c r="A523" s="5">
        <v>0.07863974495217853</v>
      </c>
      <c r="B523" s="5">
        <v>0.0</v>
      </c>
      <c r="C523" s="5" t="s">
        <v>4495</v>
      </c>
      <c r="D523" s="5" t="str">
        <f>IFERROR(__xludf.DUMMYFUNCTION("""COMPUTED_VALUE"""),"")</f>
        <v/>
      </c>
      <c r="E523" s="5">
        <f>IFERROR(__xludf.DUMMYFUNCTION("""COMPUTED_VALUE"""),0.5992290179313052)</f>
        <v>0.5992290179</v>
      </c>
      <c r="F523" s="5">
        <f>IFERROR(__xludf.DUMMYFUNCTION("""COMPUTED_VALUE"""),1.0)</f>
        <v>1</v>
      </c>
      <c r="G523" s="5">
        <f>IFERROR(__xludf.DUMMYFUNCTION("""COMPUTED_VALUE"""),1.0)</f>
        <v>1</v>
      </c>
      <c r="H523" s="5">
        <f>IFERROR(__xludf.DUMMYFUNCTION("""COMPUTED_VALUE"""),0.9121492746984631)</f>
        <v>0.9121492747</v>
      </c>
      <c r="I523" s="5">
        <v>0.5910221819526726</v>
      </c>
    </row>
    <row r="524">
      <c r="A524" s="5">
        <v>0.058823529411764705</v>
      </c>
      <c r="B524" s="5" t="s">
        <v>4495</v>
      </c>
      <c r="C524" s="5" t="s">
        <v>4495</v>
      </c>
      <c r="D524" s="5" t="str">
        <f>IFERROR(__xludf.DUMMYFUNCTION("""COMPUTED_VALUE"""),"")</f>
        <v/>
      </c>
      <c r="E524" s="5">
        <f>IFERROR(__xludf.DUMMYFUNCTION("""COMPUTED_VALUE"""),0.0)</f>
        <v>0</v>
      </c>
      <c r="F524" s="5" t="str">
        <f>IFERROR(__xludf.DUMMYFUNCTION("""COMPUTED_VALUE"""),"")</f>
        <v/>
      </c>
      <c r="G524" s="5">
        <f>IFERROR(__xludf.DUMMYFUNCTION("""COMPUTED_VALUE"""),1.0)</f>
        <v>1</v>
      </c>
      <c r="H524" s="5" t="str">
        <f>IFERROR(__xludf.DUMMYFUNCTION("""COMPUTED_VALUE"""),"")</f>
        <v/>
      </c>
      <c r="I524" s="5">
        <v>0.15</v>
      </c>
    </row>
    <row r="525">
      <c r="A525" s="5">
        <v>0.11213720316622691</v>
      </c>
      <c r="B525" s="5">
        <v>0.0</v>
      </c>
      <c r="C525" s="5" t="s">
        <v>4495</v>
      </c>
      <c r="D525" s="5" t="str">
        <f>IFERROR(__xludf.DUMMYFUNCTION("""COMPUTED_VALUE"""),"")</f>
        <v/>
      </c>
      <c r="E525" s="5">
        <f>IFERROR(__xludf.DUMMYFUNCTION("""COMPUTED_VALUE"""),0.5992290179313052)</f>
        <v>0.5992290179</v>
      </c>
      <c r="F525" s="5">
        <f>IFERROR(__xludf.DUMMYFUNCTION("""COMPUTED_VALUE"""),1.0)</f>
        <v>1</v>
      </c>
      <c r="G525" s="5">
        <f>IFERROR(__xludf.DUMMYFUNCTION("""COMPUTED_VALUE"""),1.0)</f>
        <v>1</v>
      </c>
      <c r="H525" s="5">
        <f>IFERROR(__xludf.DUMMYFUNCTION("""COMPUTED_VALUE"""),0.7332639947369389)</f>
        <v>0.7332639947</v>
      </c>
      <c r="I525" s="5">
        <v>0.5731336539565203</v>
      </c>
    </row>
    <row r="526">
      <c r="A526" s="5">
        <v>0.15638575152041703</v>
      </c>
      <c r="B526" s="5">
        <v>0.0</v>
      </c>
      <c r="C526" s="5" t="s">
        <v>4495</v>
      </c>
      <c r="D526" s="5" t="str">
        <f>IFERROR(__xludf.DUMMYFUNCTION("""COMPUTED_VALUE"""),"")</f>
        <v/>
      </c>
      <c r="E526" s="5">
        <f>IFERROR(__xludf.DUMMYFUNCTION("""COMPUTED_VALUE"""),1.0)</f>
        <v>1</v>
      </c>
      <c r="F526" s="5">
        <f>IFERROR(__xludf.DUMMYFUNCTION("""COMPUTED_VALUE"""),1.0)</f>
        <v>1</v>
      </c>
      <c r="G526" s="5">
        <f>IFERROR(__xludf.DUMMYFUNCTION("""COMPUTED_VALUE"""),1.0)</f>
        <v>1</v>
      </c>
      <c r="H526" s="5">
        <f>IFERROR(__xludf.DUMMYFUNCTION("""COMPUTED_VALUE"""),0.8985187633496309)</f>
        <v>0.8985187633</v>
      </c>
      <c r="I526" s="5">
        <v>0.689851876334963</v>
      </c>
    </row>
    <row r="527">
      <c r="A527" s="5">
        <v>0.061016949152542375</v>
      </c>
      <c r="B527" s="5" t="s">
        <v>4495</v>
      </c>
      <c r="C527" s="5" t="s">
        <v>4495</v>
      </c>
      <c r="D527" s="5" t="str">
        <f>IFERROR(__xludf.DUMMYFUNCTION("""COMPUTED_VALUE"""),"")</f>
        <v/>
      </c>
      <c r="E527" s="5">
        <f>IFERROR(__xludf.DUMMYFUNCTION("""COMPUTED_VALUE"""),0.055572302376616874)</f>
        <v>0.05557230238</v>
      </c>
      <c r="F527" s="5" t="str">
        <f>IFERROR(__xludf.DUMMYFUNCTION("""COMPUTED_VALUE"""),"")</f>
        <v/>
      </c>
      <c r="G527" s="5">
        <f>IFERROR(__xludf.DUMMYFUNCTION("""COMPUTED_VALUE"""),1.0)</f>
        <v>1</v>
      </c>
      <c r="H527" s="5">
        <f>IFERROR(__xludf.DUMMYFUNCTION("""COMPUTED_VALUE"""),1.0)</f>
        <v>1</v>
      </c>
      <c r="I527" s="5">
        <v>0.2638930755941542</v>
      </c>
    </row>
    <row r="528">
      <c r="A528" s="5">
        <v>0.046636085626911315</v>
      </c>
      <c r="B528" s="5" t="s">
        <v>4495</v>
      </c>
      <c r="C528" s="5" t="s">
        <v>4495</v>
      </c>
      <c r="D528" s="5" t="str">
        <f>IFERROR(__xludf.DUMMYFUNCTION("""COMPUTED_VALUE"""),"")</f>
        <v/>
      </c>
      <c r="E528" s="5">
        <f>IFERROR(__xludf.DUMMYFUNCTION("""COMPUTED_VALUE"""),0.3768340340141598)</f>
        <v>0.376834034</v>
      </c>
      <c r="F528" s="5" t="str">
        <f>IFERROR(__xludf.DUMMYFUNCTION("""COMPUTED_VALUE"""),"")</f>
        <v/>
      </c>
      <c r="G528" s="5">
        <f>IFERROR(__xludf.DUMMYFUNCTION("""COMPUTED_VALUE"""),1.0)</f>
        <v>1</v>
      </c>
      <c r="H528" s="5">
        <f>IFERROR(__xludf.DUMMYFUNCTION("""COMPUTED_VALUE"""),0.5759602604370906)</f>
        <v>0.5759602604</v>
      </c>
      <c r="I528" s="5">
        <v>0.301804534547249</v>
      </c>
    </row>
    <row r="529">
      <c r="A529" s="5">
        <v>0.08197831978319783</v>
      </c>
      <c r="B529" s="5">
        <v>1.0</v>
      </c>
      <c r="C529" s="5" t="s">
        <v>4495</v>
      </c>
      <c r="D529" s="5" t="str">
        <f>IFERROR(__xludf.DUMMYFUNCTION("""COMPUTED_VALUE"""),"")</f>
        <v/>
      </c>
      <c r="E529" s="5">
        <f>IFERROR(__xludf.DUMMYFUNCTION("""COMPUTED_VALUE"""),0.24455047616844922)</f>
        <v>0.2445504762</v>
      </c>
      <c r="F529" s="5">
        <f>IFERROR(__xludf.DUMMYFUNCTION("""COMPUTED_VALUE"""),1.0)</f>
        <v>1</v>
      </c>
      <c r="G529" s="5">
        <f>IFERROR(__xludf.DUMMYFUNCTION("""COMPUTED_VALUE"""),1.0)</f>
        <v>1</v>
      </c>
      <c r="H529" s="5">
        <f>IFERROR(__xludf.DUMMYFUNCTION("""COMPUTED_VALUE"""),0.5471878814913675)</f>
        <v>0.5471878815</v>
      </c>
      <c r="I529" s="5">
        <v>0.4658564071912491</v>
      </c>
    </row>
    <row r="530">
      <c r="A530" s="5">
        <v>0.07906558849955077</v>
      </c>
      <c r="B530" s="5">
        <v>1.0</v>
      </c>
      <c r="C530" s="5" t="s">
        <v>4495</v>
      </c>
      <c r="D530" s="5" t="str">
        <f>IFERROR(__xludf.DUMMYFUNCTION("""COMPUTED_VALUE"""),"")</f>
        <v/>
      </c>
      <c r="E530" s="5">
        <f>IFERROR(__xludf.DUMMYFUNCTION("""COMPUTED_VALUE"""),0.6666767451651121)</f>
        <v>0.6666767452</v>
      </c>
      <c r="F530" s="5">
        <f>IFERROR(__xludf.DUMMYFUNCTION("""COMPUTED_VALUE"""),1.0)</f>
        <v>1</v>
      </c>
      <c r="G530" s="5">
        <f>IFERROR(__xludf.DUMMYFUNCTION("""COMPUTED_VALUE"""),1.0)</f>
        <v>1</v>
      </c>
      <c r="H530" s="5">
        <f>IFERROR(__xludf.DUMMYFUNCTION("""COMPUTED_VALUE"""),0.9969047324297226)</f>
        <v>0.9969047324</v>
      </c>
      <c r="I530" s="5">
        <v>0.6163596595342502</v>
      </c>
    </row>
    <row r="531">
      <c r="A531" s="5">
        <v>0.18913226621735468</v>
      </c>
      <c r="B531" s="5">
        <v>0.0</v>
      </c>
      <c r="C531" s="5" t="s">
        <v>4495</v>
      </c>
      <c r="D531" s="5" t="str">
        <f>IFERROR(__xludf.DUMMYFUNCTION("""COMPUTED_VALUE"""),"")</f>
        <v/>
      </c>
      <c r="E531" s="5">
        <f>IFERROR(__xludf.DUMMYFUNCTION("""COMPUTED_VALUE"""),0.9247150311864794)</f>
        <v>0.9247150312</v>
      </c>
      <c r="F531" s="5">
        <f>IFERROR(__xludf.DUMMYFUNCTION("""COMPUTED_VALUE"""),1.0)</f>
        <v>1</v>
      </c>
      <c r="G531" s="5">
        <f>IFERROR(__xludf.DUMMYFUNCTION("""COMPUTED_VALUE"""),1.0)</f>
        <v>1</v>
      </c>
      <c r="H531" s="5">
        <f>IFERROR(__xludf.DUMMYFUNCTION("""COMPUTED_VALUE"""),0.4042057943479249)</f>
        <v>0.4042057943</v>
      </c>
      <c r="I531" s="5">
        <v>0.6215993372314124</v>
      </c>
    </row>
    <row r="532">
      <c r="A532" s="5">
        <v>0.06696007544797233</v>
      </c>
      <c r="B532" s="5" t="s">
        <v>4495</v>
      </c>
      <c r="C532" s="5" t="s">
        <v>4495</v>
      </c>
      <c r="D532" s="5" t="str">
        <f>IFERROR(__xludf.DUMMYFUNCTION("""COMPUTED_VALUE"""),"")</f>
        <v/>
      </c>
      <c r="E532" s="5">
        <f>IFERROR(__xludf.DUMMYFUNCTION("""COMPUTED_VALUE"""),0.5658122078059921)</f>
        <v>0.5658122078</v>
      </c>
      <c r="F532" s="5" t="str">
        <f>IFERROR(__xludf.DUMMYFUNCTION("""COMPUTED_VALUE"""),"")</f>
        <v/>
      </c>
      <c r="G532" s="5">
        <f>IFERROR(__xludf.DUMMYFUNCTION("""COMPUTED_VALUE"""),1.0)</f>
        <v>1</v>
      </c>
      <c r="H532" s="5">
        <f>IFERROR(__xludf.DUMMYFUNCTION("""COMPUTED_VALUE"""),0.5597603386555386)</f>
        <v>0.5597603387</v>
      </c>
      <c r="I532" s="5">
        <v>0.3474290858170519</v>
      </c>
    </row>
    <row r="533">
      <c r="A533" s="5">
        <v>0.07598862755233911</v>
      </c>
      <c r="B533" s="5">
        <v>0.0</v>
      </c>
      <c r="C533" s="5" t="s">
        <v>4495</v>
      </c>
      <c r="D533" s="5" t="str">
        <f>IFERROR(__xludf.DUMMYFUNCTION("""COMPUTED_VALUE"""),"")</f>
        <v/>
      </c>
      <c r="E533" s="5">
        <f>IFERROR(__xludf.DUMMYFUNCTION("""COMPUTED_VALUE"""),0.6960865272992703)</f>
        <v>0.6960865273</v>
      </c>
      <c r="F533" s="5">
        <f>IFERROR(__xludf.DUMMYFUNCTION("""COMPUTED_VALUE"""),1.0)</f>
        <v>1</v>
      </c>
      <c r="G533" s="5">
        <f>IFERROR(__xludf.DUMMYFUNCTION("""COMPUTED_VALUE"""),1.0)</f>
        <v>1</v>
      </c>
      <c r="H533" s="5">
        <f>IFERROR(__xludf.DUMMYFUNCTION("""COMPUTED_VALUE"""),0.8948082015634227)</f>
        <v>0.8948082016</v>
      </c>
      <c r="I533" s="5">
        <v>0.6135024519811599</v>
      </c>
    </row>
    <row r="534">
      <c r="A534" s="5">
        <v>0.1341557440246723</v>
      </c>
      <c r="B534" s="5">
        <v>1.0</v>
      </c>
      <c r="C534" s="5" t="s">
        <v>4495</v>
      </c>
      <c r="D534" s="5" t="str">
        <f>IFERROR(__xludf.DUMMYFUNCTION("""COMPUTED_VALUE"""),"")</f>
        <v/>
      </c>
      <c r="E534" s="5">
        <f>IFERROR(__xludf.DUMMYFUNCTION("""COMPUTED_VALUE"""),0.3963174424868398)</f>
        <v>0.3963174425</v>
      </c>
      <c r="F534" s="5">
        <f>IFERROR(__xludf.DUMMYFUNCTION("""COMPUTED_VALUE"""),1.0)</f>
        <v>1</v>
      </c>
      <c r="G534" s="5">
        <f>IFERROR(__xludf.DUMMYFUNCTION("""COMPUTED_VALUE"""),1.0)</f>
        <v>1</v>
      </c>
      <c r="H534" s="5">
        <f>IFERROR(__xludf.DUMMYFUNCTION("""COMPUTED_VALUE"""),0.12115616512388203)</f>
        <v>0.1211561651</v>
      </c>
      <c r="I534" s="5">
        <v>0.4611949771340981</v>
      </c>
    </row>
    <row r="535">
      <c r="A535" s="5">
        <v>0.023241073315022183</v>
      </c>
      <c r="B535" s="5" t="s">
        <v>4495</v>
      </c>
      <c r="C535" s="5" t="s">
        <v>4495</v>
      </c>
      <c r="D535" s="5" t="str">
        <f>IFERROR(__xludf.DUMMYFUNCTION("""COMPUTED_VALUE"""),"")</f>
        <v/>
      </c>
      <c r="E535" s="5">
        <f>IFERROR(__xludf.DUMMYFUNCTION("""COMPUTED_VALUE"""),0.6198591523092037)</f>
        <v>0.6198591523</v>
      </c>
      <c r="F535" s="5" t="str">
        <f>IFERROR(__xludf.DUMMYFUNCTION("""COMPUTED_VALUE"""),"")</f>
        <v/>
      </c>
      <c r="G535" s="5">
        <f>IFERROR(__xludf.DUMMYFUNCTION("""COMPUTED_VALUE"""),1.0)</f>
        <v>1</v>
      </c>
      <c r="H535" s="5">
        <f>IFERROR(__xludf.DUMMYFUNCTION("""COMPUTED_VALUE"""),0.6175420474412181)</f>
        <v>0.6175420474</v>
      </c>
      <c r="I535" s="5">
        <v>0.36671899282142273</v>
      </c>
    </row>
    <row r="536">
      <c r="A536" s="5">
        <v>0.12480252764612954</v>
      </c>
      <c r="B536" s="5">
        <v>0.0</v>
      </c>
      <c r="C536" s="5" t="s">
        <v>4495</v>
      </c>
      <c r="D536" s="5" t="str">
        <f>IFERROR(__xludf.DUMMYFUNCTION("""COMPUTED_VALUE"""),"")</f>
        <v/>
      </c>
      <c r="E536" s="5">
        <f>IFERROR(__xludf.DUMMYFUNCTION("""COMPUTED_VALUE"""),1.0)</f>
        <v>1</v>
      </c>
      <c r="F536" s="5">
        <f>IFERROR(__xludf.DUMMYFUNCTION("""COMPUTED_VALUE"""),1.0)</f>
        <v>1</v>
      </c>
      <c r="G536" s="5">
        <f>IFERROR(__xludf.DUMMYFUNCTION("""COMPUTED_VALUE"""),1.0)</f>
        <v>1</v>
      </c>
      <c r="H536" s="5">
        <f>IFERROR(__xludf.DUMMYFUNCTION("""COMPUTED_VALUE"""),0.5070483768501975)</f>
        <v>0.5070483769</v>
      </c>
      <c r="I536" s="5">
        <v>0.6507048376850197</v>
      </c>
    </row>
    <row r="537">
      <c r="A537" s="5">
        <v>0.056572769953051646</v>
      </c>
      <c r="B537" s="5" t="s">
        <v>4495</v>
      </c>
      <c r="C537" s="5" t="s">
        <v>4495</v>
      </c>
      <c r="D537" s="5" t="str">
        <f>IFERROR(__xludf.DUMMYFUNCTION("""COMPUTED_VALUE"""),"")</f>
        <v/>
      </c>
      <c r="E537" s="5">
        <f>IFERROR(__xludf.DUMMYFUNCTION("""COMPUTED_VALUE"""),0.3963174424868398)</f>
        <v>0.3963174425</v>
      </c>
      <c r="F537" s="5" t="str">
        <f>IFERROR(__xludf.DUMMYFUNCTION("""COMPUTED_VALUE"""),"")</f>
        <v/>
      </c>
      <c r="G537" s="5">
        <f>IFERROR(__xludf.DUMMYFUNCTION("""COMPUTED_VALUE"""),1.0)</f>
        <v>1</v>
      </c>
      <c r="H537" s="5">
        <f>IFERROR(__xludf.DUMMYFUNCTION("""COMPUTED_VALUE"""),0.7049885433277757)</f>
        <v>0.7049885433</v>
      </c>
      <c r="I537" s="5">
        <v>0.3195782149544875</v>
      </c>
    </row>
    <row r="538">
      <c r="A538" s="5">
        <v>0.12297570850202429</v>
      </c>
      <c r="B538" s="5">
        <v>0.0</v>
      </c>
      <c r="C538" s="5" t="s">
        <v>4495</v>
      </c>
      <c r="D538" s="5" t="str">
        <f>IFERROR(__xludf.DUMMYFUNCTION("""COMPUTED_VALUE"""),"")</f>
        <v/>
      </c>
      <c r="E538" s="5">
        <f>IFERROR(__xludf.DUMMYFUNCTION("""COMPUTED_VALUE"""),0.6795841339910054)</f>
        <v>0.679584134</v>
      </c>
      <c r="F538" s="5">
        <f>IFERROR(__xludf.DUMMYFUNCTION("""COMPUTED_VALUE"""),1.0)</f>
        <v>1</v>
      </c>
      <c r="G538" s="5">
        <f>IFERROR(__xludf.DUMMYFUNCTION("""COMPUTED_VALUE"""),1.0)</f>
        <v>1</v>
      </c>
      <c r="H538" s="5">
        <f>IFERROR(__xludf.DUMMYFUNCTION("""COMPUTED_VALUE"""),0.6282045419740796)</f>
        <v>0.628204542</v>
      </c>
      <c r="I538" s="5">
        <v>0.5827164876951594</v>
      </c>
    </row>
    <row r="539">
      <c r="A539" s="5">
        <v>0.06429615197272284</v>
      </c>
      <c r="B539" s="5">
        <v>0.0</v>
      </c>
      <c r="C539" s="5" t="s">
        <v>4495</v>
      </c>
      <c r="D539" s="5" t="str">
        <f>IFERROR(__xludf.DUMMYFUNCTION("""COMPUTED_VALUE"""),"")</f>
        <v/>
      </c>
      <c r="E539" s="5">
        <f>IFERROR(__xludf.DUMMYFUNCTION("""COMPUTED_VALUE"""),0.4570684369953818)</f>
        <v>0.457068437</v>
      </c>
      <c r="F539" s="5">
        <f>IFERROR(__xludf.DUMMYFUNCTION("""COMPUTED_VALUE"""),1.0)</f>
        <v>1</v>
      </c>
      <c r="G539" s="5">
        <f>IFERROR(__xludf.DUMMYFUNCTION("""COMPUTED_VALUE"""),1.0)</f>
        <v>1</v>
      </c>
      <c r="H539" s="5">
        <f>IFERROR(__xludf.DUMMYFUNCTION("""COMPUTED_VALUE"""),1.0)</f>
        <v>1</v>
      </c>
      <c r="I539" s="5">
        <v>0.5642671092488455</v>
      </c>
    </row>
    <row r="540">
      <c r="A540" s="5" t="s">
        <v>4495</v>
      </c>
      <c r="B540" s="5" t="s">
        <v>4495</v>
      </c>
      <c r="C540" s="5" t="s">
        <v>4495</v>
      </c>
      <c r="D540" s="5" t="str">
        <f>IFERROR(__xludf.DUMMYFUNCTION("""COMPUTED_VALUE"""),"")</f>
        <v/>
      </c>
      <c r="E540" s="5">
        <f>IFERROR(__xludf.DUMMYFUNCTION("""COMPUTED_VALUE"""),0.5884401318226129)</f>
        <v>0.5884401318</v>
      </c>
      <c r="F540" s="5" t="str">
        <f>IFERROR(__xludf.DUMMYFUNCTION("""COMPUTED_VALUE"""),"")</f>
        <v/>
      </c>
      <c r="G540" s="5" t="str">
        <f>IFERROR(__xludf.DUMMYFUNCTION("""COMPUTED_VALUE"""),"")</f>
        <v/>
      </c>
      <c r="H540" s="5">
        <f>IFERROR(__xludf.DUMMYFUNCTION("""COMPUTED_VALUE"""),0.7729059848035676)</f>
        <v>0.7729059848</v>
      </c>
      <c r="I540" s="5">
        <v>0.22440063143601</v>
      </c>
    </row>
    <row r="541">
      <c r="A541" s="5">
        <v>0.1591375770020534</v>
      </c>
      <c r="B541" s="5">
        <v>0.0</v>
      </c>
      <c r="C541" s="5" t="s">
        <v>4495</v>
      </c>
      <c r="D541" s="5" t="str">
        <f>IFERROR(__xludf.DUMMYFUNCTION("""COMPUTED_VALUE"""),"")</f>
        <v/>
      </c>
      <c r="E541" s="5">
        <f>IFERROR(__xludf.DUMMYFUNCTION("""COMPUTED_VALUE"""),0.5716075650904038)</f>
        <v>0.5716075651</v>
      </c>
      <c r="F541" s="5">
        <f>IFERROR(__xludf.DUMMYFUNCTION("""COMPUTED_VALUE"""),1.0)</f>
        <v>1</v>
      </c>
      <c r="G541" s="5">
        <f>IFERROR(__xludf.DUMMYFUNCTION("""COMPUTED_VALUE"""),1.0)</f>
        <v>1</v>
      </c>
      <c r="H541" s="5">
        <f>IFERROR(__xludf.DUMMYFUNCTION("""COMPUTED_VALUE"""),0.044372163770186025)</f>
        <v>0.04437216377</v>
      </c>
      <c r="I541" s="5">
        <v>0.4973391076496196</v>
      </c>
    </row>
    <row r="542">
      <c r="A542" s="5">
        <v>0.04446769552707298</v>
      </c>
      <c r="B542" s="5" t="s">
        <v>4495</v>
      </c>
      <c r="C542" s="5" t="s">
        <v>4495</v>
      </c>
      <c r="D542" s="5" t="str">
        <f>IFERROR(__xludf.DUMMYFUNCTION("""COMPUTED_VALUE"""),"")</f>
        <v/>
      </c>
      <c r="E542" s="5">
        <f>IFERROR(__xludf.DUMMYFUNCTION("""COMPUTED_VALUE"""),0.33428356644099017)</f>
        <v>0.3342835664</v>
      </c>
      <c r="F542" s="5" t="str">
        <f>IFERROR(__xludf.DUMMYFUNCTION("""COMPUTED_VALUE"""),"")</f>
        <v/>
      </c>
      <c r="G542" s="5">
        <f>IFERROR(__xludf.DUMMYFUNCTION("""COMPUTED_VALUE"""),1.0)</f>
        <v>1</v>
      </c>
      <c r="H542" s="5">
        <f>IFERROR(__xludf.DUMMYFUNCTION("""COMPUTED_VALUE"""),0.7545924021819583)</f>
        <v>0.7545924022</v>
      </c>
      <c r="I542" s="5">
        <v>0.30903013182844336</v>
      </c>
    </row>
    <row r="543">
      <c r="A543" s="5">
        <v>0.03986513288377628</v>
      </c>
      <c r="B543" s="5" t="s">
        <v>4495</v>
      </c>
      <c r="C543" s="5" t="s">
        <v>4495</v>
      </c>
      <c r="D543" s="5" t="str">
        <f>IFERROR(__xludf.DUMMYFUNCTION("""COMPUTED_VALUE"""),"")</f>
        <v/>
      </c>
      <c r="E543" s="5">
        <f>IFERROR(__xludf.DUMMYFUNCTION("""COMPUTED_VALUE"""),0.3963174424868398)</f>
        <v>0.3963174425</v>
      </c>
      <c r="F543" s="5" t="str">
        <f>IFERROR(__xludf.DUMMYFUNCTION("""COMPUTED_VALUE"""),"")</f>
        <v/>
      </c>
      <c r="G543" s="5">
        <f>IFERROR(__xludf.DUMMYFUNCTION("""COMPUTED_VALUE"""),1.0)</f>
        <v>1</v>
      </c>
      <c r="H543" s="5">
        <f>IFERROR(__xludf.DUMMYFUNCTION("""COMPUTED_VALUE"""),0.48226793336967605)</f>
        <v>0.4822679334</v>
      </c>
      <c r="I543" s="5">
        <v>0.29730615395867754</v>
      </c>
    </row>
    <row r="544">
      <c r="A544" s="5" t="s">
        <v>4495</v>
      </c>
      <c r="B544" s="5" t="s">
        <v>4495</v>
      </c>
      <c r="C544" s="5" t="s">
        <v>4495</v>
      </c>
      <c r="D544" s="5" t="str">
        <f>IFERROR(__xludf.DUMMYFUNCTION("""COMPUTED_VALUE"""),"")</f>
        <v/>
      </c>
      <c r="E544" s="5">
        <f>IFERROR(__xludf.DUMMYFUNCTION("""COMPUTED_VALUE"""),0.4147749215282351)</f>
        <v>0.4147749215</v>
      </c>
      <c r="F544" s="5" t="str">
        <f>IFERROR(__xludf.DUMMYFUNCTION("""COMPUTED_VALUE"""),"")</f>
        <v/>
      </c>
      <c r="G544" s="5" t="str">
        <f>IFERROR(__xludf.DUMMYFUNCTION("""COMPUTED_VALUE"""),"")</f>
        <v/>
      </c>
      <c r="H544" s="5">
        <f>IFERROR(__xludf.DUMMYFUNCTION("""COMPUTED_VALUE"""),0.5679381885870348)</f>
        <v>0.5679381886</v>
      </c>
      <c r="I544" s="5">
        <v>0.16048754924076225</v>
      </c>
    </row>
    <row r="545">
      <c r="A545" s="5">
        <v>0.07431225437656305</v>
      </c>
      <c r="B545" s="5" t="s">
        <v>4495</v>
      </c>
      <c r="C545" s="5" t="s">
        <v>4495</v>
      </c>
      <c r="D545" s="5" t="str">
        <f>IFERROR(__xludf.DUMMYFUNCTION("""COMPUTED_VALUE"""),"")</f>
        <v/>
      </c>
      <c r="E545" s="5">
        <f>IFERROR(__xludf.DUMMYFUNCTION("""COMPUTED_VALUE"""),0.12364556257381001)</f>
        <v>0.1236455626</v>
      </c>
      <c r="F545" s="5" t="str">
        <f>IFERROR(__xludf.DUMMYFUNCTION("""COMPUTED_VALUE"""),"")</f>
        <v/>
      </c>
      <c r="G545" s="5">
        <f>IFERROR(__xludf.DUMMYFUNCTION("""COMPUTED_VALUE"""),1.0)</f>
        <v>1</v>
      </c>
      <c r="H545" s="5">
        <f>IFERROR(__xludf.DUMMYFUNCTION("""COMPUTED_VALUE"""),0.7386982125651004)</f>
        <v>0.7386982126</v>
      </c>
      <c r="I545" s="5">
        <v>0.2547812118999625</v>
      </c>
    </row>
    <row r="546">
      <c r="A546" s="5">
        <v>0.03506311360448808</v>
      </c>
      <c r="B546" s="5" t="s">
        <v>4495</v>
      </c>
      <c r="C546" s="5" t="s">
        <v>4495</v>
      </c>
      <c r="D546" s="5" t="str">
        <f>IFERROR(__xludf.DUMMYFUNCTION("""COMPUTED_VALUE"""),"")</f>
        <v/>
      </c>
      <c r="E546" s="5">
        <f>IFERROR(__xludf.DUMMYFUNCTION("""COMPUTED_VALUE"""),0.0)</f>
        <v>0</v>
      </c>
      <c r="F546" s="5" t="str">
        <f>IFERROR(__xludf.DUMMYFUNCTION("""COMPUTED_VALUE"""),"")</f>
        <v/>
      </c>
      <c r="G546" s="5">
        <f>IFERROR(__xludf.DUMMYFUNCTION("""COMPUTED_VALUE"""),1.0)</f>
        <v>1</v>
      </c>
      <c r="H546" s="5">
        <f>IFERROR(__xludf.DUMMYFUNCTION("""COMPUTED_VALUE"""),0.0)</f>
        <v>0</v>
      </c>
      <c r="I546" s="5">
        <v>0.15</v>
      </c>
    </row>
    <row r="547">
      <c r="A547" s="5">
        <v>0.125</v>
      </c>
      <c r="B547" s="5">
        <v>1.0</v>
      </c>
      <c r="C547" s="5" t="s">
        <v>4495</v>
      </c>
      <c r="D547" s="5" t="str">
        <f>IFERROR(__xludf.DUMMYFUNCTION("""COMPUTED_VALUE"""),"")</f>
        <v/>
      </c>
      <c r="E547" s="5">
        <f>IFERROR(__xludf.DUMMYFUNCTION("""COMPUTED_VALUE"""),0.43230913174650915)</f>
        <v>0.4323091317</v>
      </c>
      <c r="F547" s="5">
        <f>IFERROR(__xludf.DUMMYFUNCTION("""COMPUTED_VALUE"""),1.0)</f>
        <v>1</v>
      </c>
      <c r="G547" s="5">
        <f>IFERROR(__xludf.DUMMYFUNCTION("""COMPUTED_VALUE"""),1.0)</f>
        <v>1</v>
      </c>
      <c r="H547" s="5">
        <f>IFERROR(__xludf.DUMMYFUNCTION("""COMPUTED_VALUE"""),0.7221805645984484)</f>
        <v>0.7221805646</v>
      </c>
      <c r="I547" s="5">
        <v>0.5302953393964721</v>
      </c>
    </row>
    <row r="548">
      <c r="A548" s="5" t="s">
        <v>4495</v>
      </c>
      <c r="B548" s="5" t="s">
        <v>4495</v>
      </c>
      <c r="C548" s="5" t="s">
        <v>4495</v>
      </c>
      <c r="D548" s="5" t="str">
        <f>IFERROR(__xludf.DUMMYFUNCTION("""COMPUTED_VALUE"""),"")</f>
        <v/>
      </c>
      <c r="E548" s="5">
        <f>IFERROR(__xludf.DUMMYFUNCTION("""COMPUTED_VALUE"""),0.5353050503378812)</f>
        <v>0.5353050503</v>
      </c>
      <c r="F548" s="5" t="str">
        <f>IFERROR(__xludf.DUMMYFUNCTION("""COMPUTED_VALUE"""),"")</f>
        <v/>
      </c>
      <c r="G548" s="5" t="str">
        <f>IFERROR(__xludf.DUMMYFUNCTION("""COMPUTED_VALUE"""),"")</f>
        <v/>
      </c>
      <c r="H548" s="5">
        <f>IFERROR(__xludf.DUMMYFUNCTION("""COMPUTED_VALUE"""),0.0)</f>
        <v>0</v>
      </c>
      <c r="I548" s="5">
        <v>0.1338262625844703</v>
      </c>
    </row>
    <row r="549">
      <c r="A549" s="5">
        <v>0.06049149338374291</v>
      </c>
      <c r="B549" s="5">
        <v>0.0</v>
      </c>
      <c r="C549" s="5" t="s">
        <v>4495</v>
      </c>
      <c r="D549" s="5" t="str">
        <f>IFERROR(__xludf.DUMMYFUNCTION("""COMPUTED_VALUE"""),"")</f>
        <v/>
      </c>
      <c r="E549" s="5">
        <f>IFERROR(__xludf.DUMMYFUNCTION("""COMPUTED_VALUE"""),0.4490080559640544)</f>
        <v>0.449008056</v>
      </c>
      <c r="F549" s="5">
        <f>IFERROR(__xludf.DUMMYFUNCTION("""COMPUTED_VALUE"""),1.0)</f>
        <v>1</v>
      </c>
      <c r="G549" s="5">
        <f>IFERROR(__xludf.DUMMYFUNCTION("""COMPUTED_VALUE"""),1.0)</f>
        <v>1</v>
      </c>
      <c r="H549" s="5">
        <f>IFERROR(__xludf.DUMMYFUNCTION("""COMPUTED_VALUE"""),0.6420138459549198)</f>
        <v>0.642013846</v>
      </c>
      <c r="I549" s="5">
        <v>0.5264533985865055</v>
      </c>
    </row>
    <row r="550">
      <c r="A550" s="5">
        <v>0.08249346771183277</v>
      </c>
      <c r="B550" s="5" t="s">
        <v>4495</v>
      </c>
      <c r="C550" s="5" t="s">
        <v>4495</v>
      </c>
      <c r="D550" s="5" t="str">
        <f>IFERROR(__xludf.DUMMYFUNCTION("""COMPUTED_VALUE"""),"")</f>
        <v/>
      </c>
      <c r="E550" s="5">
        <f>IFERROR(__xludf.DUMMYFUNCTION("""COMPUTED_VALUE"""),0.2726143405923116)</f>
        <v>0.2726143406</v>
      </c>
      <c r="F550" s="5" t="str">
        <f>IFERROR(__xludf.DUMMYFUNCTION("""COMPUTED_VALUE"""),"")</f>
        <v/>
      </c>
      <c r="G550" s="5">
        <f>IFERROR(__xludf.DUMMYFUNCTION("""COMPUTED_VALUE"""),1.0)</f>
        <v>1</v>
      </c>
      <c r="H550" s="5">
        <f>IFERROR(__xludf.DUMMYFUNCTION("""COMPUTED_VALUE"""),0.701464288130925)</f>
        <v>0.7014642881</v>
      </c>
      <c r="I550" s="5">
        <v>0.2883000139611704</v>
      </c>
    </row>
    <row r="551">
      <c r="A551" s="5">
        <v>0.04782608695652174</v>
      </c>
      <c r="B551" s="5">
        <v>0.0</v>
      </c>
      <c r="C551" s="5" t="s">
        <v>4495</v>
      </c>
      <c r="D551" s="5" t="str">
        <f>IFERROR(__xludf.DUMMYFUNCTION("""COMPUTED_VALUE"""),"")</f>
        <v/>
      </c>
      <c r="E551" s="5">
        <f>IFERROR(__xludf.DUMMYFUNCTION("""COMPUTED_VALUE"""),0.22962860153806564)</f>
        <v>0.2296286015</v>
      </c>
      <c r="F551" s="5">
        <f>IFERROR(__xludf.DUMMYFUNCTION("""COMPUTED_VALUE"""),1.0)</f>
        <v>1</v>
      </c>
      <c r="G551" s="5">
        <f>IFERROR(__xludf.DUMMYFUNCTION("""COMPUTED_VALUE"""),1.0)</f>
        <v>1</v>
      </c>
      <c r="H551" s="5">
        <f>IFERROR(__xludf.DUMMYFUNCTION("""COMPUTED_VALUE"""),0.9305199270455304)</f>
        <v>0.930519927</v>
      </c>
      <c r="I551" s="5">
        <v>0.5004591430890695</v>
      </c>
    </row>
    <row r="552">
      <c r="A552" s="5" t="s">
        <v>4495</v>
      </c>
      <c r="B552" s="5" t="s">
        <v>4495</v>
      </c>
      <c r="C552" s="5" t="s">
        <v>4495</v>
      </c>
      <c r="D552" s="5" t="str">
        <f>IFERROR(__xludf.DUMMYFUNCTION("""COMPUTED_VALUE"""),"")</f>
        <v/>
      </c>
      <c r="E552" s="5">
        <f>IFERROR(__xludf.DUMMYFUNCTION("""COMPUTED_VALUE"""),0.31090082806830316)</f>
        <v>0.3109008281</v>
      </c>
      <c r="F552" s="5" t="str">
        <f>IFERROR(__xludf.DUMMYFUNCTION("""COMPUTED_VALUE"""),"")</f>
        <v/>
      </c>
      <c r="G552" s="5" t="str">
        <f>IFERROR(__xludf.DUMMYFUNCTION("""COMPUTED_VALUE"""),"")</f>
        <v/>
      </c>
      <c r="H552" s="5">
        <f>IFERROR(__xludf.DUMMYFUNCTION("""COMPUTED_VALUE"""),0.0)</f>
        <v>0</v>
      </c>
      <c r="I552" s="5">
        <v>0.07772520701707579</v>
      </c>
    </row>
    <row r="553">
      <c r="A553" s="5">
        <v>0.03402957052335132</v>
      </c>
      <c r="B553" s="5" t="s">
        <v>4495</v>
      </c>
      <c r="C553" s="5" t="s">
        <v>4495</v>
      </c>
      <c r="D553" s="5" t="str">
        <f>IFERROR(__xludf.DUMMYFUNCTION("""COMPUTED_VALUE"""),"")</f>
        <v/>
      </c>
      <c r="E553" s="5">
        <f>IFERROR(__xludf.DUMMYFUNCTION("""COMPUTED_VALUE"""),0.0)</f>
        <v>0</v>
      </c>
      <c r="F553" s="5" t="str">
        <f>IFERROR(__xludf.DUMMYFUNCTION("""COMPUTED_VALUE"""),"")</f>
        <v/>
      </c>
      <c r="G553" s="5">
        <f>IFERROR(__xludf.DUMMYFUNCTION("""COMPUTED_VALUE"""),1.0)</f>
        <v>1</v>
      </c>
      <c r="H553" s="5">
        <f>IFERROR(__xludf.DUMMYFUNCTION("""COMPUTED_VALUE"""),0.5719683249718881)</f>
        <v>0.571968325</v>
      </c>
      <c r="I553" s="5">
        <v>0.20719683249718882</v>
      </c>
    </row>
    <row r="554">
      <c r="A554" s="5">
        <v>0.029621621621621623</v>
      </c>
      <c r="B554" s="5" t="s">
        <v>4495</v>
      </c>
      <c r="C554" s="5" t="s">
        <v>4495</v>
      </c>
      <c r="D554" s="5" t="str">
        <f>IFERROR(__xludf.DUMMYFUNCTION("""COMPUTED_VALUE"""),"")</f>
        <v/>
      </c>
      <c r="E554" s="5">
        <f>IFERROR(__xludf.DUMMYFUNCTION("""COMPUTED_VALUE"""),0.35620389963626176)</f>
        <v>0.3562038996</v>
      </c>
      <c r="F554" s="5" t="str">
        <f>IFERROR(__xludf.DUMMYFUNCTION("""COMPUTED_VALUE"""),"")</f>
        <v/>
      </c>
      <c r="G554" s="5">
        <f>IFERROR(__xludf.DUMMYFUNCTION("""COMPUTED_VALUE"""),1.0)</f>
        <v>1</v>
      </c>
      <c r="H554" s="5">
        <f>IFERROR(__xludf.DUMMYFUNCTION("""COMPUTED_VALUE"""),0.0)</f>
        <v>0</v>
      </c>
      <c r="I554" s="5">
        <v>0.23905097490906543</v>
      </c>
    </row>
    <row r="555">
      <c r="A555" s="5">
        <v>0.13718929254302104</v>
      </c>
      <c r="B555" s="5" t="s">
        <v>4495</v>
      </c>
      <c r="C555" s="5" t="s">
        <v>4495</v>
      </c>
      <c r="D555" s="5" t="str">
        <f>IFERROR(__xludf.DUMMYFUNCTION("""COMPUTED_VALUE"""),"")</f>
        <v/>
      </c>
      <c r="E555" s="5">
        <f>IFERROR(__xludf.DUMMYFUNCTION("""COMPUTED_VALUE"""),0.31090082806830316)</f>
        <v>0.3109008281</v>
      </c>
      <c r="F555" s="5" t="str">
        <f>IFERROR(__xludf.DUMMYFUNCTION("""COMPUTED_VALUE"""),"")</f>
        <v/>
      </c>
      <c r="G555" s="5">
        <f>IFERROR(__xludf.DUMMYFUNCTION("""COMPUTED_VALUE"""),1.0)</f>
        <v>1</v>
      </c>
      <c r="H555" s="5">
        <f>IFERROR(__xludf.DUMMYFUNCTION("""COMPUTED_VALUE"""),0.8154822139187963)</f>
        <v>0.8154822139</v>
      </c>
      <c r="I555" s="5">
        <v>0.3092734284089554</v>
      </c>
    </row>
    <row r="556">
      <c r="A556" s="5">
        <v>0.026551982049364247</v>
      </c>
      <c r="B556" s="5">
        <v>0.0</v>
      </c>
      <c r="C556" s="5" t="s">
        <v>4495</v>
      </c>
      <c r="D556" s="5" t="str">
        <f>IFERROR(__xludf.DUMMYFUNCTION("""COMPUTED_VALUE"""),"")</f>
        <v/>
      </c>
      <c r="E556" s="5">
        <f>IFERROR(__xludf.DUMMYFUNCTION("""COMPUTED_VALUE"""),0.79085332604176)</f>
        <v>0.790853326</v>
      </c>
      <c r="F556" s="5">
        <f>IFERROR(__xludf.DUMMYFUNCTION("""COMPUTED_VALUE"""),1.0)</f>
        <v>1</v>
      </c>
      <c r="G556" s="5">
        <f>IFERROR(__xludf.DUMMYFUNCTION("""COMPUTED_VALUE"""),1.0)</f>
        <v>1</v>
      </c>
      <c r="H556" s="5">
        <f>IFERROR(__xludf.DUMMYFUNCTION("""COMPUTED_VALUE"""),0.7895002117391313)</f>
        <v>0.7895002117</v>
      </c>
      <c r="I556" s="5">
        <v>0.6266633526843531</v>
      </c>
    </row>
    <row r="557">
      <c r="A557" s="5">
        <v>0.04040404040404041</v>
      </c>
      <c r="B557" s="5" t="s">
        <v>4495</v>
      </c>
      <c r="C557" s="5" t="s">
        <v>4495</v>
      </c>
      <c r="D557" s="5" t="str">
        <f>IFERROR(__xludf.DUMMYFUNCTION("""COMPUTED_VALUE"""),"")</f>
        <v/>
      </c>
      <c r="E557" s="5">
        <f>IFERROR(__xludf.DUMMYFUNCTION("""COMPUTED_VALUE"""),0.43230913174650915)</f>
        <v>0.4323091317</v>
      </c>
      <c r="F557" s="5" t="str">
        <f>IFERROR(__xludf.DUMMYFUNCTION("""COMPUTED_VALUE"""),"")</f>
        <v/>
      </c>
      <c r="G557" s="5">
        <f>IFERROR(__xludf.DUMMYFUNCTION("""COMPUTED_VALUE"""),1.0)</f>
        <v>1</v>
      </c>
      <c r="H557" s="5">
        <f>IFERROR(__xludf.DUMMYFUNCTION("""COMPUTED_VALUE"""),0.9505782911927704)</f>
        <v>0.9505782912</v>
      </c>
      <c r="I557" s="5">
        <v>0.3531351120559043</v>
      </c>
    </row>
    <row r="558">
      <c r="A558" s="5">
        <v>0.13222156045265038</v>
      </c>
      <c r="B558" s="5">
        <v>0.0</v>
      </c>
      <c r="C558" s="5" t="s">
        <v>4495</v>
      </c>
      <c r="D558" s="5" t="str">
        <f>IFERROR(__xludf.DUMMYFUNCTION("""COMPUTED_VALUE"""),"")</f>
        <v/>
      </c>
      <c r="E558" s="5">
        <f>IFERROR(__xludf.DUMMYFUNCTION("""COMPUTED_VALUE"""),0.5884401318226129)</f>
        <v>0.5884401318</v>
      </c>
      <c r="F558" s="5">
        <f>IFERROR(__xludf.DUMMYFUNCTION("""COMPUTED_VALUE"""),1.0)</f>
        <v>1</v>
      </c>
      <c r="G558" s="5">
        <f>IFERROR(__xludf.DUMMYFUNCTION("""COMPUTED_VALUE"""),1.0)</f>
        <v>1</v>
      </c>
      <c r="H558" s="5">
        <f>IFERROR(__xludf.DUMMYFUNCTION("""COMPUTED_VALUE"""),0.6796760138151727)</f>
        <v>0.6796760138</v>
      </c>
      <c r="I558" s="5">
        <v>0.5650776343371705</v>
      </c>
    </row>
    <row r="559">
      <c r="A559" s="5" t="s">
        <v>4495</v>
      </c>
      <c r="B559" s="5" t="s">
        <v>4495</v>
      </c>
      <c r="C559" s="5" t="s">
        <v>4495</v>
      </c>
      <c r="D559" s="5" t="str">
        <f>IFERROR(__xludf.DUMMYFUNCTION("""COMPUTED_VALUE"""),"")</f>
        <v/>
      </c>
      <c r="E559" s="5">
        <f>IFERROR(__xludf.DUMMYFUNCTION("""COMPUTED_VALUE"""),0.18062650857502485)</f>
        <v>0.1806265086</v>
      </c>
      <c r="F559" s="5" t="str">
        <f>IFERROR(__xludf.DUMMYFUNCTION("""COMPUTED_VALUE"""),"")</f>
        <v/>
      </c>
      <c r="G559" s="5" t="str">
        <f>IFERROR(__xludf.DUMMYFUNCTION("""COMPUTED_VALUE"""),"")</f>
        <v/>
      </c>
      <c r="H559" s="5">
        <f>IFERROR(__xludf.DUMMYFUNCTION("""COMPUTED_VALUE"""),0.4413478056349921)</f>
        <v>0.4413478056</v>
      </c>
      <c r="I559" s="5">
        <v>0.08929140770725542</v>
      </c>
    </row>
    <row r="560">
      <c r="A560" s="5">
        <v>0.05367613892647722</v>
      </c>
      <c r="B560" s="5" t="s">
        <v>4495</v>
      </c>
      <c r="C560" s="5" t="s">
        <v>4495</v>
      </c>
      <c r="D560" s="5" t="str">
        <f>IFERROR(__xludf.DUMMYFUNCTION("""COMPUTED_VALUE"""),"")</f>
        <v/>
      </c>
      <c r="E560" s="5">
        <f>IFERROR(__xludf.DUMMYFUNCTION("""COMPUTED_VALUE"""),0.2858465197452526)</f>
        <v>0.2858465197</v>
      </c>
      <c r="F560" s="5" t="str">
        <f>IFERROR(__xludf.DUMMYFUNCTION("""COMPUTED_VALUE"""),"")</f>
        <v/>
      </c>
      <c r="G560" s="5">
        <f>IFERROR(__xludf.DUMMYFUNCTION("""COMPUTED_VALUE"""),1.0)</f>
        <v>1</v>
      </c>
      <c r="H560" s="5">
        <f>IFERROR(__xludf.DUMMYFUNCTION("""COMPUTED_VALUE"""),1.0)</f>
        <v>1</v>
      </c>
      <c r="I560" s="5">
        <v>0.3214616299363131</v>
      </c>
    </row>
    <row r="561">
      <c r="A561" s="5">
        <v>0.09946236559139784</v>
      </c>
      <c r="B561" s="5">
        <v>0.0</v>
      </c>
      <c r="C561" s="5" t="s">
        <v>4495</v>
      </c>
      <c r="D561" s="5" t="str">
        <f>IFERROR(__xludf.DUMMYFUNCTION("""COMPUTED_VALUE"""),"")</f>
        <v/>
      </c>
      <c r="E561" s="5">
        <f>IFERROR(__xludf.DUMMYFUNCTION("""COMPUTED_VALUE"""),0.3454150135275693)</f>
        <v>0.3454150135</v>
      </c>
      <c r="F561" s="5">
        <f>IFERROR(__xludf.DUMMYFUNCTION("""COMPUTED_VALUE"""),1.0)</f>
        <v>1</v>
      </c>
      <c r="G561" s="5">
        <f>IFERROR(__xludf.DUMMYFUNCTION("""COMPUTED_VALUE"""),1.0)</f>
        <v>1</v>
      </c>
      <c r="H561" s="5">
        <f>IFERROR(__xludf.DUMMYFUNCTION("""COMPUTED_VALUE"""),0.48226793336967605)</f>
        <v>0.4822679334</v>
      </c>
      <c r="I561" s="5">
        <v>0.4845805467188599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3.38"/>
    <col customWidth="1" min="2" max="2" width="23.25"/>
    <col customWidth="1" min="3" max="3" width="37.63"/>
    <col customWidth="1" min="4" max="4" width="22.25"/>
    <col customWidth="1" min="6" max="6" width="28.88"/>
    <col customWidth="1" min="7" max="7" width="32.38"/>
    <col customWidth="1" min="8" max="8" width="29.13"/>
    <col customWidth="1" min="9" max="9" width="20.25"/>
    <col customWidth="1" min="10" max="11" width="37.63"/>
    <col customWidth="1" min="12" max="12" width="29.13"/>
    <col customWidth="1" min="13" max="13" width="21.63"/>
    <col customWidth="1" min="14" max="14" width="37.63"/>
    <col customWidth="1" min="15" max="15" width="22.25"/>
    <col customWidth="1" min="16" max="16" width="18.25"/>
    <col customWidth="1" min="17" max="17" width="23.13"/>
    <col customWidth="1" min="18" max="18" width="22.88"/>
    <col customWidth="1" min="19" max="19" width="22.25"/>
    <col customWidth="1" min="20" max="20" width="37.63"/>
    <col customWidth="1" min="21" max="21" width="25.63"/>
    <col customWidth="1" min="22" max="22" width="19.88"/>
    <col customWidth="1" min="23" max="23" width="25.5"/>
    <col customWidth="1" min="24" max="24" width="23.5"/>
    <col customWidth="1" min="25" max="25" width="33.5"/>
    <col customWidth="1" min="26" max="26" width="32.75"/>
    <col customWidth="1" min="27" max="27" width="30.13"/>
    <col customWidth="1" min="28" max="28" width="29.75"/>
    <col customWidth="1" min="29" max="29" width="35.5"/>
    <col customWidth="1" min="30" max="30" width="22.75"/>
    <col customWidth="1" min="31" max="31" width="23.5"/>
  </cols>
  <sheetData>
    <row r="1" ht="21.0" customHeight="1">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4486</v>
      </c>
      <c r="W1" s="8" t="s">
        <v>4487</v>
      </c>
      <c r="X1" s="8" t="s">
        <v>4488</v>
      </c>
      <c r="Y1" s="8" t="s">
        <v>4489</v>
      </c>
      <c r="Z1" s="8" t="s">
        <v>4490</v>
      </c>
      <c r="AA1" s="8" t="s">
        <v>4491</v>
      </c>
      <c r="AB1" s="8" t="s">
        <v>4492</v>
      </c>
      <c r="AC1" s="8" t="s">
        <v>4493</v>
      </c>
      <c r="AD1" s="8" t="s">
        <v>4494</v>
      </c>
      <c r="AE1" s="9" t="s">
        <v>4496</v>
      </c>
    </row>
    <row r="2" ht="21.0" customHeight="1">
      <c r="A2" s="10" t="s">
        <v>21</v>
      </c>
      <c r="B2" s="11" t="s">
        <v>22</v>
      </c>
      <c r="C2" s="12" t="s">
        <v>23</v>
      </c>
      <c r="D2" s="13">
        <v>42838.0</v>
      </c>
      <c r="E2" s="14">
        <v>2017.0</v>
      </c>
      <c r="F2" s="15" t="s">
        <v>26</v>
      </c>
      <c r="G2" s="15" t="s">
        <v>27</v>
      </c>
      <c r="H2" s="14">
        <v>106.0</v>
      </c>
      <c r="I2" s="14">
        <v>1461.0</v>
      </c>
      <c r="J2" s="16"/>
      <c r="K2" s="15" t="s">
        <v>30</v>
      </c>
      <c r="M2" s="17" t="s">
        <v>31</v>
      </c>
      <c r="N2" s="16"/>
      <c r="O2" s="15" t="s">
        <v>32</v>
      </c>
      <c r="P2" s="14">
        <v>7.0</v>
      </c>
      <c r="Q2" s="14"/>
      <c r="R2" s="14">
        <v>14.0</v>
      </c>
      <c r="S2" s="14"/>
      <c r="T2" s="15" t="s">
        <v>35</v>
      </c>
      <c r="U2" s="14">
        <v>1.5</v>
      </c>
      <c r="V2" s="14">
        <v>0.4728155339805825</v>
      </c>
      <c r="W2" s="14" t="s">
        <v>4495</v>
      </c>
      <c r="X2" s="14" t="s">
        <v>4495</v>
      </c>
      <c r="Y2" s="18" t="s">
        <v>4495</v>
      </c>
      <c r="Z2" s="18">
        <v>0.07976197121590477</v>
      </c>
      <c r="AA2" s="18" t="s">
        <v>4495</v>
      </c>
      <c r="AB2" s="18">
        <v>1.0</v>
      </c>
      <c r="AC2" s="18">
        <v>0.0</v>
      </c>
      <c r="AD2" s="18">
        <v>0.1699404928039762</v>
      </c>
      <c r="AE2" s="19" t="s">
        <v>4497</v>
      </c>
    </row>
    <row r="3" ht="21.0" customHeight="1">
      <c r="A3" s="20" t="s">
        <v>21</v>
      </c>
      <c r="B3" s="21" t="s">
        <v>37</v>
      </c>
      <c r="C3" s="22" t="s">
        <v>38</v>
      </c>
      <c r="D3" s="23">
        <v>41061.0</v>
      </c>
      <c r="E3" s="24">
        <v>2012.0</v>
      </c>
      <c r="F3" s="21" t="s">
        <v>41</v>
      </c>
      <c r="G3" s="21" t="s">
        <v>42</v>
      </c>
      <c r="H3" s="24">
        <v>84.0</v>
      </c>
      <c r="I3" s="24">
        <v>995.0</v>
      </c>
      <c r="J3" s="25"/>
      <c r="K3" s="21" t="s">
        <v>45</v>
      </c>
      <c r="L3" s="21" t="s">
        <v>46</v>
      </c>
      <c r="M3" s="26" t="s">
        <v>31</v>
      </c>
      <c r="N3" s="25"/>
      <c r="O3" s="21" t="s">
        <v>47</v>
      </c>
      <c r="P3" s="24"/>
      <c r="Q3" s="24"/>
      <c r="R3" s="24">
        <v>181.0</v>
      </c>
      <c r="S3" s="24"/>
      <c r="T3" s="21" t="s">
        <v>49</v>
      </c>
      <c r="U3" s="24">
        <v>29.5</v>
      </c>
      <c r="V3" s="24">
        <v>0.2044380521882063</v>
      </c>
      <c r="W3" s="24" t="s">
        <v>4495</v>
      </c>
      <c r="X3" s="24" t="s">
        <v>4495</v>
      </c>
      <c r="Y3" s="27" t="s">
        <v>4495</v>
      </c>
      <c r="Z3" s="27">
        <v>0.9548721026215339</v>
      </c>
      <c r="AA3" s="27" t="s">
        <v>4495</v>
      </c>
      <c r="AB3" s="27">
        <v>1.0</v>
      </c>
      <c r="AC3" s="27">
        <v>0.8059258159859609</v>
      </c>
      <c r="AD3" s="27">
        <v>0.4693106072539796</v>
      </c>
      <c r="AE3" s="28" t="s">
        <v>4497</v>
      </c>
    </row>
    <row r="4" ht="21.0" customHeight="1">
      <c r="A4" s="10" t="s">
        <v>21</v>
      </c>
      <c r="B4" s="15" t="s">
        <v>2291</v>
      </c>
      <c r="C4" s="12" t="s">
        <v>2292</v>
      </c>
      <c r="D4" s="13">
        <v>41838.0</v>
      </c>
      <c r="E4" s="14">
        <v>2014.0</v>
      </c>
      <c r="F4" s="15" t="s">
        <v>26</v>
      </c>
      <c r="G4" s="15" t="s">
        <v>42</v>
      </c>
      <c r="H4" s="14">
        <v>3.0</v>
      </c>
      <c r="I4" s="14">
        <v>28.0</v>
      </c>
      <c r="J4" s="16"/>
      <c r="K4" s="15" t="s">
        <v>2294</v>
      </c>
      <c r="L4" s="15" t="s">
        <v>2295</v>
      </c>
      <c r="M4" s="17" t="s">
        <v>59</v>
      </c>
      <c r="N4" s="29" t="s">
        <v>2296</v>
      </c>
      <c r="O4" s="15" t="s">
        <v>2297</v>
      </c>
      <c r="P4" s="14">
        <v>11.0</v>
      </c>
      <c r="Q4" s="14"/>
      <c r="R4" s="14">
        <v>39.0</v>
      </c>
      <c r="S4" s="14"/>
      <c r="T4" s="15" t="s">
        <v>2298</v>
      </c>
      <c r="U4" s="14">
        <v>3.66666666666666</v>
      </c>
      <c r="V4" s="14">
        <v>0.006845965770171149</v>
      </c>
      <c r="W4" s="14" t="s">
        <v>4495</v>
      </c>
      <c r="X4" s="14" t="s">
        <v>4495</v>
      </c>
      <c r="Y4" s="18" t="s">
        <v>4495</v>
      </c>
      <c r="Z4" s="18">
        <v>0.4236516268700686</v>
      </c>
      <c r="AA4" s="18" t="s">
        <v>4495</v>
      </c>
      <c r="AB4" s="18">
        <v>1.0</v>
      </c>
      <c r="AC4" s="18">
        <v>0.015316089267507091</v>
      </c>
      <c r="AD4" s="18">
        <v>0.25744451564426785</v>
      </c>
      <c r="AE4" s="19" t="s">
        <v>4498</v>
      </c>
    </row>
    <row r="5" ht="21.0" customHeight="1">
      <c r="A5" s="20" t="s">
        <v>21</v>
      </c>
      <c r="B5" s="21" t="s">
        <v>66</v>
      </c>
      <c r="C5" s="22" t="s">
        <v>67</v>
      </c>
      <c r="D5" s="23"/>
      <c r="E5" s="24"/>
      <c r="F5" s="21" t="s">
        <v>41</v>
      </c>
      <c r="G5" s="21" t="s">
        <v>42</v>
      </c>
      <c r="H5" s="24">
        <v>71.0</v>
      </c>
      <c r="I5" s="24">
        <v>1426.0</v>
      </c>
      <c r="J5" s="25"/>
      <c r="K5" s="21" t="s">
        <v>70</v>
      </c>
      <c r="L5" s="21" t="s">
        <v>71</v>
      </c>
      <c r="M5" s="26" t="s">
        <v>31</v>
      </c>
      <c r="N5" s="30"/>
      <c r="O5" s="21" t="s">
        <v>72</v>
      </c>
      <c r="P5" s="24">
        <v>9.0</v>
      </c>
      <c r="Q5" s="24"/>
      <c r="R5" s="24">
        <v>71.0</v>
      </c>
      <c r="S5" s="24"/>
      <c r="T5" s="21" t="s">
        <v>74</v>
      </c>
      <c r="U5" s="24">
        <v>6.25</v>
      </c>
      <c r="V5" s="24" t="s">
        <v>4495</v>
      </c>
      <c r="W5" s="24" t="s">
        <v>4495</v>
      </c>
      <c r="X5" s="24" t="s">
        <v>4495</v>
      </c>
      <c r="Y5" s="27" t="s">
        <v>4495</v>
      </c>
      <c r="Z5" s="27">
        <v>0.6297361753994164</v>
      </c>
      <c r="AA5" s="27" t="s">
        <v>4495</v>
      </c>
      <c r="AB5" s="27" t="s">
        <v>4495</v>
      </c>
      <c r="AC5" s="27">
        <v>0.20085468356535413</v>
      </c>
      <c r="AD5" s="27">
        <v>0.1775195122063895</v>
      </c>
      <c r="AE5" s="28" t="s">
        <v>4497</v>
      </c>
    </row>
    <row r="6" ht="21.0" customHeight="1">
      <c r="A6" s="10" t="s">
        <v>21</v>
      </c>
      <c r="B6" s="15" t="s">
        <v>76</v>
      </c>
      <c r="C6" s="12" t="s">
        <v>77</v>
      </c>
      <c r="D6" s="13">
        <v>41660.0</v>
      </c>
      <c r="E6" s="14">
        <v>2014.0</v>
      </c>
      <c r="F6" s="15" t="s">
        <v>41</v>
      </c>
      <c r="G6" s="15" t="s">
        <v>42</v>
      </c>
      <c r="H6" s="14">
        <v>71.0</v>
      </c>
      <c r="I6" s="14">
        <v>1184.0</v>
      </c>
      <c r="J6" s="16"/>
      <c r="K6" s="15" t="s">
        <v>81</v>
      </c>
      <c r="L6" s="15" t="s">
        <v>82</v>
      </c>
      <c r="M6" s="17" t="s">
        <v>31</v>
      </c>
      <c r="N6" s="29"/>
      <c r="O6" s="15" t="s">
        <v>83</v>
      </c>
      <c r="P6" s="14">
        <v>34.0</v>
      </c>
      <c r="Q6" s="14"/>
      <c r="R6" s="14">
        <v>227.0</v>
      </c>
      <c r="S6" s="14"/>
      <c r="T6" s="15" t="s">
        <v>86</v>
      </c>
      <c r="U6" s="14">
        <v>34.6666666666666</v>
      </c>
      <c r="V6" s="14">
        <v>0.2774133083411434</v>
      </c>
      <c r="W6" s="14" t="s">
        <v>4495</v>
      </c>
      <c r="X6" s="14" t="s">
        <v>4495</v>
      </c>
      <c r="Y6" s="18" t="s">
        <v>4495</v>
      </c>
      <c r="Z6" s="18">
        <v>1.0</v>
      </c>
      <c r="AA6" s="18" t="s">
        <v>4495</v>
      </c>
      <c r="AB6" s="18">
        <v>1.0</v>
      </c>
      <c r="AC6" s="18">
        <v>0.87183090148872</v>
      </c>
      <c r="AD6" s="18">
        <v>0.487183090148872</v>
      </c>
      <c r="AE6" s="19" t="s">
        <v>4497</v>
      </c>
    </row>
    <row r="7" ht="21.0" customHeight="1">
      <c r="A7" s="20" t="s">
        <v>21</v>
      </c>
      <c r="B7" s="21" t="s">
        <v>2346</v>
      </c>
      <c r="C7" s="22" t="s">
        <v>2347</v>
      </c>
      <c r="D7" s="23">
        <v>42155.0</v>
      </c>
      <c r="E7" s="24">
        <v>2015.0</v>
      </c>
      <c r="F7" s="21" t="s">
        <v>26</v>
      </c>
      <c r="G7" s="21" t="s">
        <v>27</v>
      </c>
      <c r="H7" s="24">
        <v>3.0</v>
      </c>
      <c r="I7" s="24">
        <v>33.0</v>
      </c>
      <c r="J7" s="25"/>
      <c r="K7" s="21" t="s">
        <v>2349</v>
      </c>
      <c r="L7" s="21" t="s">
        <v>2350</v>
      </c>
      <c r="M7" s="26" t="s">
        <v>59</v>
      </c>
      <c r="N7" s="30" t="s">
        <v>2351</v>
      </c>
      <c r="O7" s="21" t="s">
        <v>2352</v>
      </c>
      <c r="P7" s="24">
        <v>8.0</v>
      </c>
      <c r="Q7" s="24"/>
      <c r="R7" s="24">
        <v>26.0</v>
      </c>
      <c r="S7" s="24"/>
      <c r="T7" s="21" t="s">
        <v>2353</v>
      </c>
      <c r="U7" s="24">
        <v>3.5</v>
      </c>
      <c r="V7" s="24">
        <v>0.008746355685131196</v>
      </c>
      <c r="W7" s="24" t="s">
        <v>4495</v>
      </c>
      <c r="X7" s="24" t="s">
        <v>4495</v>
      </c>
      <c r="Y7" s="27" t="s">
        <v>4495</v>
      </c>
      <c r="Z7" s="27">
        <v>0.2858465197452526</v>
      </c>
      <c r="AA7" s="27" t="s">
        <v>4495</v>
      </c>
      <c r="AB7" s="27">
        <v>1.0</v>
      </c>
      <c r="AC7" s="27">
        <v>0.0</v>
      </c>
      <c r="AD7" s="27">
        <v>0.22146162993631313</v>
      </c>
      <c r="AE7" s="28" t="s">
        <v>4498</v>
      </c>
    </row>
    <row r="8" ht="21.0" customHeight="1">
      <c r="A8" s="10" t="s">
        <v>21</v>
      </c>
      <c r="B8" s="15" t="s">
        <v>102</v>
      </c>
      <c r="C8" s="12" t="s">
        <v>103</v>
      </c>
      <c r="D8" s="13">
        <v>42840.0</v>
      </c>
      <c r="E8" s="14">
        <v>2017.0</v>
      </c>
      <c r="F8" s="15" t="s">
        <v>41</v>
      </c>
      <c r="G8" s="15" t="s">
        <v>42</v>
      </c>
      <c r="H8" s="14">
        <v>47.0</v>
      </c>
      <c r="I8" s="14">
        <v>891.0</v>
      </c>
      <c r="J8" s="16"/>
      <c r="K8" s="15" t="s">
        <v>107</v>
      </c>
      <c r="L8" s="15" t="s">
        <v>108</v>
      </c>
      <c r="M8" s="17" t="s">
        <v>31</v>
      </c>
      <c r="N8" s="29"/>
      <c r="O8" s="15" t="s">
        <v>109</v>
      </c>
      <c r="P8" s="14">
        <v>13.0</v>
      </c>
      <c r="Q8" s="14"/>
      <c r="R8" s="14">
        <v>90.0</v>
      </c>
      <c r="S8" s="14"/>
      <c r="T8" s="15" t="s">
        <v>112</v>
      </c>
      <c r="U8" s="14">
        <v>8.25</v>
      </c>
      <c r="V8" s="14">
        <v>0.28853626943005184</v>
      </c>
      <c r="W8" s="14" t="s">
        <v>4495</v>
      </c>
      <c r="X8" s="14" t="s">
        <v>4495</v>
      </c>
      <c r="Y8" s="18" t="s">
        <v>4495</v>
      </c>
      <c r="Z8" s="18">
        <v>0.7118469843264902</v>
      </c>
      <c r="AA8" s="18" t="s">
        <v>4495</v>
      </c>
      <c r="AB8" s="18">
        <v>1.0</v>
      </c>
      <c r="AC8" s="18">
        <v>0.30345515853674393</v>
      </c>
      <c r="AD8" s="18">
        <v>0.35830726193529694</v>
      </c>
      <c r="AE8" s="19" t="s">
        <v>4497</v>
      </c>
    </row>
    <row r="9" ht="21.0" customHeight="1">
      <c r="A9" s="20" t="s">
        <v>21</v>
      </c>
      <c r="B9" s="21" t="s">
        <v>114</v>
      </c>
      <c r="C9" s="22" t="s">
        <v>115</v>
      </c>
      <c r="D9" s="23">
        <v>42644.0</v>
      </c>
      <c r="E9" s="24">
        <v>2016.0</v>
      </c>
      <c r="F9" s="21" t="s">
        <v>118</v>
      </c>
      <c r="G9" s="21" t="s">
        <v>42</v>
      </c>
      <c r="H9" s="24">
        <v>47.0</v>
      </c>
      <c r="I9" s="24">
        <v>635.0</v>
      </c>
      <c r="J9" s="25"/>
      <c r="K9" s="21" t="s">
        <v>120</v>
      </c>
      <c r="L9" s="21" t="s">
        <v>121</v>
      </c>
      <c r="M9" s="26" t="s">
        <v>59</v>
      </c>
      <c r="N9" s="25" t="s">
        <v>122</v>
      </c>
      <c r="O9" s="21" t="s">
        <v>123</v>
      </c>
      <c r="P9" s="24">
        <v>6.0</v>
      </c>
      <c r="Q9" s="24"/>
      <c r="R9" s="24">
        <v>20.0</v>
      </c>
      <c r="S9" s="24"/>
      <c r="T9" s="21" t="s">
        <v>126</v>
      </c>
      <c r="U9" s="24">
        <v>22.8</v>
      </c>
      <c r="V9" s="24">
        <v>0.1933617539585871</v>
      </c>
      <c r="W9" s="24" t="s">
        <v>4495</v>
      </c>
      <c r="X9" s="24" t="s">
        <v>4495</v>
      </c>
      <c r="Y9" s="27" t="s">
        <v>4495</v>
      </c>
      <c r="Z9" s="27">
        <v>0.19773288331254052</v>
      </c>
      <c r="AA9" s="27" t="s">
        <v>4495</v>
      </c>
      <c r="AB9" s="27">
        <v>1.0</v>
      </c>
      <c r="AC9" s="27">
        <v>0.701464288130925</v>
      </c>
      <c r="AD9" s="27">
        <v>0.26957964964122766</v>
      </c>
      <c r="AE9" s="28" t="s">
        <v>4499</v>
      </c>
    </row>
    <row r="10" ht="21.0" customHeight="1">
      <c r="A10" s="10" t="s">
        <v>21</v>
      </c>
      <c r="B10" s="15" t="s">
        <v>128</v>
      </c>
      <c r="C10" s="12" t="s">
        <v>129</v>
      </c>
      <c r="D10" s="13">
        <v>41660.0</v>
      </c>
      <c r="E10" s="14">
        <v>2014.0</v>
      </c>
      <c r="F10" s="15" t="s">
        <v>41</v>
      </c>
      <c r="G10" s="15" t="s">
        <v>42</v>
      </c>
      <c r="H10" s="14">
        <v>41.0</v>
      </c>
      <c r="I10" s="14">
        <v>922.0</v>
      </c>
      <c r="J10" s="16"/>
      <c r="K10" s="15" t="s">
        <v>132</v>
      </c>
      <c r="L10" s="15" t="s">
        <v>133</v>
      </c>
      <c r="M10" s="17" t="s">
        <v>31</v>
      </c>
      <c r="N10" s="16"/>
      <c r="O10" s="15" t="s">
        <v>134</v>
      </c>
      <c r="P10" s="14">
        <v>17.0</v>
      </c>
      <c r="Q10" s="14"/>
      <c r="R10" s="14">
        <v>73.0</v>
      </c>
      <c r="S10" s="14"/>
      <c r="T10" s="15" t="s">
        <v>137</v>
      </c>
      <c r="U10" s="14">
        <v>22.6666666666666</v>
      </c>
      <c r="V10" s="14">
        <v>0.21602624179943766</v>
      </c>
      <c r="W10" s="14" t="s">
        <v>4495</v>
      </c>
      <c r="X10" s="14" t="s">
        <v>4495</v>
      </c>
      <c r="Y10" s="18" t="s">
        <v>4495</v>
      </c>
      <c r="Z10" s="18">
        <v>0.6393425607818833</v>
      </c>
      <c r="AA10" s="18" t="s">
        <v>4495</v>
      </c>
      <c r="AB10" s="18">
        <v>1.0</v>
      </c>
      <c r="AC10" s="18">
        <v>0.6990982929283924</v>
      </c>
      <c r="AD10" s="18">
        <v>0.37974546948831006</v>
      </c>
      <c r="AE10" s="19" t="s">
        <v>4497</v>
      </c>
    </row>
    <row r="11" ht="21.0" customHeight="1">
      <c r="A11" s="20" t="s">
        <v>21</v>
      </c>
      <c r="B11" s="21" t="s">
        <v>1846</v>
      </c>
      <c r="C11" s="22" t="s">
        <v>1847</v>
      </c>
      <c r="D11" s="23">
        <v>44649.0</v>
      </c>
      <c r="E11" s="24">
        <v>2022.0</v>
      </c>
      <c r="F11" s="21" t="s">
        <v>41</v>
      </c>
      <c r="G11" s="21" t="s">
        <v>42</v>
      </c>
      <c r="H11" s="24">
        <v>3.0</v>
      </c>
      <c r="I11" s="24">
        <v>20.0</v>
      </c>
      <c r="J11" s="25" t="s">
        <v>1849</v>
      </c>
      <c r="K11" s="21" t="s">
        <v>1850</v>
      </c>
      <c r="L11" s="21" t="s">
        <v>1851</v>
      </c>
      <c r="M11" s="26" t="s">
        <v>59</v>
      </c>
      <c r="N11" s="30" t="s">
        <v>1852</v>
      </c>
      <c r="O11" s="21" t="s">
        <v>1105</v>
      </c>
      <c r="P11" s="24">
        <v>36.0</v>
      </c>
      <c r="Q11" s="24"/>
      <c r="R11" s="24">
        <v>40.0</v>
      </c>
      <c r="S11" s="24"/>
      <c r="T11" s="21" t="s">
        <v>1853</v>
      </c>
      <c r="U11" s="24">
        <v>24.75</v>
      </c>
      <c r="V11" s="24">
        <v>0.01563721657544957</v>
      </c>
      <c r="W11" s="24" t="s">
        <v>4495</v>
      </c>
      <c r="X11" s="24" t="s">
        <v>4495</v>
      </c>
      <c r="Y11" s="27" t="s">
        <v>4495</v>
      </c>
      <c r="Z11" s="27">
        <v>0.43230913174650915</v>
      </c>
      <c r="AA11" s="27" t="s">
        <v>4495</v>
      </c>
      <c r="AB11" s="27">
        <v>1.0</v>
      </c>
      <c r="AC11" s="27">
        <v>0.7346291370615134</v>
      </c>
      <c r="AD11" s="27">
        <v>0.3315401966427787</v>
      </c>
      <c r="AE11" s="28" t="s">
        <v>4498</v>
      </c>
    </row>
    <row r="12" ht="21.0" customHeight="1">
      <c r="A12" s="10" t="s">
        <v>21</v>
      </c>
      <c r="B12" s="15" t="s">
        <v>160</v>
      </c>
      <c r="C12" s="12" t="s">
        <v>161</v>
      </c>
      <c r="D12" s="13">
        <v>41295.0</v>
      </c>
      <c r="E12" s="14">
        <v>2013.0</v>
      </c>
      <c r="F12" s="15" t="s">
        <v>41</v>
      </c>
      <c r="G12" s="15" t="s">
        <v>42</v>
      </c>
      <c r="H12" s="14">
        <v>37.0</v>
      </c>
      <c r="I12" s="14">
        <v>602.0</v>
      </c>
      <c r="J12" s="16"/>
      <c r="K12" s="15" t="s">
        <v>165</v>
      </c>
      <c r="L12" s="15" t="s">
        <v>166</v>
      </c>
      <c r="M12" s="17" t="s">
        <v>31</v>
      </c>
      <c r="N12" s="16"/>
      <c r="O12" s="15" t="s">
        <v>167</v>
      </c>
      <c r="P12" s="14">
        <v>20.0</v>
      </c>
      <c r="Q12" s="14"/>
      <c r="R12" s="14">
        <v>78.0</v>
      </c>
      <c r="S12" s="14"/>
      <c r="T12" s="15" t="s">
        <v>169</v>
      </c>
      <c r="U12" s="14">
        <v>26.4</v>
      </c>
      <c r="V12" s="14">
        <v>0.12993740556874595</v>
      </c>
      <c r="W12" s="14" t="s">
        <v>4495</v>
      </c>
      <c r="X12" s="14" t="s">
        <v>4495</v>
      </c>
      <c r="Y12" s="18" t="s">
        <v>4495</v>
      </c>
      <c r="Z12" s="18">
        <v>0.6622664840841103</v>
      </c>
      <c r="AA12" s="18" t="s">
        <v>4495</v>
      </c>
      <c r="AB12" s="18">
        <v>1.0</v>
      </c>
      <c r="AC12" s="18">
        <v>0.7607858378948519</v>
      </c>
      <c r="AD12" s="18">
        <v>0.39164520481051274</v>
      </c>
      <c r="AE12" s="19" t="s">
        <v>4497</v>
      </c>
    </row>
    <row r="13" ht="21.0" customHeight="1">
      <c r="A13" s="20" t="s">
        <v>21</v>
      </c>
      <c r="B13" s="21" t="s">
        <v>2313</v>
      </c>
      <c r="C13" s="22" t="s">
        <v>2314</v>
      </c>
      <c r="D13" s="23">
        <v>44581.0</v>
      </c>
      <c r="E13" s="24">
        <v>2022.0</v>
      </c>
      <c r="F13" s="21" t="s">
        <v>41</v>
      </c>
      <c r="G13" s="21" t="s">
        <v>42</v>
      </c>
      <c r="H13" s="24">
        <v>3.0</v>
      </c>
      <c r="I13" s="24">
        <v>23.0</v>
      </c>
      <c r="J13" s="25"/>
      <c r="K13" s="21" t="s">
        <v>2316</v>
      </c>
      <c r="L13" s="21" t="s">
        <v>2317</v>
      </c>
      <c r="M13" s="26" t="s">
        <v>59</v>
      </c>
      <c r="N13" s="25" t="s">
        <v>2318</v>
      </c>
      <c r="O13" s="21" t="s">
        <v>2319</v>
      </c>
      <c r="P13" s="24"/>
      <c r="Q13" s="24"/>
      <c r="R13" s="24">
        <v>228.0</v>
      </c>
      <c r="S13" s="24">
        <v>2022.0</v>
      </c>
      <c r="T13" s="21" t="s">
        <v>2321</v>
      </c>
      <c r="U13" s="24">
        <v>21.0</v>
      </c>
      <c r="V13" s="24">
        <v>0.017074981440237565</v>
      </c>
      <c r="W13" s="24">
        <v>0.0</v>
      </c>
      <c r="X13" s="24" t="s">
        <v>4495</v>
      </c>
      <c r="Y13" s="27" t="s">
        <v>4495</v>
      </c>
      <c r="Z13" s="27">
        <v>1.0</v>
      </c>
      <c r="AA13" s="27">
        <v>1.0</v>
      </c>
      <c r="AB13" s="27">
        <v>1.0</v>
      </c>
      <c r="AC13" s="27">
        <v>0.6683440466152498</v>
      </c>
      <c r="AD13" s="27">
        <v>0.666834404661525</v>
      </c>
      <c r="AE13" s="28" t="s">
        <v>4498</v>
      </c>
    </row>
    <row r="14" ht="21.0" customHeight="1">
      <c r="A14" s="10" t="s">
        <v>21</v>
      </c>
      <c r="B14" s="15" t="s">
        <v>183</v>
      </c>
      <c r="C14" s="12" t="s">
        <v>184</v>
      </c>
      <c r="D14" s="13">
        <v>42443.0</v>
      </c>
      <c r="E14" s="14">
        <v>2016.0</v>
      </c>
      <c r="F14" s="15" t="s">
        <v>118</v>
      </c>
      <c r="G14" s="15" t="s">
        <v>42</v>
      </c>
      <c r="H14" s="14">
        <v>34.0</v>
      </c>
      <c r="I14" s="14">
        <v>417.0</v>
      </c>
      <c r="J14" s="16"/>
      <c r="K14" s="15" t="s">
        <v>187</v>
      </c>
      <c r="L14" s="15" t="s">
        <v>188</v>
      </c>
      <c r="M14" s="17" t="s">
        <v>31</v>
      </c>
      <c r="N14" s="29"/>
      <c r="O14" s="31" t="s">
        <v>189</v>
      </c>
      <c r="P14" s="14">
        <v>2.0</v>
      </c>
      <c r="Q14" s="14"/>
      <c r="R14" s="14">
        <v>45.0</v>
      </c>
      <c r="S14" s="14"/>
      <c r="T14" s="15" t="s">
        <v>192</v>
      </c>
      <c r="U14" s="14">
        <v>43.0</v>
      </c>
      <c r="V14" s="14">
        <v>0.11965566714490675</v>
      </c>
      <c r="W14" s="14" t="s">
        <v>4495</v>
      </c>
      <c r="X14" s="14" t="s">
        <v>4495</v>
      </c>
      <c r="Y14" s="18" t="s">
        <v>4495</v>
      </c>
      <c r="Z14" s="18">
        <v>0.47265371983310933</v>
      </c>
      <c r="AA14" s="18" t="s">
        <v>4495</v>
      </c>
      <c r="AB14" s="18">
        <v>1.0</v>
      </c>
      <c r="AC14" s="18">
        <v>0.9602602357171964</v>
      </c>
      <c r="AD14" s="18">
        <v>0.364189453529997</v>
      </c>
      <c r="AE14" s="19" t="s">
        <v>4497</v>
      </c>
    </row>
    <row r="15" ht="21.0" customHeight="1">
      <c r="A15" s="20" t="s">
        <v>21</v>
      </c>
      <c r="B15" s="21" t="s">
        <v>2055</v>
      </c>
      <c r="C15" s="22" t="s">
        <v>2056</v>
      </c>
      <c r="D15" s="23">
        <v>44044.0</v>
      </c>
      <c r="E15" s="24">
        <v>2020.0</v>
      </c>
      <c r="F15" s="21" t="s">
        <v>26</v>
      </c>
      <c r="G15" s="21" t="s">
        <v>42</v>
      </c>
      <c r="H15" s="24">
        <v>3.0</v>
      </c>
      <c r="I15" s="24">
        <v>34.0</v>
      </c>
      <c r="J15" s="25" t="s">
        <v>2058</v>
      </c>
      <c r="K15" s="21" t="s">
        <v>2059</v>
      </c>
      <c r="L15" s="21" t="s">
        <v>2060</v>
      </c>
      <c r="M15" s="26" t="s">
        <v>59</v>
      </c>
      <c r="N15" s="25" t="s">
        <v>2061</v>
      </c>
      <c r="P15" s="24"/>
      <c r="Q15" s="24"/>
      <c r="R15" s="24">
        <v>136.0</v>
      </c>
      <c r="S15" s="24">
        <v>2019.0</v>
      </c>
      <c r="T15" s="21" t="s">
        <v>2062</v>
      </c>
      <c r="U15" s="24">
        <v>12.6666666666666</v>
      </c>
      <c r="V15" s="24">
        <v>0.018046709129511677</v>
      </c>
      <c r="W15" s="24">
        <v>1.0</v>
      </c>
      <c r="X15" s="24" t="s">
        <v>4495</v>
      </c>
      <c r="Y15" s="27" t="s">
        <v>4495</v>
      </c>
      <c r="Z15" s="27">
        <v>0.8552895086758483</v>
      </c>
      <c r="AA15" s="27">
        <v>1.0</v>
      </c>
      <c r="AB15" s="27">
        <v>1.0</v>
      </c>
      <c r="AC15" s="27">
        <v>0.46784371396551677</v>
      </c>
      <c r="AD15" s="27">
        <v>0.6106067485655138</v>
      </c>
      <c r="AE15" s="28" t="s">
        <v>4498</v>
      </c>
    </row>
    <row r="16" ht="21.0" customHeight="1">
      <c r="A16" s="10" t="s">
        <v>21</v>
      </c>
      <c r="B16" s="15" t="s">
        <v>1921</v>
      </c>
      <c r="C16" s="12" t="s">
        <v>1922</v>
      </c>
      <c r="D16" s="13">
        <v>43586.0</v>
      </c>
      <c r="E16" s="14">
        <v>2019.0</v>
      </c>
      <c r="F16" s="15" t="s">
        <v>41</v>
      </c>
      <c r="G16" s="15" t="s">
        <v>42</v>
      </c>
      <c r="H16" s="14">
        <v>3.0</v>
      </c>
      <c r="I16" s="14">
        <v>64.0</v>
      </c>
      <c r="J16" s="16" t="s">
        <v>1925</v>
      </c>
      <c r="K16" s="15" t="s">
        <v>1926</v>
      </c>
      <c r="L16" s="15" t="s">
        <v>1927</v>
      </c>
      <c r="M16" s="17" t="s">
        <v>59</v>
      </c>
      <c r="N16" s="16" t="s">
        <v>1928</v>
      </c>
      <c r="O16" s="15" t="s">
        <v>1929</v>
      </c>
      <c r="P16" s="14">
        <v>39.0</v>
      </c>
      <c r="Q16" s="14"/>
      <c r="R16" s="14">
        <v>74.0</v>
      </c>
      <c r="S16" s="14">
        <v>2018.0</v>
      </c>
      <c r="T16" s="15" t="s">
        <v>1931</v>
      </c>
      <c r="U16" s="14">
        <v>22.0</v>
      </c>
      <c r="V16" s="14">
        <v>0.027327070879590094</v>
      </c>
      <c r="W16" s="14">
        <v>1.0</v>
      </c>
      <c r="X16" s="14" t="s">
        <v>4495</v>
      </c>
      <c r="Y16" s="18" t="s">
        <v>4495</v>
      </c>
      <c r="Z16" s="18">
        <v>0.6440488211484913</v>
      </c>
      <c r="AA16" s="18">
        <v>1.0</v>
      </c>
      <c r="AB16" s="18">
        <v>1.0</v>
      </c>
      <c r="AC16" s="18">
        <v>0.6870647303206351</v>
      </c>
      <c r="AD16" s="18">
        <v>0.5797186783191863</v>
      </c>
      <c r="AE16" s="19" t="s">
        <v>4498</v>
      </c>
    </row>
    <row r="17" ht="21.0" customHeight="1">
      <c r="A17" s="20" t="s">
        <v>21</v>
      </c>
      <c r="B17" s="21" t="s">
        <v>2120</v>
      </c>
      <c r="C17" s="22" t="s">
        <v>2121</v>
      </c>
      <c r="D17" s="23">
        <v>44382.0</v>
      </c>
      <c r="E17" s="24">
        <v>2021.0</v>
      </c>
      <c r="F17" s="21" t="s">
        <v>41</v>
      </c>
      <c r="G17" s="21" t="s">
        <v>42</v>
      </c>
      <c r="H17" s="24">
        <v>3.0</v>
      </c>
      <c r="I17" s="24">
        <v>48.0</v>
      </c>
      <c r="J17" s="25" t="s">
        <v>2123</v>
      </c>
      <c r="K17" s="21" t="s">
        <v>2124</v>
      </c>
      <c r="L17" s="21" t="s">
        <v>2125</v>
      </c>
      <c r="M17" s="26" t="s">
        <v>59</v>
      </c>
      <c r="N17" s="25" t="s">
        <v>2126</v>
      </c>
      <c r="O17" s="21" t="s">
        <v>2127</v>
      </c>
      <c r="P17" s="24"/>
      <c r="Q17" s="24"/>
      <c r="R17" s="24">
        <v>42.0</v>
      </c>
      <c r="S17" s="24">
        <v>2021.0</v>
      </c>
      <c r="T17" s="21" t="s">
        <v>2128</v>
      </c>
      <c r="U17" s="24">
        <v>7.33333333333333</v>
      </c>
      <c r="V17" s="24">
        <v>0.031047865459249677</v>
      </c>
      <c r="W17" s="24">
        <v>0.0</v>
      </c>
      <c r="X17" s="24" t="s">
        <v>4495</v>
      </c>
      <c r="Y17" s="27" t="s">
        <v>4495</v>
      </c>
      <c r="Z17" s="27">
        <v>0.4490080559640544</v>
      </c>
      <c r="AA17" s="27">
        <v>1.0</v>
      </c>
      <c r="AB17" s="27">
        <v>1.0</v>
      </c>
      <c r="AC17" s="27">
        <v>0.2595043515184367</v>
      </c>
      <c r="AD17" s="27">
        <v>0.48820244914285726</v>
      </c>
      <c r="AE17" s="28" t="s">
        <v>4498</v>
      </c>
    </row>
    <row r="18" ht="21.0" customHeight="1">
      <c r="A18" s="10" t="s">
        <v>21</v>
      </c>
      <c r="B18" s="15" t="s">
        <v>229</v>
      </c>
      <c r="C18" s="12" t="s">
        <v>230</v>
      </c>
      <c r="D18" s="13">
        <v>41004.0</v>
      </c>
      <c r="E18" s="14">
        <v>2012.0</v>
      </c>
      <c r="F18" s="15" t="s">
        <v>41</v>
      </c>
      <c r="G18" s="15" t="s">
        <v>232</v>
      </c>
      <c r="H18" s="14">
        <v>30.0</v>
      </c>
      <c r="I18" s="14">
        <v>553.0</v>
      </c>
      <c r="J18" s="16"/>
      <c r="K18" s="15" t="s">
        <v>234</v>
      </c>
      <c r="L18" s="15" t="s">
        <v>235</v>
      </c>
      <c r="M18" s="17" t="s">
        <v>59</v>
      </c>
      <c r="N18" s="29" t="s">
        <v>236</v>
      </c>
      <c r="O18" s="15" t="s">
        <v>237</v>
      </c>
      <c r="P18" s="14">
        <v>21.0</v>
      </c>
      <c r="Q18" s="14"/>
      <c r="R18" s="14">
        <v>94.0</v>
      </c>
      <c r="S18" s="14"/>
      <c r="T18" s="15" t="s">
        <v>239</v>
      </c>
      <c r="U18" s="14">
        <v>34.0</v>
      </c>
      <c r="V18" s="14">
        <v>0.11230706742485784</v>
      </c>
      <c r="W18" s="14" t="s">
        <v>4495</v>
      </c>
      <c r="X18" s="14" t="s">
        <v>4495</v>
      </c>
      <c r="Y18" s="18" t="s">
        <v>4495</v>
      </c>
      <c r="Z18" s="18">
        <v>0.7269293584483356</v>
      </c>
      <c r="AA18" s="18" t="s">
        <v>4495</v>
      </c>
      <c r="AB18" s="18">
        <v>1.0</v>
      </c>
      <c r="AC18" s="18">
        <v>0.8638845140738347</v>
      </c>
      <c r="AD18" s="18">
        <v>0.4181207910194674</v>
      </c>
      <c r="AE18" s="19" t="s">
        <v>4499</v>
      </c>
    </row>
    <row r="19" ht="21.0" customHeight="1">
      <c r="A19" s="20" t="s">
        <v>21</v>
      </c>
      <c r="B19" s="21" t="s">
        <v>240</v>
      </c>
      <c r="C19" s="22" t="s">
        <v>241</v>
      </c>
      <c r="D19" s="23">
        <v>43964.0</v>
      </c>
      <c r="E19" s="24">
        <v>2020.0</v>
      </c>
      <c r="F19" s="21" t="s">
        <v>118</v>
      </c>
      <c r="G19" s="21" t="s">
        <v>42</v>
      </c>
      <c r="H19" s="24">
        <v>27.0</v>
      </c>
      <c r="I19" s="24">
        <v>218.0</v>
      </c>
      <c r="J19" s="25"/>
      <c r="K19" s="21" t="s">
        <v>244</v>
      </c>
      <c r="L19" s="21" t="s">
        <v>245</v>
      </c>
      <c r="M19" s="26" t="s">
        <v>31</v>
      </c>
      <c r="N19" s="25"/>
      <c r="O19" s="21" t="s">
        <v>246</v>
      </c>
      <c r="P19" s="24">
        <v>13.0</v>
      </c>
      <c r="Q19" s="24"/>
      <c r="R19" s="24">
        <v>15.0</v>
      </c>
      <c r="S19" s="24"/>
      <c r="T19" s="21" t="s">
        <v>248</v>
      </c>
      <c r="U19" s="24">
        <v>25.5</v>
      </c>
      <c r="V19" s="24">
        <v>0.1109979633401222</v>
      </c>
      <c r="W19" s="24" t="s">
        <v>4495</v>
      </c>
      <c r="X19" s="24" t="s">
        <v>4495</v>
      </c>
      <c r="Y19" s="27" t="s">
        <v>4495</v>
      </c>
      <c r="Z19" s="27">
        <v>0.10238989523252559</v>
      </c>
      <c r="AA19" s="27" t="s">
        <v>4495</v>
      </c>
      <c r="AB19" s="27">
        <v>1.0</v>
      </c>
      <c r="AC19" s="27">
        <v>0.7467202844151569</v>
      </c>
      <c r="AD19" s="27">
        <v>0.2502695022496471</v>
      </c>
      <c r="AE19" s="28" t="s">
        <v>4497</v>
      </c>
    </row>
    <row r="20" ht="21.0" customHeight="1">
      <c r="A20" s="10" t="s">
        <v>21</v>
      </c>
      <c r="B20" s="15" t="s">
        <v>250</v>
      </c>
      <c r="C20" s="12" t="s">
        <v>251</v>
      </c>
      <c r="D20" s="13">
        <v>43495.0</v>
      </c>
      <c r="E20" s="14">
        <v>2019.0</v>
      </c>
      <c r="F20" s="15" t="s">
        <v>41</v>
      </c>
      <c r="G20" s="15" t="s">
        <v>42</v>
      </c>
      <c r="H20" s="14">
        <v>27.0</v>
      </c>
      <c r="I20" s="14">
        <v>666.0</v>
      </c>
      <c r="J20" s="16" t="s">
        <v>254</v>
      </c>
      <c r="K20" s="15" t="s">
        <v>255</v>
      </c>
      <c r="L20" s="15" t="s">
        <v>256</v>
      </c>
      <c r="M20" s="17" t="s">
        <v>31</v>
      </c>
      <c r="N20" s="29"/>
      <c r="O20" s="15" t="s">
        <v>257</v>
      </c>
      <c r="P20" s="14">
        <v>31.0</v>
      </c>
      <c r="Q20" s="14"/>
      <c r="R20" s="14">
        <v>134.0</v>
      </c>
      <c r="S20" s="14"/>
      <c r="T20" s="15" t="s">
        <v>260</v>
      </c>
      <c r="U20" s="14">
        <v>11.8</v>
      </c>
      <c r="V20" s="14">
        <v>0.27373612823674476</v>
      </c>
      <c r="W20" s="14" t="s">
        <v>4495</v>
      </c>
      <c r="X20" s="14" t="s">
        <v>4495</v>
      </c>
      <c r="Y20" s="18" t="s">
        <v>4495</v>
      </c>
      <c r="Z20" s="18">
        <v>0.8501333696778393</v>
      </c>
      <c r="AA20" s="18" t="s">
        <v>4495</v>
      </c>
      <c r="AB20" s="18">
        <v>1.0</v>
      </c>
      <c r="AC20" s="18">
        <v>0.44025249672534217</v>
      </c>
      <c r="AD20" s="18">
        <v>0.406558592091994</v>
      </c>
      <c r="AE20" s="19" t="s">
        <v>4497</v>
      </c>
    </row>
    <row r="21" ht="21.0" customHeight="1">
      <c r="A21" s="20" t="s">
        <v>21</v>
      </c>
      <c r="B21" s="21" t="s">
        <v>2063</v>
      </c>
      <c r="C21" s="22" t="s">
        <v>2064</v>
      </c>
      <c r="D21" s="23">
        <v>43191.0</v>
      </c>
      <c r="E21" s="24">
        <v>2018.0</v>
      </c>
      <c r="F21" s="21" t="s">
        <v>26</v>
      </c>
      <c r="G21" s="21" t="s">
        <v>2065</v>
      </c>
      <c r="H21" s="24">
        <v>3.0</v>
      </c>
      <c r="I21" s="24">
        <v>95.0</v>
      </c>
      <c r="J21" s="25" t="s">
        <v>2066</v>
      </c>
      <c r="K21" s="21" t="s">
        <v>2067</v>
      </c>
      <c r="L21" s="21" t="s">
        <v>2068</v>
      </c>
      <c r="M21" s="26" t="s">
        <v>59</v>
      </c>
      <c r="N21" s="25" t="s">
        <v>2069</v>
      </c>
      <c r="P21" s="24"/>
      <c r="Q21" s="24"/>
      <c r="R21" s="24">
        <v>42.0</v>
      </c>
      <c r="S21" s="24">
        <v>2016.0</v>
      </c>
      <c r="T21" s="21" t="s">
        <v>2070</v>
      </c>
      <c r="U21" s="24">
        <v>3.5</v>
      </c>
      <c r="V21" s="24">
        <v>0.034709535988308365</v>
      </c>
      <c r="W21" s="24">
        <v>2.0</v>
      </c>
      <c r="X21" s="24" t="s">
        <v>4495</v>
      </c>
      <c r="Y21" s="27" t="s">
        <v>4495</v>
      </c>
      <c r="Z21" s="27">
        <v>0.4490080559640544</v>
      </c>
      <c r="AA21" s="27">
        <v>1.0</v>
      </c>
      <c r="AB21" s="27">
        <v>1.0</v>
      </c>
      <c r="AC21" s="27">
        <v>0.0</v>
      </c>
      <c r="AD21" s="27">
        <v>0.46225201399101357</v>
      </c>
      <c r="AE21" s="28" t="s">
        <v>4498</v>
      </c>
    </row>
    <row r="22" ht="21.0" customHeight="1">
      <c r="A22" s="10" t="s">
        <v>21</v>
      </c>
      <c r="B22" s="15" t="s">
        <v>2190</v>
      </c>
      <c r="C22" s="12" t="s">
        <v>2191</v>
      </c>
      <c r="D22" s="13">
        <v>43371.0</v>
      </c>
      <c r="E22" s="14">
        <v>2018.0</v>
      </c>
      <c r="F22" s="15" t="s">
        <v>41</v>
      </c>
      <c r="G22" s="15" t="s">
        <v>42</v>
      </c>
      <c r="H22" s="14">
        <v>3.0</v>
      </c>
      <c r="I22" s="14">
        <v>94.0</v>
      </c>
      <c r="J22" s="16" t="s">
        <v>2193</v>
      </c>
      <c r="K22" s="15" t="s">
        <v>2194</v>
      </c>
      <c r="L22" s="15" t="s">
        <v>2195</v>
      </c>
      <c r="M22" s="17" t="s">
        <v>59</v>
      </c>
      <c r="N22" s="16" t="s">
        <v>2196</v>
      </c>
      <c r="O22" s="15" t="s">
        <v>2197</v>
      </c>
      <c r="P22" s="14">
        <v>13.0</v>
      </c>
      <c r="Q22" s="14"/>
      <c r="R22" s="14">
        <v>108.0</v>
      </c>
      <c r="S22" s="14">
        <v>2018.0</v>
      </c>
      <c r="T22" s="15" t="s">
        <v>2198</v>
      </c>
      <c r="U22" s="14">
        <v>24.6</v>
      </c>
      <c r="V22" s="14">
        <v>0.03676183026984748</v>
      </c>
      <c r="W22" s="14">
        <v>0.0</v>
      </c>
      <c r="X22" s="14" t="s">
        <v>4495</v>
      </c>
      <c r="Y22" s="18" t="s">
        <v>4495</v>
      </c>
      <c r="Z22" s="18">
        <v>0.7751282182239236</v>
      </c>
      <c r="AA22" s="18">
        <v>1.0</v>
      </c>
      <c r="AB22" s="18">
        <v>1.0</v>
      </c>
      <c r="AC22" s="18">
        <v>0.732168685827289</v>
      </c>
      <c r="AD22" s="18">
        <v>0.6169989231387099</v>
      </c>
      <c r="AE22" s="19" t="s">
        <v>4498</v>
      </c>
    </row>
    <row r="23" ht="21.0" customHeight="1">
      <c r="A23" s="20" t="s">
        <v>21</v>
      </c>
      <c r="B23" s="21" t="s">
        <v>287</v>
      </c>
      <c r="C23" s="22" t="s">
        <v>288</v>
      </c>
      <c r="D23" s="23"/>
      <c r="E23" s="24"/>
      <c r="F23" s="21" t="s">
        <v>41</v>
      </c>
      <c r="G23" s="21" t="s">
        <v>42</v>
      </c>
      <c r="H23" s="24">
        <v>24.0</v>
      </c>
      <c r="I23" s="24">
        <v>443.0</v>
      </c>
      <c r="J23" s="25"/>
      <c r="K23" s="21" t="s">
        <v>290</v>
      </c>
      <c r="L23" s="21" t="s">
        <v>291</v>
      </c>
      <c r="M23" s="26" t="s">
        <v>31</v>
      </c>
      <c r="N23" s="30"/>
      <c r="O23" s="21" t="s">
        <v>292</v>
      </c>
      <c r="P23" s="24">
        <v>17.0</v>
      </c>
      <c r="Q23" s="24"/>
      <c r="R23" s="24">
        <v>90.0</v>
      </c>
      <c r="S23" s="24"/>
      <c r="T23" s="21" t="s">
        <v>293</v>
      </c>
      <c r="U23" s="24">
        <v>16.5</v>
      </c>
      <c r="V23" s="24" t="s">
        <v>4495</v>
      </c>
      <c r="W23" s="24" t="s">
        <v>4495</v>
      </c>
      <c r="X23" s="24" t="s">
        <v>4495</v>
      </c>
      <c r="Y23" s="27" t="s">
        <v>4495</v>
      </c>
      <c r="Z23" s="27">
        <v>0.7118469843264902</v>
      </c>
      <c r="AA23" s="27" t="s">
        <v>4495</v>
      </c>
      <c r="AB23" s="27" t="s">
        <v>4495</v>
      </c>
      <c r="AC23" s="27">
        <v>0.5719683249718881</v>
      </c>
      <c r="AD23" s="27">
        <v>0.23515857857881137</v>
      </c>
      <c r="AE23" s="28" t="s">
        <v>4497</v>
      </c>
    </row>
    <row r="24" ht="21.0" customHeight="1">
      <c r="A24" s="10" t="s">
        <v>21</v>
      </c>
      <c r="B24" s="15" t="s">
        <v>295</v>
      </c>
      <c r="C24" s="12" t="s">
        <v>296</v>
      </c>
      <c r="D24" s="13">
        <v>42664.0</v>
      </c>
      <c r="E24" s="14">
        <v>2016.0</v>
      </c>
      <c r="F24" s="15" t="s">
        <v>41</v>
      </c>
      <c r="G24" s="15" t="s">
        <v>42</v>
      </c>
      <c r="H24" s="14">
        <v>23.0</v>
      </c>
      <c r="I24" s="14">
        <v>218.0</v>
      </c>
      <c r="J24" s="16" t="s">
        <v>299</v>
      </c>
      <c r="K24" s="15" t="s">
        <v>300</v>
      </c>
      <c r="L24" s="15" t="s">
        <v>301</v>
      </c>
      <c r="M24" s="17" t="s">
        <v>59</v>
      </c>
      <c r="N24" s="16" t="s">
        <v>302</v>
      </c>
      <c r="O24" s="15" t="s">
        <v>303</v>
      </c>
      <c r="P24" s="14">
        <v>33.0</v>
      </c>
      <c r="Q24" s="14"/>
      <c r="R24" s="14">
        <v>138.0</v>
      </c>
      <c r="S24" s="14">
        <v>2016.0</v>
      </c>
      <c r="T24" s="15" t="s">
        <v>305</v>
      </c>
      <c r="U24" s="14">
        <v>21.5</v>
      </c>
      <c r="V24" s="14">
        <v>0.06678921568627451</v>
      </c>
      <c r="W24" s="14">
        <v>0.0</v>
      </c>
      <c r="X24" s="14" t="s">
        <v>4495</v>
      </c>
      <c r="Y24" s="18" t="s">
        <v>4495</v>
      </c>
      <c r="Z24" s="18">
        <v>0.8603709183864263</v>
      </c>
      <c r="AA24" s="18">
        <v>1.0</v>
      </c>
      <c r="AB24" s="18">
        <v>1.0</v>
      </c>
      <c r="AC24" s="18">
        <v>0.6778084008282622</v>
      </c>
      <c r="AD24" s="18">
        <v>0.6328735696794329</v>
      </c>
      <c r="AE24" s="19" t="s">
        <v>4500</v>
      </c>
    </row>
    <row r="25" ht="21.0" customHeight="1">
      <c r="A25" s="20" t="s">
        <v>21</v>
      </c>
      <c r="B25" s="21" t="s">
        <v>1893</v>
      </c>
      <c r="C25" s="22" t="s">
        <v>1894</v>
      </c>
      <c r="D25" s="23">
        <v>43892.0</v>
      </c>
      <c r="E25" s="24">
        <v>2020.0</v>
      </c>
      <c r="F25" s="21" t="s">
        <v>41</v>
      </c>
      <c r="G25" s="21" t="s">
        <v>42</v>
      </c>
      <c r="H25" s="24">
        <v>3.0</v>
      </c>
      <c r="I25" s="24">
        <v>85.0</v>
      </c>
      <c r="J25" s="25" t="s">
        <v>1896</v>
      </c>
      <c r="K25" s="21" t="s">
        <v>1897</v>
      </c>
      <c r="L25" s="21" t="s">
        <v>1898</v>
      </c>
      <c r="M25" s="26" t="s">
        <v>59</v>
      </c>
      <c r="N25" s="25" t="s">
        <v>1899</v>
      </c>
      <c r="O25" s="21" t="s">
        <v>1900</v>
      </c>
      <c r="P25" s="24">
        <v>9.0</v>
      </c>
      <c r="Q25" s="24"/>
      <c r="R25" s="24">
        <v>84.0</v>
      </c>
      <c r="S25" s="24">
        <v>2020.0</v>
      </c>
      <c r="T25" s="21" t="s">
        <v>1901</v>
      </c>
      <c r="U25" s="24">
        <v>7.83333333333333</v>
      </c>
      <c r="V25" s="24">
        <v>0.04174852652259332</v>
      </c>
      <c r="W25" s="24">
        <v>0.0</v>
      </c>
      <c r="X25" s="24" t="s">
        <v>4495</v>
      </c>
      <c r="Y25" s="27" t="s">
        <v>4495</v>
      </c>
      <c r="Z25" s="27">
        <v>0.6879324125063967</v>
      </c>
      <c r="AA25" s="27">
        <v>1.0</v>
      </c>
      <c r="AB25" s="27">
        <v>1.0</v>
      </c>
      <c r="AC25" s="27">
        <v>0.2840440713351452</v>
      </c>
      <c r="AD25" s="27">
        <v>0.5503875102601138</v>
      </c>
      <c r="AE25" s="28" t="s">
        <v>4498</v>
      </c>
    </row>
    <row r="26" ht="21.0" customHeight="1">
      <c r="A26" s="10" t="s">
        <v>21</v>
      </c>
      <c r="B26" s="15" t="s">
        <v>318</v>
      </c>
      <c r="C26" s="12" t="s">
        <v>319</v>
      </c>
      <c r="D26" s="13">
        <v>41426.0</v>
      </c>
      <c r="E26" s="14">
        <v>2013.0</v>
      </c>
      <c r="F26" s="15" t="s">
        <v>41</v>
      </c>
      <c r="G26" s="15" t="s">
        <v>42</v>
      </c>
      <c r="H26" s="14">
        <v>23.0</v>
      </c>
      <c r="I26" s="14">
        <v>797.0</v>
      </c>
      <c r="J26" s="16"/>
      <c r="K26" s="15" t="s">
        <v>322</v>
      </c>
      <c r="L26" s="15" t="s">
        <v>323</v>
      </c>
      <c r="M26" s="17" t="s">
        <v>59</v>
      </c>
      <c r="N26" s="29" t="s">
        <v>324</v>
      </c>
      <c r="O26" s="15" t="s">
        <v>325</v>
      </c>
      <c r="P26" s="14"/>
      <c r="Q26" s="14"/>
      <c r="R26" s="14">
        <v>136.0</v>
      </c>
      <c r="S26" s="14"/>
      <c r="T26" s="15" t="s">
        <v>327</v>
      </c>
      <c r="U26" s="14">
        <v>61.2</v>
      </c>
      <c r="V26" s="14">
        <v>0.17703243003109728</v>
      </c>
      <c r="W26" s="14" t="s">
        <v>4495</v>
      </c>
      <c r="X26" s="14" t="s">
        <v>4495</v>
      </c>
      <c r="Y26" s="18" t="s">
        <v>4495</v>
      </c>
      <c r="Z26" s="18">
        <v>0.8552895086758483</v>
      </c>
      <c r="AA26" s="18" t="s">
        <v>4495</v>
      </c>
      <c r="AB26" s="18">
        <v>1.0</v>
      </c>
      <c r="AC26" s="18">
        <v>1.0</v>
      </c>
      <c r="AD26" s="18">
        <v>0.463822377168962</v>
      </c>
      <c r="AE26" s="19" t="s">
        <v>4499</v>
      </c>
    </row>
    <row r="27" ht="21.0" customHeight="1">
      <c r="A27" s="20" t="s">
        <v>21</v>
      </c>
      <c r="B27" s="21" t="s">
        <v>329</v>
      </c>
      <c r="C27" s="22" t="s">
        <v>330</v>
      </c>
      <c r="D27" s="23">
        <v>41548.0</v>
      </c>
      <c r="E27" s="24">
        <v>2013.0</v>
      </c>
      <c r="F27" s="21" t="s">
        <v>41</v>
      </c>
      <c r="G27" s="21" t="s">
        <v>42</v>
      </c>
      <c r="H27" s="24">
        <v>23.0</v>
      </c>
      <c r="I27" s="24">
        <v>547.0</v>
      </c>
      <c r="J27" s="25"/>
      <c r="K27" s="21" t="s">
        <v>333</v>
      </c>
      <c r="L27" s="21" t="s">
        <v>334</v>
      </c>
      <c r="M27" s="26" t="s">
        <v>59</v>
      </c>
      <c r="N27" s="25" t="s">
        <v>335</v>
      </c>
      <c r="O27" s="21" t="s">
        <v>336</v>
      </c>
      <c r="P27" s="24"/>
      <c r="Q27" s="24"/>
      <c r="R27" s="24">
        <v>134.0</v>
      </c>
      <c r="S27" s="24"/>
      <c r="T27" s="21" t="s">
        <v>337</v>
      </c>
      <c r="U27" s="24">
        <v>32.5</v>
      </c>
      <c r="V27" s="24">
        <v>0.12488584474885844</v>
      </c>
      <c r="W27" s="24" t="s">
        <v>4495</v>
      </c>
      <c r="X27" s="24" t="s">
        <v>4495</v>
      </c>
      <c r="Y27" s="27" t="s">
        <v>4495</v>
      </c>
      <c r="Z27" s="27">
        <v>0.8501333696778393</v>
      </c>
      <c r="AA27" s="27" t="s">
        <v>4495</v>
      </c>
      <c r="AB27" s="27">
        <v>1.0</v>
      </c>
      <c r="AC27" s="27">
        <v>0.8454372130709235</v>
      </c>
      <c r="AD27" s="27">
        <v>0.44707706372655215</v>
      </c>
      <c r="AE27" s="28" t="s">
        <v>4500</v>
      </c>
    </row>
    <row r="28" ht="21.0" customHeight="1">
      <c r="A28" s="10" t="s">
        <v>21</v>
      </c>
      <c r="B28" s="15" t="s">
        <v>339</v>
      </c>
      <c r="C28" s="12" t="s">
        <v>340</v>
      </c>
      <c r="D28" s="13"/>
      <c r="E28" s="14"/>
      <c r="F28" s="15" t="s">
        <v>41</v>
      </c>
      <c r="G28" s="15" t="s">
        <v>42</v>
      </c>
      <c r="H28" s="14">
        <v>20.0</v>
      </c>
      <c r="I28" s="14">
        <v>188.0</v>
      </c>
      <c r="J28" s="16" t="s">
        <v>342</v>
      </c>
      <c r="K28" s="15" t="s">
        <v>343</v>
      </c>
      <c r="L28" s="15" t="s">
        <v>344</v>
      </c>
      <c r="M28" s="17" t="s">
        <v>31</v>
      </c>
      <c r="N28" s="16"/>
      <c r="O28" s="15" t="s">
        <v>345</v>
      </c>
      <c r="P28" s="14">
        <v>25.0</v>
      </c>
      <c r="Q28" s="14"/>
      <c r="R28" s="14">
        <v>95.0</v>
      </c>
      <c r="S28" s="14"/>
      <c r="T28" s="15" t="s">
        <v>347</v>
      </c>
      <c r="U28" s="14">
        <v>21.6666666666666</v>
      </c>
      <c r="V28" s="14" t="s">
        <v>4495</v>
      </c>
      <c r="W28" s="14" t="s">
        <v>4495</v>
      </c>
      <c r="X28" s="14" t="s">
        <v>4495</v>
      </c>
      <c r="Y28" s="18" t="s">
        <v>4495</v>
      </c>
      <c r="Z28" s="18">
        <v>0.7306007127585364</v>
      </c>
      <c r="AA28" s="18" t="s">
        <v>4495</v>
      </c>
      <c r="AB28" s="18" t="s">
        <v>4495</v>
      </c>
      <c r="AC28" s="18">
        <v>0.6809165037794195</v>
      </c>
      <c r="AD28" s="18">
        <v>0.25074182856757604</v>
      </c>
      <c r="AE28" s="19" t="s">
        <v>4497</v>
      </c>
    </row>
    <row r="29" ht="21.0" customHeight="1">
      <c r="A29" s="20" t="s">
        <v>21</v>
      </c>
      <c r="B29" s="21" t="s">
        <v>349</v>
      </c>
      <c r="C29" s="22" t="s">
        <v>350</v>
      </c>
      <c r="D29" s="23">
        <v>42135.0</v>
      </c>
      <c r="E29" s="24">
        <v>2015.0</v>
      </c>
      <c r="F29" s="21" t="s">
        <v>41</v>
      </c>
      <c r="G29" s="21" t="s">
        <v>42</v>
      </c>
      <c r="H29" s="24">
        <v>20.0</v>
      </c>
      <c r="I29" s="24">
        <v>299.0</v>
      </c>
      <c r="J29" s="25"/>
      <c r="K29" s="21" t="s">
        <v>354</v>
      </c>
      <c r="L29" s="21" t="s">
        <v>355</v>
      </c>
      <c r="M29" s="26" t="s">
        <v>31</v>
      </c>
      <c r="N29" s="30"/>
      <c r="O29" s="21" t="s">
        <v>356</v>
      </c>
      <c r="P29" s="24">
        <v>33.0</v>
      </c>
      <c r="Q29" s="24"/>
      <c r="R29" s="24">
        <v>93.0</v>
      </c>
      <c r="S29" s="24"/>
      <c r="T29" s="21" t="s">
        <v>358</v>
      </c>
      <c r="U29" s="24">
        <v>25.0</v>
      </c>
      <c r="V29" s="24">
        <v>0.07882942262061693</v>
      </c>
      <c r="W29" s="24" t="s">
        <v>4495</v>
      </c>
      <c r="X29" s="24" t="s">
        <v>4495</v>
      </c>
      <c r="Y29" s="27" t="s">
        <v>4495</v>
      </c>
      <c r="Z29" s="27">
        <v>0.7232191531066832</v>
      </c>
      <c r="AA29" s="27" t="s">
        <v>4495</v>
      </c>
      <c r="AB29" s="27">
        <v>1.0</v>
      </c>
      <c r="AC29" s="27">
        <v>0.7386982125651004</v>
      </c>
      <c r="AD29" s="27">
        <v>0.40467460953318085</v>
      </c>
      <c r="AE29" s="28" t="s">
        <v>4497</v>
      </c>
    </row>
    <row r="30" ht="21.0" customHeight="1">
      <c r="A30" s="10" t="s">
        <v>21</v>
      </c>
      <c r="B30" s="15" t="s">
        <v>2145</v>
      </c>
      <c r="C30" s="12" t="s">
        <v>2146</v>
      </c>
      <c r="D30" s="13">
        <v>43525.0</v>
      </c>
      <c r="E30" s="14">
        <v>2019.0</v>
      </c>
      <c r="F30" s="15" t="s">
        <v>41</v>
      </c>
      <c r="G30" s="15" t="s">
        <v>42</v>
      </c>
      <c r="H30" s="14">
        <v>3.0</v>
      </c>
      <c r="I30" s="14">
        <v>105.0</v>
      </c>
      <c r="J30" s="16"/>
      <c r="K30" s="15" t="s">
        <v>2148</v>
      </c>
      <c r="L30" s="15" t="s">
        <v>2149</v>
      </c>
      <c r="M30" s="17" t="s">
        <v>59</v>
      </c>
      <c r="N30" s="29" t="s">
        <v>2150</v>
      </c>
      <c r="O30" s="15" t="s">
        <v>2151</v>
      </c>
      <c r="P30" s="14">
        <v>24.0</v>
      </c>
      <c r="Q30" s="14"/>
      <c r="R30" s="14">
        <v>105.0</v>
      </c>
      <c r="S30" s="14"/>
      <c r="T30" s="15" t="s">
        <v>2152</v>
      </c>
      <c r="U30" s="14">
        <v>15.0</v>
      </c>
      <c r="V30" s="14">
        <v>0.04369538077403246</v>
      </c>
      <c r="W30" s="14" t="s">
        <v>4495</v>
      </c>
      <c r="X30" s="14" t="s">
        <v>4495</v>
      </c>
      <c r="Y30" s="18" t="s">
        <v>4495</v>
      </c>
      <c r="Z30" s="18">
        <v>0.7653430864022164</v>
      </c>
      <c r="AA30" s="18" t="s">
        <v>4495</v>
      </c>
      <c r="AB30" s="18">
        <v>1.0</v>
      </c>
      <c r="AC30" s="18">
        <v>0.5342285193497109</v>
      </c>
      <c r="AD30" s="18">
        <v>0.39475862353552515</v>
      </c>
      <c r="AE30" s="19" t="s">
        <v>4498</v>
      </c>
    </row>
    <row r="31" ht="21.0" customHeight="1">
      <c r="A31" s="20" t="s">
        <v>21</v>
      </c>
      <c r="B31" s="21" t="s">
        <v>370</v>
      </c>
      <c r="C31" s="22" t="s">
        <v>371</v>
      </c>
      <c r="D31" s="23">
        <v>43391.0</v>
      </c>
      <c r="E31" s="24">
        <v>2018.0</v>
      </c>
      <c r="F31" s="21" t="s">
        <v>41</v>
      </c>
      <c r="G31" s="21" t="s">
        <v>42</v>
      </c>
      <c r="H31" s="24">
        <v>19.0</v>
      </c>
      <c r="I31" s="24">
        <v>435.0</v>
      </c>
      <c r="J31" s="25" t="s">
        <v>374</v>
      </c>
      <c r="K31" s="21" t="s">
        <v>375</v>
      </c>
      <c r="L31" s="21" t="s">
        <v>376</v>
      </c>
      <c r="M31" s="26" t="s">
        <v>59</v>
      </c>
      <c r="N31" s="30" t="s">
        <v>377</v>
      </c>
      <c r="O31" s="21" t="s">
        <v>378</v>
      </c>
      <c r="P31" s="24">
        <v>6.0</v>
      </c>
      <c r="Q31" s="24"/>
      <c r="R31" s="24">
        <v>21.0</v>
      </c>
      <c r="S31" s="24">
        <v>2018.0</v>
      </c>
      <c r="T31" s="21" t="s">
        <v>379</v>
      </c>
      <c r="U31" s="24">
        <v>9.5</v>
      </c>
      <c r="V31" s="24">
        <v>0.1714623571147024</v>
      </c>
      <c r="W31" s="24">
        <v>0.0</v>
      </c>
      <c r="X31" s="24" t="s">
        <v>4495</v>
      </c>
      <c r="Y31" s="27" t="s">
        <v>4495</v>
      </c>
      <c r="Z31" s="27">
        <v>0.21404331870033824</v>
      </c>
      <c r="AA31" s="27">
        <v>1.0</v>
      </c>
      <c r="AB31" s="27">
        <v>1.0</v>
      </c>
      <c r="AC31" s="27">
        <v>0.3568361372236371</v>
      </c>
      <c r="AD31" s="27">
        <v>0.4391944433974483</v>
      </c>
      <c r="AE31" s="28" t="s">
        <v>4501</v>
      </c>
    </row>
    <row r="32" ht="21.0" customHeight="1">
      <c r="A32" s="10" t="s">
        <v>21</v>
      </c>
      <c r="B32" s="15" t="s">
        <v>1985</v>
      </c>
      <c r="C32" s="12" t="s">
        <v>1986</v>
      </c>
      <c r="D32" s="13">
        <v>44072.0</v>
      </c>
      <c r="E32" s="14">
        <v>2020.0</v>
      </c>
      <c r="F32" s="15" t="s">
        <v>26</v>
      </c>
      <c r="G32" s="15" t="s">
        <v>42</v>
      </c>
      <c r="H32" s="14">
        <v>3.0</v>
      </c>
      <c r="I32" s="14">
        <v>86.0</v>
      </c>
      <c r="J32" s="16" t="s">
        <v>1988</v>
      </c>
      <c r="K32" s="15" t="s">
        <v>1989</v>
      </c>
      <c r="L32" s="15" t="s">
        <v>1990</v>
      </c>
      <c r="M32" s="17" t="s">
        <v>59</v>
      </c>
      <c r="N32" s="16" t="s">
        <v>1991</v>
      </c>
      <c r="P32" s="14"/>
      <c r="Q32" s="14"/>
      <c r="R32" s="14">
        <v>30.0</v>
      </c>
      <c r="S32" s="14">
        <v>2020.0</v>
      </c>
      <c r="T32" s="15" t="s">
        <v>614</v>
      </c>
      <c r="U32" s="14">
        <v>1.0</v>
      </c>
      <c r="V32" s="14">
        <v>0.04633620689655173</v>
      </c>
      <c r="W32" s="14">
        <v>0.0</v>
      </c>
      <c r="X32" s="14" t="s">
        <v>4495</v>
      </c>
      <c r="Y32" s="18" t="s">
        <v>4495</v>
      </c>
      <c r="Z32" s="18">
        <v>0.33428356644099017</v>
      </c>
      <c r="AA32" s="18">
        <v>1.0</v>
      </c>
      <c r="AB32" s="18">
        <v>1.0</v>
      </c>
      <c r="AC32" s="18">
        <v>0.0</v>
      </c>
      <c r="AD32" s="18">
        <v>0.43357089161024753</v>
      </c>
      <c r="AE32" s="19" t="s">
        <v>4498</v>
      </c>
    </row>
    <row r="33" ht="21.0" customHeight="1">
      <c r="A33" s="20" t="s">
        <v>21</v>
      </c>
      <c r="B33" s="21" t="s">
        <v>394</v>
      </c>
      <c r="C33" s="22" t="s">
        <v>395</v>
      </c>
      <c r="D33" s="23">
        <v>43720.0</v>
      </c>
      <c r="E33" s="24">
        <v>2019.0</v>
      </c>
      <c r="F33" s="21" t="s">
        <v>41</v>
      </c>
      <c r="G33" s="21" t="s">
        <v>42</v>
      </c>
      <c r="H33" s="24">
        <v>17.0</v>
      </c>
      <c r="I33" s="24">
        <v>237.0</v>
      </c>
      <c r="J33" s="25" t="s">
        <v>398</v>
      </c>
      <c r="K33" s="21" t="s">
        <v>399</v>
      </c>
      <c r="L33" s="21" t="s">
        <v>400</v>
      </c>
      <c r="M33" s="26" t="s">
        <v>59</v>
      </c>
      <c r="N33" s="30" t="s">
        <v>401</v>
      </c>
      <c r="O33" s="21" t="s">
        <v>402</v>
      </c>
      <c r="P33" s="24">
        <v>37.0</v>
      </c>
      <c r="Q33" s="24"/>
      <c r="R33" s="24">
        <v>195.0</v>
      </c>
      <c r="S33" s="24">
        <v>2019.0</v>
      </c>
      <c r="T33" s="21" t="s">
        <v>404</v>
      </c>
      <c r="U33" s="24">
        <v>17.6666666666666</v>
      </c>
      <c r="V33" s="24">
        <v>0.10733695652173914</v>
      </c>
      <c r="W33" s="24">
        <v>0.0</v>
      </c>
      <c r="X33" s="24" t="s">
        <v>4495</v>
      </c>
      <c r="Y33" s="27" t="s">
        <v>4495</v>
      </c>
      <c r="Z33" s="27">
        <v>0.9808551827008831</v>
      </c>
      <c r="AA33" s="27">
        <v>1.0</v>
      </c>
      <c r="AB33" s="27">
        <v>1.0</v>
      </c>
      <c r="AC33" s="27">
        <v>0.5991484674713998</v>
      </c>
      <c r="AD33" s="27">
        <v>0.6551286424223608</v>
      </c>
      <c r="AE33" s="28" t="s">
        <v>4500</v>
      </c>
    </row>
    <row r="34" ht="21.0" customHeight="1">
      <c r="A34" s="10" t="s">
        <v>21</v>
      </c>
      <c r="B34" s="15" t="s">
        <v>406</v>
      </c>
      <c r="C34" s="12" t="s">
        <v>407</v>
      </c>
      <c r="D34" s="13">
        <v>42744.0</v>
      </c>
      <c r="E34" s="14">
        <v>2017.0</v>
      </c>
      <c r="F34" s="15" t="s">
        <v>41</v>
      </c>
      <c r="G34" s="15" t="s">
        <v>42</v>
      </c>
      <c r="H34" s="14">
        <v>17.0</v>
      </c>
      <c r="I34" s="14">
        <v>239.0</v>
      </c>
      <c r="J34" s="16" t="s">
        <v>410</v>
      </c>
      <c r="K34" s="15" t="s">
        <v>411</v>
      </c>
      <c r="M34" s="17" t="s">
        <v>31</v>
      </c>
      <c r="N34" s="16"/>
      <c r="P34" s="14"/>
      <c r="Q34" s="14"/>
      <c r="R34" s="14">
        <v>157.0</v>
      </c>
      <c r="S34" s="14">
        <v>2016.0</v>
      </c>
      <c r="T34" s="15" t="s">
        <v>413</v>
      </c>
      <c r="U34" s="14">
        <v>14.0</v>
      </c>
      <c r="V34" s="14">
        <v>0.07506281407035176</v>
      </c>
      <c r="W34" s="14">
        <v>1.0</v>
      </c>
      <c r="X34" s="14" t="s">
        <v>4495</v>
      </c>
      <c r="Y34" s="18" t="s">
        <v>4495</v>
      </c>
      <c r="Z34" s="18">
        <v>0.905291602379154</v>
      </c>
      <c r="AA34" s="18">
        <v>1.0</v>
      </c>
      <c r="AB34" s="18">
        <v>1.0</v>
      </c>
      <c r="AC34" s="18">
        <v>0.5070483768501975</v>
      </c>
      <c r="AD34" s="18">
        <v>0.6270277382798083</v>
      </c>
      <c r="AE34" s="19" t="s">
        <v>4497</v>
      </c>
    </row>
    <row r="35" ht="21.0" customHeight="1">
      <c r="A35" s="20" t="s">
        <v>21</v>
      </c>
      <c r="B35" s="21" t="s">
        <v>1864</v>
      </c>
      <c r="C35" s="22" t="s">
        <v>1865</v>
      </c>
      <c r="D35" s="23">
        <v>43963.0</v>
      </c>
      <c r="E35" s="24">
        <v>2020.0</v>
      </c>
      <c r="F35" s="21" t="s">
        <v>41</v>
      </c>
      <c r="G35" s="21" t="s">
        <v>42</v>
      </c>
      <c r="H35" s="24">
        <v>3.0</v>
      </c>
      <c r="I35" s="24">
        <v>116.0</v>
      </c>
      <c r="J35" s="25" t="s">
        <v>1868</v>
      </c>
      <c r="K35" s="21" t="s">
        <v>1869</v>
      </c>
      <c r="L35" s="21" t="s">
        <v>1870</v>
      </c>
      <c r="M35" s="26" t="s">
        <v>59</v>
      </c>
      <c r="N35" s="25" t="s">
        <v>1871</v>
      </c>
      <c r="O35" s="21" t="s">
        <v>1872</v>
      </c>
      <c r="P35" s="24">
        <v>18.0</v>
      </c>
      <c r="Q35" s="24"/>
      <c r="R35" s="24">
        <v>92.0</v>
      </c>
      <c r="S35" s="24">
        <v>2020.0</v>
      </c>
      <c r="T35" s="21" t="s">
        <v>1873</v>
      </c>
      <c r="U35" s="24">
        <v>7.66666666666666</v>
      </c>
      <c r="V35" s="24">
        <v>0.059033078880407125</v>
      </c>
      <c r="W35" s="24">
        <v>0.0</v>
      </c>
      <c r="X35" s="24" t="s">
        <v>4495</v>
      </c>
      <c r="Y35" s="27" t="s">
        <v>4495</v>
      </c>
      <c r="Z35" s="27">
        <v>0.7194692656719576</v>
      </c>
      <c r="AA35" s="27">
        <v>1.0</v>
      </c>
      <c r="AB35" s="27">
        <v>1.0</v>
      </c>
      <c r="AC35" s="27">
        <v>0.2760219994850885</v>
      </c>
      <c r="AD35" s="27">
        <v>0.5574695163664983</v>
      </c>
      <c r="AE35" s="28" t="s">
        <v>4498</v>
      </c>
    </row>
    <row r="36" ht="21.0" customHeight="1">
      <c r="A36" s="10" t="s">
        <v>21</v>
      </c>
      <c r="B36" s="15" t="s">
        <v>426</v>
      </c>
      <c r="C36" s="12" t="s">
        <v>427</v>
      </c>
      <c r="D36" s="13">
        <v>40699.0</v>
      </c>
      <c r="E36" s="14">
        <v>2011.0</v>
      </c>
      <c r="F36" s="15" t="s">
        <v>41</v>
      </c>
      <c r="G36" s="15" t="s">
        <v>232</v>
      </c>
      <c r="H36" s="14">
        <v>16.0</v>
      </c>
      <c r="I36" s="14">
        <v>244.0</v>
      </c>
      <c r="J36" s="16"/>
      <c r="K36" s="15" t="s">
        <v>431</v>
      </c>
      <c r="L36" s="15" t="s">
        <v>432</v>
      </c>
      <c r="M36" s="17" t="s">
        <v>31</v>
      </c>
      <c r="N36" s="29"/>
      <c r="O36" s="15" t="s">
        <v>433</v>
      </c>
      <c r="P36" s="14">
        <v>6.0</v>
      </c>
      <c r="Q36" s="14"/>
      <c r="R36" s="14">
        <v>34.0</v>
      </c>
      <c r="S36" s="14"/>
      <c r="T36" s="15" t="s">
        <v>434</v>
      </c>
      <c r="U36" s="14">
        <v>16.6666666666666</v>
      </c>
      <c r="V36" s="14">
        <v>0.046662841843564735</v>
      </c>
      <c r="W36" s="14" t="s">
        <v>4495</v>
      </c>
      <c r="X36" s="14" t="s">
        <v>4495</v>
      </c>
      <c r="Y36" s="18" t="s">
        <v>4495</v>
      </c>
      <c r="Z36" s="18">
        <v>0.3768340340141598</v>
      </c>
      <c r="AA36" s="18" t="s">
        <v>4495</v>
      </c>
      <c r="AB36" s="18">
        <v>1.0</v>
      </c>
      <c r="AC36" s="18">
        <v>0.5759602604370906</v>
      </c>
      <c r="AD36" s="18">
        <v>0.301804534547249</v>
      </c>
      <c r="AE36" s="19" t="s">
        <v>4497</v>
      </c>
    </row>
    <row r="37" ht="21.0" customHeight="1">
      <c r="A37" s="20" t="s">
        <v>21</v>
      </c>
      <c r="B37" s="21" t="s">
        <v>2211</v>
      </c>
      <c r="C37" s="22" t="s">
        <v>2212</v>
      </c>
      <c r="D37" s="23">
        <v>44755.0</v>
      </c>
      <c r="E37" s="24">
        <v>2022.0</v>
      </c>
      <c r="F37" s="21" t="s">
        <v>41</v>
      </c>
      <c r="G37" s="21" t="s">
        <v>42</v>
      </c>
      <c r="H37" s="24">
        <v>3.0</v>
      </c>
      <c r="I37" s="24">
        <v>86.0</v>
      </c>
      <c r="J37" s="25" t="s">
        <v>2214</v>
      </c>
      <c r="K37" s="21" t="s">
        <v>2215</v>
      </c>
      <c r="L37" s="21" t="s">
        <v>2216</v>
      </c>
      <c r="M37" s="26" t="s">
        <v>59</v>
      </c>
      <c r="N37" s="30" t="s">
        <v>2217</v>
      </c>
      <c r="O37" s="32" t="s">
        <v>2218</v>
      </c>
      <c r="P37" s="24">
        <v>24.0</v>
      </c>
      <c r="Q37" s="24"/>
      <c r="R37" s="24">
        <v>176.0</v>
      </c>
      <c r="S37" s="24">
        <v>2022.0</v>
      </c>
      <c r="T37" s="21" t="s">
        <v>2219</v>
      </c>
      <c r="U37" s="24">
        <v>11.4285714285714</v>
      </c>
      <c r="V37" s="24">
        <v>0.0733162830349531</v>
      </c>
      <c r="W37" s="24">
        <v>0.0</v>
      </c>
      <c r="X37" s="24" t="s">
        <v>4495</v>
      </c>
      <c r="Y37" s="27" t="s">
        <v>4495</v>
      </c>
      <c r="Z37" s="27">
        <v>0.945105144241996</v>
      </c>
      <c r="AA37" s="27">
        <v>1.0</v>
      </c>
      <c r="AB37" s="27">
        <v>1.0</v>
      </c>
      <c r="AC37" s="27">
        <v>0.42785092454560963</v>
      </c>
      <c r="AD37" s="27">
        <v>0.6290613785150599</v>
      </c>
      <c r="AE37" s="28" t="s">
        <v>4498</v>
      </c>
    </row>
    <row r="38" ht="21.0" customHeight="1">
      <c r="A38" s="10" t="s">
        <v>21</v>
      </c>
      <c r="B38" s="15" t="s">
        <v>2103</v>
      </c>
      <c r="C38" s="12" t="s">
        <v>2104</v>
      </c>
      <c r="D38" s="13">
        <v>44937.0</v>
      </c>
      <c r="E38" s="14">
        <v>2023.0</v>
      </c>
      <c r="F38" s="15" t="s">
        <v>41</v>
      </c>
      <c r="G38" s="15" t="s">
        <v>42</v>
      </c>
      <c r="H38" s="14">
        <v>3.0</v>
      </c>
      <c r="I38" s="14">
        <v>87.0</v>
      </c>
      <c r="J38" s="16" t="s">
        <v>2106</v>
      </c>
      <c r="K38" s="15" t="s">
        <v>2107</v>
      </c>
      <c r="L38" s="15" t="s">
        <v>2108</v>
      </c>
      <c r="M38" s="17" t="s">
        <v>59</v>
      </c>
      <c r="N38" s="29" t="s">
        <v>2109</v>
      </c>
      <c r="O38" s="15" t="s">
        <v>2110</v>
      </c>
      <c r="P38" s="14">
        <v>31.0</v>
      </c>
      <c r="Q38" s="14"/>
      <c r="R38" s="14">
        <v>141.0</v>
      </c>
      <c r="S38" s="14"/>
      <c r="T38" s="15" t="s">
        <v>2111</v>
      </c>
      <c r="U38" s="14">
        <v>4.0</v>
      </c>
      <c r="V38" s="14">
        <v>0.08779011099899092</v>
      </c>
      <c r="W38" s="14" t="s">
        <v>4495</v>
      </c>
      <c r="X38" s="14" t="s">
        <v>4495</v>
      </c>
      <c r="Y38" s="18" t="s">
        <v>4495</v>
      </c>
      <c r="Z38" s="18">
        <v>0.8678575615496241</v>
      </c>
      <c r="AA38" s="18" t="s">
        <v>4495</v>
      </c>
      <c r="AB38" s="18">
        <v>1.0</v>
      </c>
      <c r="AC38" s="18">
        <v>0.044372163770186025</v>
      </c>
      <c r="AD38" s="18">
        <v>0.37140160676442463</v>
      </c>
      <c r="AE38" s="19" t="s">
        <v>4498</v>
      </c>
    </row>
    <row r="39" ht="21.0" customHeight="1">
      <c r="A39" s="20" t="s">
        <v>21</v>
      </c>
      <c r="B39" s="21" t="s">
        <v>457</v>
      </c>
      <c r="C39" s="22" t="s">
        <v>458</v>
      </c>
      <c r="D39" s="23">
        <v>41283.0</v>
      </c>
      <c r="E39" s="24">
        <v>2013.0</v>
      </c>
      <c r="F39" s="21" t="s">
        <v>41</v>
      </c>
      <c r="G39" s="21" t="s">
        <v>42</v>
      </c>
      <c r="H39" s="24">
        <v>14.0</v>
      </c>
      <c r="I39" s="24">
        <v>230.0</v>
      </c>
      <c r="J39" s="25"/>
      <c r="K39" s="21" t="s">
        <v>461</v>
      </c>
      <c r="L39" s="21" t="s">
        <v>462</v>
      </c>
      <c r="M39" s="26" t="s">
        <v>31</v>
      </c>
      <c r="N39" s="30"/>
      <c r="O39" s="21" t="s">
        <v>463</v>
      </c>
      <c r="P39" s="24">
        <v>15.0</v>
      </c>
      <c r="Q39" s="24"/>
      <c r="R39" s="24">
        <v>101.0</v>
      </c>
      <c r="S39" s="24"/>
      <c r="T39" s="21" t="s">
        <v>464</v>
      </c>
      <c r="U39" s="24">
        <v>27.6</v>
      </c>
      <c r="V39" s="24">
        <v>0.04951560818083961</v>
      </c>
      <c r="W39" s="24" t="s">
        <v>4495</v>
      </c>
      <c r="X39" s="24" t="s">
        <v>4495</v>
      </c>
      <c r="Y39" s="27" t="s">
        <v>4495</v>
      </c>
      <c r="Z39" s="27">
        <v>0.7518563800998207</v>
      </c>
      <c r="AA39" s="27" t="s">
        <v>4495</v>
      </c>
      <c r="AB39" s="27">
        <v>1.0</v>
      </c>
      <c r="AC39" s="27">
        <v>0.7788377172062704</v>
      </c>
      <c r="AD39" s="27">
        <v>0.4158478667455822</v>
      </c>
      <c r="AE39" s="28" t="s">
        <v>4497</v>
      </c>
    </row>
    <row r="40" ht="21.0" customHeight="1">
      <c r="A40" s="10" t="s">
        <v>21</v>
      </c>
      <c r="B40" s="15" t="s">
        <v>466</v>
      </c>
      <c r="C40" s="12" t="s">
        <v>467</v>
      </c>
      <c r="D40" s="13">
        <v>43573.0</v>
      </c>
      <c r="E40" s="14">
        <v>2019.0</v>
      </c>
      <c r="F40" s="15" t="s">
        <v>41</v>
      </c>
      <c r="G40" s="15" t="s">
        <v>42</v>
      </c>
      <c r="H40" s="14">
        <v>14.0</v>
      </c>
      <c r="I40" s="14">
        <v>323.0</v>
      </c>
      <c r="J40" s="16" t="s">
        <v>470</v>
      </c>
      <c r="K40" s="15" t="s">
        <v>471</v>
      </c>
      <c r="L40" s="15" t="s">
        <v>472</v>
      </c>
      <c r="M40" s="17" t="s">
        <v>59</v>
      </c>
      <c r="N40" s="29" t="s">
        <v>473</v>
      </c>
      <c r="O40" s="15" t="s">
        <v>474</v>
      </c>
      <c r="P40" s="14">
        <v>13.0</v>
      </c>
      <c r="Q40" s="14"/>
      <c r="R40" s="14">
        <v>40.0</v>
      </c>
      <c r="S40" s="14">
        <v>2019.0</v>
      </c>
      <c r="T40" s="15" t="s">
        <v>476</v>
      </c>
      <c r="U40" s="14">
        <v>21.8</v>
      </c>
      <c r="V40" s="14">
        <v>0.13715498938428874</v>
      </c>
      <c r="W40" s="14">
        <v>0.0</v>
      </c>
      <c r="X40" s="14" t="s">
        <v>4495</v>
      </c>
      <c r="Y40" s="18" t="s">
        <v>4495</v>
      </c>
      <c r="Z40" s="18">
        <v>0.43230913174650915</v>
      </c>
      <c r="AA40" s="18">
        <v>1.0</v>
      </c>
      <c r="AB40" s="18">
        <v>1.0</v>
      </c>
      <c r="AC40" s="18">
        <v>0.6833865756013802</v>
      </c>
      <c r="AD40" s="18">
        <v>0.5264159404967653</v>
      </c>
      <c r="AE40" s="19" t="s">
        <v>4500</v>
      </c>
    </row>
    <row r="41" ht="21.0" customHeight="1">
      <c r="A41" s="20" t="s">
        <v>21</v>
      </c>
      <c r="B41" s="21" t="s">
        <v>478</v>
      </c>
      <c r="C41" s="22" t="s">
        <v>479</v>
      </c>
      <c r="D41" s="23"/>
      <c r="E41" s="24"/>
      <c r="F41" s="21" t="s">
        <v>41</v>
      </c>
      <c r="G41" s="21" t="s">
        <v>42</v>
      </c>
      <c r="H41" s="24">
        <v>14.0</v>
      </c>
      <c r="I41" s="24">
        <v>216.0</v>
      </c>
      <c r="J41" s="25" t="s">
        <v>481</v>
      </c>
      <c r="K41" s="21" t="s">
        <v>482</v>
      </c>
      <c r="L41" s="21" t="s">
        <v>483</v>
      </c>
      <c r="M41" s="26" t="s">
        <v>31</v>
      </c>
      <c r="N41" s="30"/>
      <c r="O41" s="21" t="s">
        <v>484</v>
      </c>
      <c r="P41" s="24">
        <v>29.0</v>
      </c>
      <c r="Q41" s="24"/>
      <c r="R41" s="24">
        <v>165.0</v>
      </c>
      <c r="S41" s="24"/>
      <c r="T41" s="21" t="s">
        <v>486</v>
      </c>
      <c r="U41" s="24">
        <v>12.0</v>
      </c>
      <c r="V41" s="24" t="s">
        <v>4495</v>
      </c>
      <c r="W41" s="24" t="s">
        <v>4495</v>
      </c>
      <c r="X41" s="24" t="s">
        <v>4495</v>
      </c>
      <c r="Y41" s="27" t="s">
        <v>4495</v>
      </c>
      <c r="Z41" s="27">
        <v>0.9226092522860491</v>
      </c>
      <c r="AA41" s="27" t="s">
        <v>4495</v>
      </c>
      <c r="AB41" s="27" t="s">
        <v>4495</v>
      </c>
      <c r="AC41" s="27">
        <v>0.4467820234631535</v>
      </c>
      <c r="AD41" s="27">
        <v>0.2753305154178276</v>
      </c>
      <c r="AE41" s="28" t="s">
        <v>4497</v>
      </c>
    </row>
    <row r="42" ht="21.0" customHeight="1">
      <c r="A42" s="10" t="s">
        <v>21</v>
      </c>
      <c r="B42" s="15" t="s">
        <v>488</v>
      </c>
      <c r="C42" s="12" t="s">
        <v>489</v>
      </c>
      <c r="D42" s="13">
        <v>43538.0</v>
      </c>
      <c r="E42" s="14">
        <v>2019.0</v>
      </c>
      <c r="F42" s="15" t="s">
        <v>41</v>
      </c>
      <c r="G42" s="15" t="s">
        <v>42</v>
      </c>
      <c r="H42" s="14">
        <v>14.0</v>
      </c>
      <c r="I42" s="14">
        <v>422.0</v>
      </c>
      <c r="J42" s="16"/>
      <c r="K42" s="15" t="s">
        <v>492</v>
      </c>
      <c r="L42" s="15" t="s">
        <v>493</v>
      </c>
      <c r="M42" s="17" t="s">
        <v>31</v>
      </c>
      <c r="N42" s="16"/>
      <c r="O42" s="15" t="s">
        <v>494</v>
      </c>
      <c r="P42" s="14">
        <v>11.0</v>
      </c>
      <c r="Q42" s="14"/>
      <c r="R42" s="14">
        <v>102.0</v>
      </c>
      <c r="S42" s="14"/>
      <c r="T42" s="15" t="s">
        <v>496</v>
      </c>
      <c r="U42" s="14">
        <v>27.6</v>
      </c>
      <c r="V42" s="14">
        <v>0.17656903765690377</v>
      </c>
      <c r="W42" s="14" t="s">
        <v>4495</v>
      </c>
      <c r="X42" s="14" t="s">
        <v>4495</v>
      </c>
      <c r="Y42" s="18" t="s">
        <v>4495</v>
      </c>
      <c r="Z42" s="18">
        <v>0.7552770036509245</v>
      </c>
      <c r="AA42" s="18" t="s">
        <v>4495</v>
      </c>
      <c r="AB42" s="18">
        <v>1.0</v>
      </c>
      <c r="AC42" s="18">
        <v>0.7788377172062704</v>
      </c>
      <c r="AD42" s="18">
        <v>0.4167030226333582</v>
      </c>
      <c r="AE42" s="19" t="s">
        <v>4497</v>
      </c>
    </row>
    <row r="43" ht="21.0" customHeight="1">
      <c r="A43" s="20" t="s">
        <v>21</v>
      </c>
      <c r="B43" s="21" t="s">
        <v>1903</v>
      </c>
      <c r="C43" s="22" t="s">
        <v>1904</v>
      </c>
      <c r="D43" s="23"/>
      <c r="E43" s="24"/>
      <c r="F43" s="21" t="s">
        <v>26</v>
      </c>
      <c r="G43" s="21" t="s">
        <v>27</v>
      </c>
      <c r="H43" s="24">
        <v>3.0</v>
      </c>
      <c r="I43" s="24">
        <v>33.0</v>
      </c>
      <c r="J43" s="25"/>
      <c r="K43" s="21" t="s">
        <v>1905</v>
      </c>
      <c r="L43" s="21" t="s">
        <v>1906</v>
      </c>
      <c r="M43" s="26" t="s">
        <v>59</v>
      </c>
      <c r="N43" s="25" t="s">
        <v>1907</v>
      </c>
      <c r="O43" s="21" t="s">
        <v>1908</v>
      </c>
      <c r="P43" s="24">
        <v>7.0</v>
      </c>
      <c r="Q43" s="24"/>
      <c r="R43" s="24">
        <v>14.0</v>
      </c>
      <c r="S43" s="24">
        <v>2008.0</v>
      </c>
      <c r="T43" s="21" t="s">
        <v>1909</v>
      </c>
      <c r="U43" s="24">
        <v>10.0</v>
      </c>
      <c r="V43" s="24" t="s">
        <v>4495</v>
      </c>
      <c r="W43" s="24" t="s">
        <v>4495</v>
      </c>
      <c r="X43" s="24" t="s">
        <v>4495</v>
      </c>
      <c r="Y43" s="27" t="s">
        <v>4495</v>
      </c>
      <c r="Z43" s="27">
        <v>0.07976197121590477</v>
      </c>
      <c r="AA43" s="27" t="s">
        <v>4495</v>
      </c>
      <c r="AB43" s="27" t="s">
        <v>4495</v>
      </c>
      <c r="AC43" s="27">
        <v>0.37642785751330293</v>
      </c>
      <c r="AD43" s="27">
        <v>0.05758327855530648</v>
      </c>
      <c r="AE43" s="28" t="s">
        <v>4498</v>
      </c>
    </row>
    <row r="44" ht="21.0" customHeight="1">
      <c r="A44" s="10" t="s">
        <v>21</v>
      </c>
      <c r="B44" s="15" t="s">
        <v>2251</v>
      </c>
      <c r="C44" s="12" t="s">
        <v>2252</v>
      </c>
      <c r="D44" s="13"/>
      <c r="E44" s="14"/>
      <c r="F44" s="15" t="s">
        <v>41</v>
      </c>
      <c r="G44" s="15" t="s">
        <v>42</v>
      </c>
      <c r="H44" s="14">
        <v>3.0</v>
      </c>
      <c r="I44" s="14">
        <v>26.0</v>
      </c>
      <c r="J44" s="16" t="s">
        <v>2253</v>
      </c>
      <c r="K44" s="15" t="s">
        <v>2254</v>
      </c>
      <c r="L44" s="15" t="s">
        <v>2255</v>
      </c>
      <c r="M44" s="17" t="s">
        <v>59</v>
      </c>
      <c r="N44" s="16" t="s">
        <v>2256</v>
      </c>
      <c r="O44" s="15" t="s">
        <v>2257</v>
      </c>
      <c r="P44" s="14">
        <v>41.0</v>
      </c>
      <c r="Q44" s="14"/>
      <c r="R44" s="14">
        <v>196.0</v>
      </c>
      <c r="S44" s="14">
        <v>2021.0</v>
      </c>
      <c r="T44" s="15" t="s">
        <v>2259</v>
      </c>
      <c r="U44" s="14">
        <v>13.0</v>
      </c>
      <c r="V44" s="14" t="s">
        <v>4495</v>
      </c>
      <c r="W44" s="14" t="s">
        <v>4495</v>
      </c>
      <c r="X44" s="14" t="s">
        <v>4495</v>
      </c>
      <c r="Y44" s="18" t="s">
        <v>4495</v>
      </c>
      <c r="Z44" s="18">
        <v>0.9826394671266896</v>
      </c>
      <c r="AA44" s="18" t="s">
        <v>4495</v>
      </c>
      <c r="AB44" s="18" t="s">
        <v>4495</v>
      </c>
      <c r="AC44" s="18">
        <v>0.4779923023475191</v>
      </c>
      <c r="AD44" s="18">
        <v>0.2934590970164243</v>
      </c>
      <c r="AE44" s="19" t="s">
        <v>4498</v>
      </c>
    </row>
    <row r="45" ht="21.0" customHeight="1">
      <c r="A45" s="20" t="s">
        <v>21</v>
      </c>
      <c r="B45" s="21" t="s">
        <v>520</v>
      </c>
      <c r="C45" s="22" t="s">
        <v>521</v>
      </c>
      <c r="D45" s="23">
        <v>42415.0</v>
      </c>
      <c r="E45" s="24">
        <v>2016.0</v>
      </c>
      <c r="F45" s="21" t="s">
        <v>41</v>
      </c>
      <c r="G45" s="21" t="s">
        <v>42</v>
      </c>
      <c r="H45" s="24">
        <v>14.0</v>
      </c>
      <c r="I45" s="24">
        <v>340.0</v>
      </c>
      <c r="J45" s="25"/>
      <c r="K45" s="21" t="s">
        <v>524</v>
      </c>
      <c r="L45" s="21" t="s">
        <v>525</v>
      </c>
      <c r="M45" s="26" t="s">
        <v>59</v>
      </c>
      <c r="N45" s="30" t="s">
        <v>526</v>
      </c>
      <c r="O45" s="21" t="s">
        <v>527</v>
      </c>
      <c r="P45" s="24">
        <v>11.0</v>
      </c>
      <c r="Q45" s="24"/>
      <c r="R45" s="24">
        <v>75.0</v>
      </c>
      <c r="S45" s="24"/>
      <c r="T45" s="21" t="s">
        <v>528</v>
      </c>
      <c r="U45" s="24">
        <v>30.6666666666666</v>
      </c>
      <c r="V45" s="24">
        <v>0.09678337603188158</v>
      </c>
      <c r="W45" s="24" t="s">
        <v>4495</v>
      </c>
      <c r="X45" s="24" t="s">
        <v>4495</v>
      </c>
      <c r="Y45" s="27" t="s">
        <v>4495</v>
      </c>
      <c r="Z45" s="27">
        <v>0.6486927451058364</v>
      </c>
      <c r="AA45" s="27" t="s">
        <v>4495</v>
      </c>
      <c r="AB45" s="27">
        <v>1.0</v>
      </c>
      <c r="AC45" s="27">
        <v>0.821734761995934</v>
      </c>
      <c r="AD45" s="27">
        <v>0.3943466624760525</v>
      </c>
      <c r="AE45" s="28" t="s">
        <v>4499</v>
      </c>
    </row>
    <row r="46" ht="21.0" customHeight="1">
      <c r="A46" s="10" t="s">
        <v>21</v>
      </c>
      <c r="B46" s="15" t="s">
        <v>530</v>
      </c>
      <c r="C46" s="12" t="s">
        <v>531</v>
      </c>
      <c r="D46" s="13">
        <v>41153.0</v>
      </c>
      <c r="E46" s="14">
        <v>2012.0</v>
      </c>
      <c r="F46" s="15" t="s">
        <v>41</v>
      </c>
      <c r="G46" s="15" t="s">
        <v>42</v>
      </c>
      <c r="H46" s="14">
        <v>14.0</v>
      </c>
      <c r="I46" s="14">
        <v>150.0</v>
      </c>
      <c r="J46" s="16"/>
      <c r="K46" s="15" t="s">
        <v>533</v>
      </c>
      <c r="L46" s="15" t="s">
        <v>534</v>
      </c>
      <c r="M46" s="17" t="s">
        <v>31</v>
      </c>
      <c r="N46" s="29"/>
      <c r="P46" s="14"/>
      <c r="Q46" s="14"/>
      <c r="R46" s="14">
        <v>59.0</v>
      </c>
      <c r="S46" s="14"/>
      <c r="T46" s="15" t="s">
        <v>536</v>
      </c>
      <c r="U46" s="14">
        <v>15.0</v>
      </c>
      <c r="V46" s="14">
        <v>0.031413612565445025</v>
      </c>
      <c r="W46" s="14" t="s">
        <v>4495</v>
      </c>
      <c r="X46" s="14" t="s">
        <v>4495</v>
      </c>
      <c r="Y46" s="18" t="s">
        <v>4495</v>
      </c>
      <c r="Z46" s="18">
        <v>0.5658122078059921</v>
      </c>
      <c r="AA46" s="18" t="s">
        <v>4495</v>
      </c>
      <c r="AB46" s="18">
        <v>1.0</v>
      </c>
      <c r="AC46" s="18">
        <v>0.5342285193497109</v>
      </c>
      <c r="AD46" s="18">
        <v>0.3448759038864691</v>
      </c>
      <c r="AE46" s="19" t="s">
        <v>4497</v>
      </c>
    </row>
    <row r="47" ht="21.0" customHeight="1">
      <c r="A47" s="20" t="s">
        <v>21</v>
      </c>
      <c r="B47" s="21" t="s">
        <v>537</v>
      </c>
      <c r="C47" s="22" t="s">
        <v>538</v>
      </c>
      <c r="D47" s="23">
        <v>43891.0</v>
      </c>
      <c r="E47" s="24">
        <v>2020.0</v>
      </c>
      <c r="F47" s="21" t="s">
        <v>41</v>
      </c>
      <c r="G47" s="21" t="s">
        <v>42</v>
      </c>
      <c r="H47" s="24">
        <v>14.0</v>
      </c>
      <c r="I47" s="24">
        <v>260.0</v>
      </c>
      <c r="J47" s="25" t="s">
        <v>541</v>
      </c>
      <c r="K47" s="21" t="s">
        <v>542</v>
      </c>
      <c r="L47" s="21" t="s">
        <v>543</v>
      </c>
      <c r="M47" s="26" t="s">
        <v>31</v>
      </c>
      <c r="N47" s="30"/>
      <c r="O47" s="21" t="s">
        <v>544</v>
      </c>
      <c r="P47" s="24">
        <v>15.0</v>
      </c>
      <c r="Q47" s="24"/>
      <c r="R47" s="24">
        <v>99.0</v>
      </c>
      <c r="S47" s="24"/>
      <c r="T47" s="21" t="s">
        <v>546</v>
      </c>
      <c r="U47" s="24">
        <v>22.8571428571428</v>
      </c>
      <c r="V47" s="24">
        <v>0.12763868433971526</v>
      </c>
      <c r="W47" s="24" t="s">
        <v>4495</v>
      </c>
      <c r="X47" s="24" t="s">
        <v>4495</v>
      </c>
      <c r="Y47" s="27" t="s">
        <v>4495</v>
      </c>
      <c r="Z47" s="27">
        <v>0.7449133585076116</v>
      </c>
      <c r="AA47" s="27" t="s">
        <v>4495</v>
      </c>
      <c r="AB47" s="27">
        <v>1.0</v>
      </c>
      <c r="AC47" s="27">
        <v>0.7024742311529858</v>
      </c>
      <c r="AD47" s="27">
        <v>0.4064757627422015</v>
      </c>
      <c r="AE47" s="28" t="s">
        <v>4497</v>
      </c>
    </row>
    <row r="48" ht="21.0" customHeight="1">
      <c r="A48" s="10" t="s">
        <v>21</v>
      </c>
      <c r="B48" s="15" t="s">
        <v>2183</v>
      </c>
      <c r="C48" s="12" t="s">
        <v>2184</v>
      </c>
      <c r="D48" s="13"/>
      <c r="E48" s="14"/>
      <c r="F48" s="15" t="s">
        <v>26</v>
      </c>
      <c r="G48" s="15" t="s">
        <v>42</v>
      </c>
      <c r="H48" s="14">
        <v>3.0</v>
      </c>
      <c r="I48" s="14">
        <v>59.0</v>
      </c>
      <c r="J48" s="16" t="s">
        <v>2185</v>
      </c>
      <c r="K48" s="15" t="s">
        <v>2186</v>
      </c>
      <c r="L48" s="15" t="s">
        <v>2187</v>
      </c>
      <c r="M48" s="17" t="s">
        <v>59</v>
      </c>
      <c r="N48" s="16" t="s">
        <v>2188</v>
      </c>
      <c r="P48" s="14"/>
      <c r="Q48" s="14"/>
      <c r="R48" s="14">
        <v>39.0</v>
      </c>
      <c r="S48" s="14">
        <v>2015.0</v>
      </c>
      <c r="T48" s="15" t="s">
        <v>2189</v>
      </c>
      <c r="U48" s="14">
        <v>21.0</v>
      </c>
      <c r="V48" s="14" t="s">
        <v>4495</v>
      </c>
      <c r="W48" s="14" t="s">
        <v>4495</v>
      </c>
      <c r="X48" s="14" t="s">
        <v>4495</v>
      </c>
      <c r="Y48" s="18" t="s">
        <v>4495</v>
      </c>
      <c r="Z48" s="18">
        <v>0.4236516268700686</v>
      </c>
      <c r="AA48" s="18" t="s">
        <v>4495</v>
      </c>
      <c r="AB48" s="18" t="s">
        <v>4495</v>
      </c>
      <c r="AC48" s="18">
        <v>0.6683440466152498</v>
      </c>
      <c r="AD48" s="18">
        <v>0.17274731137904215</v>
      </c>
      <c r="AE48" s="19" t="s">
        <v>4498</v>
      </c>
    </row>
    <row r="49" ht="21.0" customHeight="1">
      <c r="A49" s="20" t="s">
        <v>21</v>
      </c>
      <c r="B49" s="21" t="s">
        <v>560</v>
      </c>
      <c r="C49" s="22" t="s">
        <v>561</v>
      </c>
      <c r="D49" s="23">
        <v>44136.0</v>
      </c>
      <c r="E49" s="24">
        <v>2020.0</v>
      </c>
      <c r="F49" s="21" t="s">
        <v>41</v>
      </c>
      <c r="G49" s="21" t="s">
        <v>42</v>
      </c>
      <c r="H49" s="24">
        <v>13.0</v>
      </c>
      <c r="I49" s="24">
        <v>287.0</v>
      </c>
      <c r="J49" s="25"/>
      <c r="K49" s="21" t="s">
        <v>564</v>
      </c>
      <c r="L49" s="21" t="s">
        <v>565</v>
      </c>
      <c r="M49" s="26" t="s">
        <v>31</v>
      </c>
      <c r="N49" s="25"/>
      <c r="O49" s="21" t="s">
        <v>566</v>
      </c>
      <c r="P49" s="24"/>
      <c r="Q49" s="24"/>
      <c r="R49" s="24">
        <v>76.0</v>
      </c>
      <c r="S49" s="24"/>
      <c r="T49" s="21" t="s">
        <v>567</v>
      </c>
      <c r="U49" s="24">
        <v>14.0</v>
      </c>
      <c r="V49" s="24">
        <v>0.16015625</v>
      </c>
      <c r="W49" s="24" t="s">
        <v>4495</v>
      </c>
      <c r="X49" s="24" t="s">
        <v>4495</v>
      </c>
      <c r="Y49" s="27" t="s">
        <v>4495</v>
      </c>
      <c r="Z49" s="27">
        <v>0.6532759624345169</v>
      </c>
      <c r="AA49" s="27" t="s">
        <v>4495</v>
      </c>
      <c r="AB49" s="27">
        <v>1.0</v>
      </c>
      <c r="AC49" s="27">
        <v>0.5070483768501975</v>
      </c>
      <c r="AD49" s="27">
        <v>0.364023828293649</v>
      </c>
      <c r="AE49" s="28" t="s">
        <v>4497</v>
      </c>
    </row>
    <row r="50" ht="21.0" customHeight="1">
      <c r="A50" s="10" t="s">
        <v>21</v>
      </c>
      <c r="B50" s="15" t="s">
        <v>1662</v>
      </c>
      <c r="C50" s="12" t="s">
        <v>1663</v>
      </c>
      <c r="D50" s="13">
        <v>40574.0</v>
      </c>
      <c r="E50" s="14">
        <v>2011.0</v>
      </c>
      <c r="F50" s="15" t="s">
        <v>41</v>
      </c>
      <c r="G50" s="15" t="s">
        <v>42</v>
      </c>
      <c r="H50" s="14">
        <v>4.0</v>
      </c>
      <c r="I50" s="14">
        <v>39.0</v>
      </c>
      <c r="J50" s="16" t="s">
        <v>1665</v>
      </c>
      <c r="K50" s="15" t="s">
        <v>1666</v>
      </c>
      <c r="L50" s="15" t="s">
        <v>1667</v>
      </c>
      <c r="M50" s="17" t="s">
        <v>59</v>
      </c>
      <c r="N50" s="29" t="s">
        <v>1668</v>
      </c>
      <c r="O50" s="15" t="s">
        <v>1669</v>
      </c>
      <c r="P50" s="14">
        <v>11.0</v>
      </c>
      <c r="Q50" s="14"/>
      <c r="R50" s="14">
        <v>21.0</v>
      </c>
      <c r="S50" s="14">
        <v>2008.0</v>
      </c>
      <c r="T50" s="15" t="s">
        <v>1671</v>
      </c>
      <c r="U50" s="14">
        <v>5.0</v>
      </c>
      <c r="V50" s="14">
        <v>0.007284273440418379</v>
      </c>
      <c r="W50" s="14">
        <v>3.0</v>
      </c>
      <c r="X50" s="14" t="s">
        <v>4495</v>
      </c>
      <c r="Y50" s="18" t="s">
        <v>4495</v>
      </c>
      <c r="Z50" s="18">
        <v>0.21404331870033824</v>
      </c>
      <c r="AA50" s="18">
        <v>1.0</v>
      </c>
      <c r="AB50" s="18">
        <v>1.0</v>
      </c>
      <c r="AC50" s="18">
        <v>0.12115616512388203</v>
      </c>
      <c r="AD50" s="18">
        <v>0.41562644618747274</v>
      </c>
      <c r="AE50" s="19" t="s">
        <v>4498</v>
      </c>
    </row>
    <row r="51" ht="21.0" customHeight="1">
      <c r="A51" s="20" t="s">
        <v>21</v>
      </c>
      <c r="B51" s="21" t="s">
        <v>577</v>
      </c>
      <c r="C51" s="22" t="s">
        <v>578</v>
      </c>
      <c r="D51" s="23">
        <v>43283.0</v>
      </c>
      <c r="E51" s="24">
        <v>2018.0</v>
      </c>
      <c r="F51" s="21" t="s">
        <v>41</v>
      </c>
      <c r="G51" s="21" t="s">
        <v>42</v>
      </c>
      <c r="H51" s="24">
        <v>13.0</v>
      </c>
      <c r="I51" s="24">
        <v>318.0</v>
      </c>
      <c r="J51" s="25"/>
      <c r="K51" s="21" t="s">
        <v>581</v>
      </c>
      <c r="L51" s="21" t="s">
        <v>582</v>
      </c>
      <c r="M51" s="26" t="s">
        <v>31</v>
      </c>
      <c r="N51" s="25"/>
      <c r="O51" s="21" t="s">
        <v>583</v>
      </c>
      <c r="P51" s="24">
        <v>43.0</v>
      </c>
      <c r="Q51" s="24"/>
      <c r="R51" s="24">
        <v>174.0</v>
      </c>
      <c r="S51" s="24"/>
      <c r="T51" s="21" t="s">
        <v>585</v>
      </c>
      <c r="U51" s="24">
        <v>25.4</v>
      </c>
      <c r="V51" s="24">
        <v>0.12022684310018904</v>
      </c>
      <c r="W51" s="24" t="s">
        <v>4495</v>
      </c>
      <c r="X51" s="24" t="s">
        <v>4495</v>
      </c>
      <c r="Y51" s="27" t="s">
        <v>4495</v>
      </c>
      <c r="Z51" s="27">
        <v>0.9411208839467466</v>
      </c>
      <c r="AA51" s="27" t="s">
        <v>4495</v>
      </c>
      <c r="AB51" s="27">
        <v>1.0</v>
      </c>
      <c r="AC51" s="27">
        <v>0.7451280479689457</v>
      </c>
      <c r="AD51" s="27">
        <v>0.4597930257835813</v>
      </c>
      <c r="AE51" s="28" t="s">
        <v>4497</v>
      </c>
    </row>
    <row r="52" ht="21.0" customHeight="1">
      <c r="A52" s="10" t="s">
        <v>21</v>
      </c>
      <c r="B52" s="15" t="s">
        <v>1788</v>
      </c>
      <c r="C52" s="12" t="s">
        <v>1789</v>
      </c>
      <c r="D52" s="13">
        <v>42020.0</v>
      </c>
      <c r="E52" s="14">
        <v>2015.0</v>
      </c>
      <c r="F52" s="15" t="s">
        <v>26</v>
      </c>
      <c r="G52" s="15" t="s">
        <v>42</v>
      </c>
      <c r="H52" s="14">
        <v>4.0</v>
      </c>
      <c r="I52" s="14">
        <v>52.0</v>
      </c>
      <c r="J52" s="16"/>
      <c r="K52" s="15" t="s">
        <v>1792</v>
      </c>
      <c r="L52" s="15" t="s">
        <v>1793</v>
      </c>
      <c r="M52" s="17" t="s">
        <v>59</v>
      </c>
      <c r="N52" s="29" t="s">
        <v>1794</v>
      </c>
      <c r="O52" s="31" t="s">
        <v>1795</v>
      </c>
      <c r="P52" s="14">
        <v>10.0</v>
      </c>
      <c r="Q52" s="14"/>
      <c r="R52" s="14">
        <v>49.0</v>
      </c>
      <c r="S52" s="14"/>
      <c r="T52" s="15" t="s">
        <v>1796</v>
      </c>
      <c r="U52" s="14">
        <v>4.5</v>
      </c>
      <c r="V52" s="14">
        <v>0.01330603889457523</v>
      </c>
      <c r="W52" s="14" t="s">
        <v>4495</v>
      </c>
      <c r="X52" s="14" t="s">
        <v>4495</v>
      </c>
      <c r="Y52" s="18" t="s">
        <v>4495</v>
      </c>
      <c r="Z52" s="18">
        <v>0.5018882402125678</v>
      </c>
      <c r="AA52" s="18" t="s">
        <v>4495</v>
      </c>
      <c r="AB52" s="18">
        <v>1.0</v>
      </c>
      <c r="AC52" s="18">
        <v>0.08451166841135611</v>
      </c>
      <c r="AD52" s="18">
        <v>0.28392322689427757</v>
      </c>
      <c r="AE52" s="19" t="s">
        <v>4498</v>
      </c>
    </row>
    <row r="53" ht="21.0" customHeight="1">
      <c r="A53" s="20" t="s">
        <v>21</v>
      </c>
      <c r="B53" s="21" t="s">
        <v>597</v>
      </c>
      <c r="C53" s="22" t="s">
        <v>598</v>
      </c>
      <c r="D53" s="23">
        <v>44231.0</v>
      </c>
      <c r="E53" s="24">
        <v>2021.0</v>
      </c>
      <c r="F53" s="21" t="s">
        <v>41</v>
      </c>
      <c r="G53" s="21" t="s">
        <v>42</v>
      </c>
      <c r="H53" s="24">
        <v>12.0</v>
      </c>
      <c r="I53" s="24">
        <v>221.0</v>
      </c>
      <c r="J53" s="25"/>
      <c r="K53" s="21" t="s">
        <v>601</v>
      </c>
      <c r="L53" s="21" t="s">
        <v>602</v>
      </c>
      <c r="M53" s="26" t="s">
        <v>31</v>
      </c>
      <c r="N53" s="30"/>
      <c r="O53" s="21" t="s">
        <v>603</v>
      </c>
      <c r="P53" s="24">
        <v>38.0</v>
      </c>
      <c r="Q53" s="24"/>
      <c r="R53" s="24">
        <v>195.0</v>
      </c>
      <c r="S53" s="24"/>
      <c r="T53" s="21" t="s">
        <v>604</v>
      </c>
      <c r="U53" s="24">
        <v>14.6666666666666</v>
      </c>
      <c r="V53" s="24">
        <v>0.13022981732469063</v>
      </c>
      <c r="W53" s="24" t="s">
        <v>4495</v>
      </c>
      <c r="X53" s="24" t="s">
        <v>4495</v>
      </c>
      <c r="Y53" s="27" t="s">
        <v>4495</v>
      </c>
      <c r="Z53" s="27">
        <v>0.9808551827008831</v>
      </c>
      <c r="AA53" s="27" t="s">
        <v>4495</v>
      </c>
      <c r="AB53" s="27">
        <v>1.0</v>
      </c>
      <c r="AC53" s="27">
        <v>0.5253619594718052</v>
      </c>
      <c r="AD53" s="27">
        <v>0.44774999162240126</v>
      </c>
      <c r="AE53" s="28" t="s">
        <v>4497</v>
      </c>
    </row>
    <row r="54" ht="21.0" customHeight="1">
      <c r="A54" s="10" t="s">
        <v>21</v>
      </c>
      <c r="B54" s="15" t="s">
        <v>1737</v>
      </c>
      <c r="C54" s="12" t="s">
        <v>1738</v>
      </c>
      <c r="D54" s="13">
        <v>40968.0</v>
      </c>
      <c r="E54" s="14">
        <v>2012.0</v>
      </c>
      <c r="F54" s="15" t="s">
        <v>26</v>
      </c>
      <c r="G54" s="15" t="s">
        <v>42</v>
      </c>
      <c r="H54" s="14">
        <v>4.0</v>
      </c>
      <c r="I54" s="14">
        <v>73.0</v>
      </c>
      <c r="J54" s="16"/>
      <c r="K54" s="15" t="s">
        <v>1740</v>
      </c>
      <c r="L54" s="15" t="s">
        <v>1741</v>
      </c>
      <c r="M54" s="17" t="s">
        <v>59</v>
      </c>
      <c r="N54" s="16" t="s">
        <v>1742</v>
      </c>
      <c r="O54" s="15" t="s">
        <v>1743</v>
      </c>
      <c r="P54" s="14">
        <v>6.0</v>
      </c>
      <c r="Q54" s="14"/>
      <c r="R54" s="14">
        <v>19.0</v>
      </c>
      <c r="S54" s="14"/>
      <c r="T54" s="15" t="s">
        <v>1744</v>
      </c>
      <c r="U54" s="14">
        <v>7.0</v>
      </c>
      <c r="V54" s="14">
        <v>0.01471774193548387</v>
      </c>
      <c r="W54" s="14" t="s">
        <v>4495</v>
      </c>
      <c r="X54" s="14" t="s">
        <v>4495</v>
      </c>
      <c r="Y54" s="18" t="s">
        <v>4495</v>
      </c>
      <c r="Z54" s="18">
        <v>0.18062650857502485</v>
      </c>
      <c r="AA54" s="18" t="s">
        <v>4495</v>
      </c>
      <c r="AB54" s="18">
        <v>1.0</v>
      </c>
      <c r="AC54" s="18">
        <v>0.24231233024776405</v>
      </c>
      <c r="AD54" s="18">
        <v>0.21938786016853262</v>
      </c>
      <c r="AE54" s="19" t="s">
        <v>4498</v>
      </c>
    </row>
    <row r="55" ht="21.0" customHeight="1">
      <c r="A55" s="20" t="s">
        <v>21</v>
      </c>
      <c r="B55" s="21" t="s">
        <v>619</v>
      </c>
      <c r="C55" s="22" t="s">
        <v>620</v>
      </c>
      <c r="D55" s="23">
        <v>42917.0</v>
      </c>
      <c r="E55" s="24">
        <v>2017.0</v>
      </c>
      <c r="F55" s="21" t="s">
        <v>622</v>
      </c>
      <c r="G55" s="21" t="s">
        <v>42</v>
      </c>
      <c r="H55" s="24">
        <v>12.0</v>
      </c>
      <c r="I55" s="24">
        <v>119.0</v>
      </c>
      <c r="J55" s="25"/>
      <c r="K55" s="21" t="s">
        <v>624</v>
      </c>
      <c r="L55" s="21" t="s">
        <v>625</v>
      </c>
      <c r="M55" s="26" t="s">
        <v>31</v>
      </c>
      <c r="N55" s="30"/>
      <c r="O55" s="21" t="s">
        <v>626</v>
      </c>
      <c r="P55" s="24">
        <v>6.0</v>
      </c>
      <c r="Q55" s="24"/>
      <c r="R55" s="24">
        <v>16.0</v>
      </c>
      <c r="S55" s="24"/>
      <c r="T55" s="21" t="s">
        <v>627</v>
      </c>
      <c r="U55" s="24">
        <v>10.5</v>
      </c>
      <c r="V55" s="24">
        <v>0.03952175357024244</v>
      </c>
      <c r="W55" s="24" t="s">
        <v>4495</v>
      </c>
      <c r="X55" s="24" t="s">
        <v>4495</v>
      </c>
      <c r="Y55" s="27" t="s">
        <v>4495</v>
      </c>
      <c r="Z55" s="27">
        <v>0.12364556257381001</v>
      </c>
      <c r="AA55" s="27" t="s">
        <v>4495</v>
      </c>
      <c r="AB55" s="27">
        <v>1.0</v>
      </c>
      <c r="AC55" s="27">
        <v>0.3951485412186882</v>
      </c>
      <c r="AD55" s="27">
        <v>0.2204262447653213</v>
      </c>
      <c r="AE55" s="28" t="s">
        <v>4497</v>
      </c>
    </row>
    <row r="56" ht="21.0" customHeight="1">
      <c r="A56" s="10" t="s">
        <v>21</v>
      </c>
      <c r="B56" s="15" t="s">
        <v>1808</v>
      </c>
      <c r="C56" s="12" t="s">
        <v>1809</v>
      </c>
      <c r="D56" s="13">
        <v>44510.0</v>
      </c>
      <c r="E56" s="14">
        <v>2021.0</v>
      </c>
      <c r="F56" s="15" t="s">
        <v>41</v>
      </c>
      <c r="G56" s="15" t="s">
        <v>880</v>
      </c>
      <c r="H56" s="14">
        <v>4.0</v>
      </c>
      <c r="I56" s="14">
        <v>56.0</v>
      </c>
      <c r="J56" s="16" t="s">
        <v>1811</v>
      </c>
      <c r="K56" s="15" t="s">
        <v>1812</v>
      </c>
      <c r="L56" s="15" t="s">
        <v>1813</v>
      </c>
      <c r="M56" s="17" t="s">
        <v>59</v>
      </c>
      <c r="N56" s="29" t="s">
        <v>1814</v>
      </c>
      <c r="O56" s="15" t="s">
        <v>180</v>
      </c>
      <c r="P56" s="14"/>
      <c r="Q56" s="14"/>
      <c r="R56" s="14">
        <v>13.0</v>
      </c>
      <c r="S56" s="14">
        <v>2021.0</v>
      </c>
      <c r="T56" s="15" t="s">
        <v>1815</v>
      </c>
      <c r="U56" s="14">
        <v>8.0</v>
      </c>
      <c r="V56" s="14">
        <v>0.039492242595204514</v>
      </c>
      <c r="W56" s="14">
        <v>0.0</v>
      </c>
      <c r="X56" s="14" t="s">
        <v>4495</v>
      </c>
      <c r="Y56" s="18" t="s">
        <v>4495</v>
      </c>
      <c r="Z56" s="18">
        <v>0.055572302376616874</v>
      </c>
      <c r="AA56" s="18">
        <v>1.0</v>
      </c>
      <c r="AB56" s="18">
        <v>1.0</v>
      </c>
      <c r="AC56" s="18">
        <v>0.29191618910194683</v>
      </c>
      <c r="AD56" s="18">
        <v>0.3930846945043489</v>
      </c>
      <c r="AE56" s="19" t="s">
        <v>4498</v>
      </c>
    </row>
    <row r="57" ht="21.0" customHeight="1">
      <c r="A57" s="20" t="s">
        <v>21</v>
      </c>
      <c r="B57" s="21" t="s">
        <v>1708</v>
      </c>
      <c r="C57" s="22" t="s">
        <v>1709</v>
      </c>
      <c r="D57" s="23">
        <v>43508.0</v>
      </c>
      <c r="E57" s="24">
        <v>2019.0</v>
      </c>
      <c r="F57" s="21" t="s">
        <v>41</v>
      </c>
      <c r="G57" s="21" t="s">
        <v>42</v>
      </c>
      <c r="H57" s="24">
        <v>4.0</v>
      </c>
      <c r="I57" s="24">
        <v>104.0</v>
      </c>
      <c r="J57" s="25" t="s">
        <v>1711</v>
      </c>
      <c r="K57" s="21" t="s">
        <v>1712</v>
      </c>
      <c r="L57" s="21" t="s">
        <v>1713</v>
      </c>
      <c r="M57" s="26" t="s">
        <v>59</v>
      </c>
      <c r="N57" s="25" t="s">
        <v>1714</v>
      </c>
      <c r="O57" s="21" t="s">
        <v>1715</v>
      </c>
      <c r="P57" s="24">
        <v>8.0</v>
      </c>
      <c r="Q57" s="24"/>
      <c r="R57" s="24">
        <v>28.0</v>
      </c>
      <c r="S57" s="24"/>
      <c r="T57" s="21" t="s">
        <v>1716</v>
      </c>
      <c r="U57" s="24">
        <v>15.0</v>
      </c>
      <c r="V57" s="24">
        <v>0.04297520661157025</v>
      </c>
      <c r="W57" s="24" t="s">
        <v>4495</v>
      </c>
      <c r="X57" s="24" t="s">
        <v>4495</v>
      </c>
      <c r="Y57" s="27" t="s">
        <v>4495</v>
      </c>
      <c r="Z57" s="27">
        <v>0.31090082806830316</v>
      </c>
      <c r="AA57" s="27" t="s">
        <v>4495</v>
      </c>
      <c r="AB57" s="27">
        <v>1.0</v>
      </c>
      <c r="AC57" s="27">
        <v>0.5342285193497109</v>
      </c>
      <c r="AD57" s="27">
        <v>0.28114805895204686</v>
      </c>
      <c r="AE57" s="28" t="s">
        <v>4498</v>
      </c>
    </row>
    <row r="58" ht="21.0" customHeight="1">
      <c r="A58" s="10" t="s">
        <v>21</v>
      </c>
      <c r="B58" s="15" t="s">
        <v>648</v>
      </c>
      <c r="C58" s="12" t="s">
        <v>649</v>
      </c>
      <c r="D58" s="13">
        <v>43862.0</v>
      </c>
      <c r="E58" s="14">
        <v>2020.0</v>
      </c>
      <c r="F58" s="15" t="s">
        <v>41</v>
      </c>
      <c r="G58" s="15" t="s">
        <v>42</v>
      </c>
      <c r="H58" s="14">
        <v>11.0</v>
      </c>
      <c r="I58" s="14">
        <v>465.0</v>
      </c>
      <c r="J58" s="16"/>
      <c r="K58" s="15" t="s">
        <v>652</v>
      </c>
      <c r="L58" s="15" t="s">
        <v>653</v>
      </c>
      <c r="M58" s="17" t="s">
        <v>31</v>
      </c>
      <c r="N58" s="16"/>
      <c r="P58" s="14"/>
      <c r="Q58" s="14"/>
      <c r="R58" s="14">
        <v>101.0</v>
      </c>
      <c r="S58" s="14"/>
      <c r="T58" s="15" t="s">
        <v>654</v>
      </c>
      <c r="U58" s="14">
        <v>17.3333333333333</v>
      </c>
      <c r="V58" s="14">
        <v>0.22507260406582769</v>
      </c>
      <c r="W58" s="14" t="s">
        <v>4495</v>
      </c>
      <c r="X58" s="14" t="s">
        <v>4495</v>
      </c>
      <c r="Y58" s="18" t="s">
        <v>4495</v>
      </c>
      <c r="Z58" s="18">
        <v>0.7518563800998207</v>
      </c>
      <c r="AA58" s="18" t="s">
        <v>4495</v>
      </c>
      <c r="AB58" s="18">
        <v>1.0</v>
      </c>
      <c r="AC58" s="18">
        <v>0.5915600452615529</v>
      </c>
      <c r="AD58" s="18">
        <v>0.3971200995511105</v>
      </c>
      <c r="AE58" s="19" t="s">
        <v>4497</v>
      </c>
    </row>
    <row r="59" ht="21.0" customHeight="1">
      <c r="A59" s="20" t="s">
        <v>21</v>
      </c>
      <c r="B59" s="21" t="s">
        <v>1652</v>
      </c>
      <c r="C59" s="22" t="s">
        <v>1653</v>
      </c>
      <c r="D59" s="23">
        <v>44063.0</v>
      </c>
      <c r="E59" s="24">
        <v>2020.0</v>
      </c>
      <c r="F59" s="21" t="s">
        <v>41</v>
      </c>
      <c r="G59" s="21" t="s">
        <v>42</v>
      </c>
      <c r="H59" s="24">
        <v>4.0</v>
      </c>
      <c r="I59" s="24">
        <v>114.0</v>
      </c>
      <c r="J59" s="25" t="s">
        <v>1655</v>
      </c>
      <c r="K59" s="21" t="s">
        <v>1656</v>
      </c>
      <c r="L59" s="21" t="s">
        <v>1657</v>
      </c>
      <c r="M59" s="26" t="s">
        <v>59</v>
      </c>
      <c r="N59" s="30" t="s">
        <v>1658</v>
      </c>
      <c r="O59" s="21" t="s">
        <v>1659</v>
      </c>
      <c r="P59" s="24">
        <v>23.0</v>
      </c>
      <c r="Q59" s="24"/>
      <c r="R59" s="24">
        <v>103.0</v>
      </c>
      <c r="S59" s="24">
        <v>2020.0</v>
      </c>
      <c r="T59" s="21" t="s">
        <v>1660</v>
      </c>
      <c r="U59" s="24">
        <v>2.75</v>
      </c>
      <c r="V59" s="24">
        <v>0.061126005361930295</v>
      </c>
      <c r="W59" s="24">
        <v>0.0</v>
      </c>
      <c r="X59" s="24" t="s">
        <v>4495</v>
      </c>
      <c r="Y59" s="27" t="s">
        <v>4495</v>
      </c>
      <c r="Z59" s="27">
        <v>0.7586645771823989</v>
      </c>
      <c r="AA59" s="27">
        <v>1.0</v>
      </c>
      <c r="AB59" s="27">
        <v>1.0</v>
      </c>
      <c r="AC59" s="27">
        <v>0.0</v>
      </c>
      <c r="AD59" s="27">
        <v>0.5396661442955998</v>
      </c>
      <c r="AE59" s="28" t="s">
        <v>4498</v>
      </c>
    </row>
    <row r="60" ht="21.0" customHeight="1">
      <c r="A60" s="10" t="s">
        <v>21</v>
      </c>
      <c r="B60" s="15" t="s">
        <v>1609</v>
      </c>
      <c r="C60" s="12" t="s">
        <v>1610</v>
      </c>
      <c r="D60" s="13">
        <v>44206.0</v>
      </c>
      <c r="E60" s="14">
        <v>2021.0</v>
      </c>
      <c r="F60" s="15" t="s">
        <v>41</v>
      </c>
      <c r="G60" s="15" t="s">
        <v>42</v>
      </c>
      <c r="H60" s="14">
        <v>4.0</v>
      </c>
      <c r="I60" s="14">
        <v>145.0</v>
      </c>
      <c r="J60" s="16" t="s">
        <v>1612</v>
      </c>
      <c r="K60" s="15" t="s">
        <v>1613</v>
      </c>
      <c r="L60" s="15" t="s">
        <v>1614</v>
      </c>
      <c r="M60" s="17" t="s">
        <v>59</v>
      </c>
      <c r="N60" s="16" t="s">
        <v>1615</v>
      </c>
      <c r="O60" s="15" t="s">
        <v>848</v>
      </c>
      <c r="P60" s="14">
        <v>35.0</v>
      </c>
      <c r="Q60" s="14"/>
      <c r="R60" s="14">
        <v>217.0</v>
      </c>
      <c r="S60" s="14">
        <v>2021.0</v>
      </c>
      <c r="T60" s="15" t="s">
        <v>1616</v>
      </c>
      <c r="U60" s="14">
        <v>28.2</v>
      </c>
      <c r="V60" s="14">
        <v>0.08420441347270616</v>
      </c>
      <c r="W60" s="14">
        <v>0.0</v>
      </c>
      <c r="X60" s="14" t="s">
        <v>4495</v>
      </c>
      <c r="Y60" s="18" t="s">
        <v>4495</v>
      </c>
      <c r="Z60" s="18">
        <v>1.0</v>
      </c>
      <c r="AA60" s="18">
        <v>1.0</v>
      </c>
      <c r="AB60" s="18">
        <v>1.0</v>
      </c>
      <c r="AC60" s="18">
        <v>0.7875815476535016</v>
      </c>
      <c r="AD60" s="18">
        <v>0.6787581547653502</v>
      </c>
      <c r="AE60" s="19" t="s">
        <v>4498</v>
      </c>
    </row>
    <row r="61" ht="21.0" customHeight="1">
      <c r="A61" s="20" t="s">
        <v>21</v>
      </c>
      <c r="B61" s="21" t="s">
        <v>673</v>
      </c>
      <c r="C61" s="22" t="s">
        <v>674</v>
      </c>
      <c r="D61" s="23">
        <v>42474.0</v>
      </c>
      <c r="E61" s="24">
        <v>2016.0</v>
      </c>
      <c r="F61" s="21" t="s">
        <v>41</v>
      </c>
      <c r="G61" s="21" t="s">
        <v>42</v>
      </c>
      <c r="H61" s="24">
        <v>11.0</v>
      </c>
      <c r="I61" s="24">
        <v>158.0</v>
      </c>
      <c r="J61" s="25"/>
      <c r="K61" s="21" t="s">
        <v>677</v>
      </c>
      <c r="L61" s="21" t="s">
        <v>678</v>
      </c>
      <c r="M61" s="26" t="s">
        <v>59</v>
      </c>
      <c r="N61" s="25" t="s">
        <v>679</v>
      </c>
      <c r="O61" s="21" t="s">
        <v>680</v>
      </c>
      <c r="P61" s="24"/>
      <c r="Q61" s="24"/>
      <c r="R61" s="24">
        <v>24.0</v>
      </c>
      <c r="S61" s="24"/>
      <c r="T61" s="21" t="s">
        <v>681</v>
      </c>
      <c r="U61" s="24">
        <v>9.0</v>
      </c>
      <c r="V61" s="24">
        <v>0.045744064852345105</v>
      </c>
      <c r="W61" s="24" t="s">
        <v>4495</v>
      </c>
      <c r="X61" s="24" t="s">
        <v>4495</v>
      </c>
      <c r="Y61" s="27" t="s">
        <v>4495</v>
      </c>
      <c r="Z61" s="27">
        <v>0.25886312191752414</v>
      </c>
      <c r="AA61" s="27" t="s">
        <v>4495</v>
      </c>
      <c r="AB61" s="27">
        <v>1.0</v>
      </c>
      <c r="AC61" s="27">
        <v>0.336288352872133</v>
      </c>
      <c r="AD61" s="27">
        <v>0.24834461576659433</v>
      </c>
      <c r="AE61" s="28" t="s">
        <v>4501</v>
      </c>
    </row>
    <row r="62" ht="21.0" customHeight="1">
      <c r="A62" s="10" t="s">
        <v>21</v>
      </c>
      <c r="B62" s="15" t="s">
        <v>682</v>
      </c>
      <c r="C62" s="12" t="s">
        <v>683</v>
      </c>
      <c r="D62" s="13">
        <v>40688.0</v>
      </c>
      <c r="E62" s="14">
        <v>2011.0</v>
      </c>
      <c r="F62" s="15" t="s">
        <v>41</v>
      </c>
      <c r="G62" s="15" t="s">
        <v>42</v>
      </c>
      <c r="H62" s="14">
        <v>10.0</v>
      </c>
      <c r="I62" s="14">
        <v>316.0</v>
      </c>
      <c r="J62" s="16"/>
      <c r="K62" s="15" t="s">
        <v>686</v>
      </c>
      <c r="L62" s="15" t="s">
        <v>687</v>
      </c>
      <c r="M62" s="17" t="s">
        <v>31</v>
      </c>
      <c r="N62" s="29"/>
      <c r="O62" s="15" t="s">
        <v>688</v>
      </c>
      <c r="P62" s="14">
        <v>23.0</v>
      </c>
      <c r="Q62" s="14"/>
      <c r="R62" s="14">
        <v>81.0</v>
      </c>
      <c r="S62" s="14"/>
      <c r="T62" s="15" t="s">
        <v>690</v>
      </c>
      <c r="U62" s="14">
        <v>16.0</v>
      </c>
      <c r="V62" s="14">
        <v>0.06030534351145038</v>
      </c>
      <c r="W62" s="14" t="s">
        <v>4495</v>
      </c>
      <c r="X62" s="14" t="s">
        <v>4495</v>
      </c>
      <c r="Y62" s="18" t="s">
        <v>4495</v>
      </c>
      <c r="Z62" s="18">
        <v>0.6753342500415529</v>
      </c>
      <c r="AA62" s="18" t="s">
        <v>4495</v>
      </c>
      <c r="AB62" s="18">
        <v>1.0</v>
      </c>
      <c r="AC62" s="18">
        <v>0.5597603386555386</v>
      </c>
      <c r="AD62" s="18">
        <v>0.3748095963759421</v>
      </c>
      <c r="AE62" s="19" t="s">
        <v>4497</v>
      </c>
    </row>
    <row r="63" ht="21.0" customHeight="1">
      <c r="A63" s="20" t="s">
        <v>21</v>
      </c>
      <c r="B63" s="21" t="s">
        <v>1686</v>
      </c>
      <c r="C63" s="22" t="s">
        <v>1687</v>
      </c>
      <c r="D63" s="23">
        <v>44476.0</v>
      </c>
      <c r="E63" s="24">
        <v>2021.0</v>
      </c>
      <c r="F63" s="21" t="s">
        <v>41</v>
      </c>
      <c r="G63" s="21" t="s">
        <v>42</v>
      </c>
      <c r="H63" s="24">
        <v>4.0</v>
      </c>
      <c r="I63" s="24">
        <v>132.0</v>
      </c>
      <c r="J63" s="25" t="s">
        <v>1689</v>
      </c>
      <c r="K63" s="21" t="s">
        <v>1690</v>
      </c>
      <c r="L63" s="21" t="s">
        <v>1691</v>
      </c>
      <c r="M63" s="26" t="s">
        <v>59</v>
      </c>
      <c r="N63" s="25" t="s">
        <v>1692</v>
      </c>
      <c r="O63" s="21" t="s">
        <v>1105</v>
      </c>
      <c r="P63" s="24">
        <v>36.0</v>
      </c>
      <c r="Q63" s="24"/>
      <c r="R63" s="24">
        <v>201.0</v>
      </c>
      <c r="S63" s="24"/>
      <c r="T63" s="21" t="s">
        <v>1694</v>
      </c>
      <c r="U63" s="24">
        <v>2.5</v>
      </c>
      <c r="V63" s="24">
        <v>0.09090909090909091</v>
      </c>
      <c r="W63" s="24" t="s">
        <v>4495</v>
      </c>
      <c r="X63" s="24" t="s">
        <v>4495</v>
      </c>
      <c r="Y63" s="27" t="s">
        <v>4495</v>
      </c>
      <c r="Z63" s="27">
        <v>0.9914271735765677</v>
      </c>
      <c r="AA63" s="27" t="s">
        <v>4495</v>
      </c>
      <c r="AB63" s="27">
        <v>1.0</v>
      </c>
      <c r="AC63" s="27">
        <v>0.0</v>
      </c>
      <c r="AD63" s="27">
        <v>0.3978567933941419</v>
      </c>
      <c r="AE63" s="28" t="s">
        <v>4498</v>
      </c>
    </row>
    <row r="64" ht="21.0" customHeight="1">
      <c r="A64" s="10" t="s">
        <v>21</v>
      </c>
      <c r="B64" s="15" t="s">
        <v>1825</v>
      </c>
      <c r="C64" s="12" t="s">
        <v>1826</v>
      </c>
      <c r="D64" s="13">
        <v>44158.0</v>
      </c>
      <c r="E64" s="14">
        <v>2020.0</v>
      </c>
      <c r="F64" s="15" t="s">
        <v>41</v>
      </c>
      <c r="G64" s="15" t="s">
        <v>42</v>
      </c>
      <c r="H64" s="14">
        <v>4.0</v>
      </c>
      <c r="I64" s="14">
        <v>172.0</v>
      </c>
      <c r="J64" s="16" t="s">
        <v>1828</v>
      </c>
      <c r="K64" s="15" t="s">
        <v>1829</v>
      </c>
      <c r="L64" s="15" t="s">
        <v>1830</v>
      </c>
      <c r="M64" s="17" t="s">
        <v>59</v>
      </c>
      <c r="N64" s="16" t="s">
        <v>1831</v>
      </c>
      <c r="P64" s="14"/>
      <c r="Q64" s="14"/>
      <c r="R64" s="14">
        <v>103.0</v>
      </c>
      <c r="S64" s="14">
        <v>2020.0</v>
      </c>
      <c r="T64" s="15" t="s">
        <v>1832</v>
      </c>
      <c r="U64" s="14">
        <v>48.0</v>
      </c>
      <c r="V64" s="14">
        <v>0.09717514124293786</v>
      </c>
      <c r="W64" s="14">
        <v>0.0</v>
      </c>
      <c r="X64" s="14" t="s">
        <v>4495</v>
      </c>
      <c r="Y64" s="18" t="s">
        <v>4495</v>
      </c>
      <c r="Z64" s="18">
        <v>0.7586645771823989</v>
      </c>
      <c r="AA64" s="18">
        <v>1.0</v>
      </c>
      <c r="AB64" s="18">
        <v>1.0</v>
      </c>
      <c r="AC64" s="18">
        <v>1.0</v>
      </c>
      <c r="AD64" s="18">
        <v>0.6396661442955998</v>
      </c>
      <c r="AE64" s="19" t="s">
        <v>4498</v>
      </c>
    </row>
    <row r="65" ht="21.0" customHeight="1">
      <c r="A65" s="20" t="s">
        <v>21</v>
      </c>
      <c r="B65" s="21" t="s">
        <v>1549</v>
      </c>
      <c r="C65" s="22" t="s">
        <v>1550</v>
      </c>
      <c r="D65" s="23">
        <v>44751.0</v>
      </c>
      <c r="E65" s="24">
        <v>2022.0</v>
      </c>
      <c r="F65" s="21" t="s">
        <v>26</v>
      </c>
      <c r="H65" s="24">
        <v>4.0</v>
      </c>
      <c r="I65" s="24">
        <v>125.0</v>
      </c>
      <c r="J65" s="25" t="s">
        <v>1552</v>
      </c>
      <c r="K65" s="21" t="s">
        <v>1553</v>
      </c>
      <c r="L65" s="21" t="s">
        <v>1554</v>
      </c>
      <c r="M65" s="26" t="s">
        <v>59</v>
      </c>
      <c r="N65" s="25" t="s">
        <v>1555</v>
      </c>
      <c r="P65" s="24"/>
      <c r="Q65" s="24"/>
      <c r="R65" s="24">
        <v>60.0</v>
      </c>
      <c r="S65" s="24">
        <v>2022.0</v>
      </c>
      <c r="T65" s="21" t="s">
        <v>1556</v>
      </c>
      <c r="U65" s="24">
        <v>25.5</v>
      </c>
      <c r="V65" s="24">
        <v>0.10620220900594732</v>
      </c>
      <c r="W65" s="24">
        <v>0.0</v>
      </c>
      <c r="X65" s="24" t="s">
        <v>4495</v>
      </c>
      <c r="Y65" s="27" t="s">
        <v>4495</v>
      </c>
      <c r="Z65" s="27">
        <v>0.5716075650904038</v>
      </c>
      <c r="AA65" s="27">
        <v>1.0</v>
      </c>
      <c r="AB65" s="27">
        <v>1.0</v>
      </c>
      <c r="AC65" s="27">
        <v>0.7467202844151569</v>
      </c>
      <c r="AD65" s="27">
        <v>0.5675739197141166</v>
      </c>
      <c r="AE65" s="28" t="s">
        <v>4498</v>
      </c>
    </row>
    <row r="66" ht="21.0" customHeight="1">
      <c r="A66" s="10" t="s">
        <v>21</v>
      </c>
      <c r="B66" s="15" t="s">
        <v>1562</v>
      </c>
      <c r="C66" s="12" t="s">
        <v>1563</v>
      </c>
      <c r="D66" s="13"/>
      <c r="E66" s="14"/>
      <c r="F66" s="15" t="s">
        <v>41</v>
      </c>
      <c r="G66" s="15" t="s">
        <v>42</v>
      </c>
      <c r="H66" s="14">
        <v>4.0</v>
      </c>
      <c r="I66" s="14">
        <v>63.0</v>
      </c>
      <c r="J66" s="16" t="s">
        <v>1564</v>
      </c>
      <c r="K66" s="15" t="s">
        <v>1565</v>
      </c>
      <c r="L66" s="15" t="s">
        <v>1566</v>
      </c>
      <c r="M66" s="17" t="s">
        <v>59</v>
      </c>
      <c r="N66" s="29" t="s">
        <v>1567</v>
      </c>
      <c r="O66" s="15" t="s">
        <v>1568</v>
      </c>
      <c r="P66" s="14">
        <v>19.0</v>
      </c>
      <c r="Q66" s="14"/>
      <c r="R66" s="14">
        <v>96.0</v>
      </c>
      <c r="S66" s="14">
        <v>2022.0</v>
      </c>
      <c r="T66" s="15" t="s">
        <v>1569</v>
      </c>
      <c r="U66" s="14">
        <v>11.0</v>
      </c>
      <c r="V66" s="14" t="s">
        <v>4495</v>
      </c>
      <c r="W66" s="14" t="s">
        <v>4495</v>
      </c>
      <c r="X66" s="14" t="s">
        <v>4495</v>
      </c>
      <c r="Y66" s="18" t="s">
        <v>4495</v>
      </c>
      <c r="Z66" s="18">
        <v>0.7342340212618556</v>
      </c>
      <c r="AA66" s="18" t="s">
        <v>4495</v>
      </c>
      <c r="AB66" s="18" t="s">
        <v>4495</v>
      </c>
      <c r="AC66" s="18">
        <v>0.4130723542258289</v>
      </c>
      <c r="AD66" s="18">
        <v>0.22486574073804677</v>
      </c>
      <c r="AE66" s="19" t="s">
        <v>4498</v>
      </c>
    </row>
    <row r="67" ht="21.0" customHeight="1">
      <c r="A67" s="20" t="s">
        <v>21</v>
      </c>
      <c r="B67" s="21" t="s">
        <v>735</v>
      </c>
      <c r="C67" s="22" t="s">
        <v>736</v>
      </c>
      <c r="D67" s="23">
        <v>43191.0</v>
      </c>
      <c r="E67" s="24">
        <v>2018.0</v>
      </c>
      <c r="F67" s="21" t="s">
        <v>41</v>
      </c>
      <c r="G67" s="21" t="s">
        <v>42</v>
      </c>
      <c r="H67" s="24">
        <v>10.0</v>
      </c>
      <c r="I67" s="24">
        <v>165.0</v>
      </c>
      <c r="J67" s="25"/>
      <c r="K67" s="21" t="s">
        <v>738</v>
      </c>
      <c r="L67" s="21" t="s">
        <v>739</v>
      </c>
      <c r="M67" s="26" t="s">
        <v>31</v>
      </c>
      <c r="N67" s="25"/>
      <c r="O67" s="21" t="s">
        <v>740</v>
      </c>
      <c r="P67" s="24">
        <v>27.0</v>
      </c>
      <c r="Q67" s="24"/>
      <c r="R67" s="24">
        <v>67.0</v>
      </c>
      <c r="S67" s="24"/>
      <c r="T67" s="21" t="s">
        <v>742</v>
      </c>
      <c r="U67" s="24">
        <v>15.5</v>
      </c>
      <c r="V67" s="24">
        <v>0.06028498355864085</v>
      </c>
      <c r="W67" s="24" t="s">
        <v>4495</v>
      </c>
      <c r="X67" s="24" t="s">
        <v>4495</v>
      </c>
      <c r="Y67" s="27" t="s">
        <v>4495</v>
      </c>
      <c r="Z67" s="27">
        <v>0.6096957991638974</v>
      </c>
      <c r="AA67" s="27" t="s">
        <v>4495</v>
      </c>
      <c r="AB67" s="27">
        <v>1.0</v>
      </c>
      <c r="AC67" s="27">
        <v>0.5471878814913675</v>
      </c>
      <c r="AD67" s="27">
        <v>0.3571427379401111</v>
      </c>
      <c r="AE67" s="28" t="s">
        <v>4497</v>
      </c>
    </row>
    <row r="68" ht="21.0" customHeight="1">
      <c r="A68" s="10" t="s">
        <v>21</v>
      </c>
      <c r="B68" s="15" t="s">
        <v>744</v>
      </c>
      <c r="C68" s="12" t="s">
        <v>745</v>
      </c>
      <c r="D68" s="13">
        <v>44013.0</v>
      </c>
      <c r="E68" s="14">
        <v>2020.0</v>
      </c>
      <c r="F68" s="15" t="s">
        <v>41</v>
      </c>
      <c r="G68" s="15" t="s">
        <v>42</v>
      </c>
      <c r="H68" s="14">
        <v>10.0</v>
      </c>
      <c r="I68" s="14">
        <v>306.0</v>
      </c>
      <c r="J68" s="16" t="s">
        <v>748</v>
      </c>
      <c r="K68" s="15" t="s">
        <v>749</v>
      </c>
      <c r="L68" s="15" t="s">
        <v>750</v>
      </c>
      <c r="M68" s="17" t="s">
        <v>59</v>
      </c>
      <c r="N68" s="29" t="s">
        <v>751</v>
      </c>
      <c r="O68" s="15" t="s">
        <v>752</v>
      </c>
      <c r="P68" s="14">
        <v>17.0</v>
      </c>
      <c r="Q68" s="14"/>
      <c r="R68" s="14">
        <v>140.0</v>
      </c>
      <c r="S68" s="14"/>
      <c r="T68" s="15" t="s">
        <v>754</v>
      </c>
      <c r="U68" s="14">
        <v>34.8</v>
      </c>
      <c r="V68" s="14">
        <v>0.1597911227154047</v>
      </c>
      <c r="W68" s="14" t="s">
        <v>4495</v>
      </c>
      <c r="X68" s="14" t="s">
        <v>4495</v>
      </c>
      <c r="Y68" s="18" t="s">
        <v>4495</v>
      </c>
      <c r="Z68" s="18">
        <v>0.8653797340426068</v>
      </c>
      <c r="AA68" s="18" t="s">
        <v>4495</v>
      </c>
      <c r="AB68" s="18">
        <v>1.0</v>
      </c>
      <c r="AC68" s="18">
        <v>0.873402343753667</v>
      </c>
      <c r="AD68" s="18">
        <v>0.45368516788601837</v>
      </c>
      <c r="AE68" s="19" t="s">
        <v>4500</v>
      </c>
    </row>
    <row r="69" ht="21.0" customHeight="1">
      <c r="A69" s="20" t="s">
        <v>21</v>
      </c>
      <c r="B69" s="21" t="s">
        <v>756</v>
      </c>
      <c r="C69" s="22" t="s">
        <v>757</v>
      </c>
      <c r="D69" s="23">
        <v>44621.0</v>
      </c>
      <c r="E69" s="24">
        <v>2022.0</v>
      </c>
      <c r="F69" s="21" t="s">
        <v>41</v>
      </c>
      <c r="G69" s="21" t="s">
        <v>42</v>
      </c>
      <c r="H69" s="24">
        <v>10.0</v>
      </c>
      <c r="I69" s="24">
        <v>80.0</v>
      </c>
      <c r="J69" s="25" t="s">
        <v>760</v>
      </c>
      <c r="K69" s="21" t="s">
        <v>761</v>
      </c>
      <c r="L69" s="21" t="s">
        <v>762</v>
      </c>
      <c r="M69" s="26" t="s">
        <v>31</v>
      </c>
      <c r="N69" s="25"/>
      <c r="O69" s="21" t="s">
        <v>763</v>
      </c>
      <c r="P69" s="24">
        <v>30.0</v>
      </c>
      <c r="Q69" s="24"/>
      <c r="R69" s="24">
        <v>0.0</v>
      </c>
      <c r="S69" s="24"/>
      <c r="T69" s="21" t="s">
        <v>765</v>
      </c>
      <c r="U69" s="24">
        <v>13.25</v>
      </c>
      <c r="V69" s="24">
        <v>0.061208875286916604</v>
      </c>
      <c r="W69" s="24" t="s">
        <v>4495</v>
      </c>
      <c r="X69" s="24" t="s">
        <v>4495</v>
      </c>
      <c r="Y69" s="27" t="s">
        <v>4495</v>
      </c>
      <c r="Z69" s="27">
        <v>0.0</v>
      </c>
      <c r="AA69" s="27" t="s">
        <v>4495</v>
      </c>
      <c r="AB69" s="27">
        <v>1.0</v>
      </c>
      <c r="AC69" s="27">
        <v>0.485446409123802</v>
      </c>
      <c r="AD69" s="27">
        <v>0.1985446409123802</v>
      </c>
      <c r="AE69" s="28" t="s">
        <v>4497</v>
      </c>
    </row>
    <row r="70" ht="21.0" customHeight="1">
      <c r="A70" s="10" t="s">
        <v>21</v>
      </c>
      <c r="B70" s="15" t="s">
        <v>1781</v>
      </c>
      <c r="C70" s="12" t="s">
        <v>1782</v>
      </c>
      <c r="D70" s="13"/>
      <c r="E70" s="14"/>
      <c r="F70" s="15" t="s">
        <v>26</v>
      </c>
      <c r="G70" s="15" t="s">
        <v>42</v>
      </c>
      <c r="H70" s="14">
        <v>4.0</v>
      </c>
      <c r="I70" s="14">
        <v>211.0</v>
      </c>
      <c r="J70" s="16"/>
      <c r="K70" s="15" t="s">
        <v>1784</v>
      </c>
      <c r="L70" s="15" t="s">
        <v>1785</v>
      </c>
      <c r="M70" s="17" t="s">
        <v>59</v>
      </c>
      <c r="N70" s="16" t="s">
        <v>1786</v>
      </c>
      <c r="O70" s="15" t="s">
        <v>1787</v>
      </c>
      <c r="P70" s="14">
        <v>10.0</v>
      </c>
      <c r="Q70" s="14"/>
      <c r="R70" s="14">
        <v>21.0</v>
      </c>
      <c r="S70" s="14">
        <v>2018.0</v>
      </c>
      <c r="T70" s="15" t="s">
        <v>1475</v>
      </c>
      <c r="U70" s="14">
        <v>19.0</v>
      </c>
      <c r="V70" s="14" t="s">
        <v>4495</v>
      </c>
      <c r="W70" s="14" t="s">
        <v>4495</v>
      </c>
      <c r="X70" s="14" t="s">
        <v>4495</v>
      </c>
      <c r="Y70" s="18" t="s">
        <v>4495</v>
      </c>
      <c r="Z70" s="18">
        <v>0.21404331870033824</v>
      </c>
      <c r="AA70" s="18" t="s">
        <v>4495</v>
      </c>
      <c r="AB70" s="18" t="s">
        <v>4495</v>
      </c>
      <c r="AC70" s="18">
        <v>0.6282045419740796</v>
      </c>
      <c r="AD70" s="18">
        <v>0.11633128387249253</v>
      </c>
      <c r="AE70" s="19" t="s">
        <v>4498</v>
      </c>
    </row>
    <row r="71" ht="21.0" customHeight="1">
      <c r="A71" s="20" t="s">
        <v>21</v>
      </c>
      <c r="B71" s="21" t="s">
        <v>1578</v>
      </c>
      <c r="C71" s="22" t="s">
        <v>1579</v>
      </c>
      <c r="D71" s="23"/>
      <c r="E71" s="24"/>
      <c r="F71" s="21" t="s">
        <v>41</v>
      </c>
      <c r="G71" s="21" t="s">
        <v>42</v>
      </c>
      <c r="H71" s="24">
        <v>4.0</v>
      </c>
      <c r="I71" s="24">
        <v>138.0</v>
      </c>
      <c r="J71" s="25" t="s">
        <v>1580</v>
      </c>
      <c r="K71" s="21" t="s">
        <v>1581</v>
      </c>
      <c r="L71" s="21" t="s">
        <v>1582</v>
      </c>
      <c r="M71" s="26" t="s">
        <v>59</v>
      </c>
      <c r="N71" s="30" t="s">
        <v>1583</v>
      </c>
      <c r="O71" s="21" t="s">
        <v>1584</v>
      </c>
      <c r="P71" s="24">
        <v>38.0</v>
      </c>
      <c r="Q71" s="24"/>
      <c r="R71" s="24">
        <v>0.0</v>
      </c>
      <c r="S71" s="24"/>
      <c r="T71" s="21" t="s">
        <v>1585</v>
      </c>
      <c r="U71" s="24">
        <v>19.6666666666666</v>
      </c>
      <c r="V71" s="24" t="s">
        <v>4495</v>
      </c>
      <c r="W71" s="24" t="s">
        <v>4495</v>
      </c>
      <c r="X71" s="24" t="s">
        <v>4495</v>
      </c>
      <c r="Y71" s="27" t="s">
        <v>4495</v>
      </c>
      <c r="Z71" s="27">
        <v>0.0</v>
      </c>
      <c r="AA71" s="27" t="s">
        <v>4495</v>
      </c>
      <c r="AB71" s="27" t="s">
        <v>4495</v>
      </c>
      <c r="AC71" s="27">
        <v>0.6420138459549198</v>
      </c>
      <c r="AD71" s="27">
        <v>0.06420138459549199</v>
      </c>
      <c r="AE71" s="28" t="s">
        <v>4498</v>
      </c>
    </row>
    <row r="72" ht="21.0" customHeight="1">
      <c r="A72" s="10" t="s">
        <v>21</v>
      </c>
      <c r="B72" s="15" t="s">
        <v>1527</v>
      </c>
      <c r="C72" s="12" t="s">
        <v>1528</v>
      </c>
      <c r="D72" s="13"/>
      <c r="E72" s="14"/>
      <c r="F72" s="15" t="s">
        <v>41</v>
      </c>
      <c r="G72" s="15" t="s">
        <v>42</v>
      </c>
      <c r="H72" s="14">
        <v>4.0</v>
      </c>
      <c r="I72" s="14">
        <v>70.0</v>
      </c>
      <c r="J72" s="16" t="s">
        <v>1530</v>
      </c>
      <c r="K72" s="15" t="s">
        <v>1531</v>
      </c>
      <c r="L72" s="15" t="s">
        <v>1532</v>
      </c>
      <c r="M72" s="17" t="s">
        <v>59</v>
      </c>
      <c r="N72" s="16" t="s">
        <v>1533</v>
      </c>
      <c r="O72" s="15" t="s">
        <v>1534</v>
      </c>
      <c r="P72" s="14">
        <v>20.0</v>
      </c>
      <c r="Q72" s="14"/>
      <c r="R72" s="14">
        <v>120.0</v>
      </c>
      <c r="S72" s="14">
        <v>2022.0</v>
      </c>
      <c r="T72" s="15" t="s">
        <v>1535</v>
      </c>
      <c r="U72" s="14">
        <v>26.4</v>
      </c>
      <c r="V72" s="14" t="s">
        <v>4495</v>
      </c>
      <c r="W72" s="14" t="s">
        <v>4495</v>
      </c>
      <c r="X72" s="14" t="s">
        <v>4495</v>
      </c>
      <c r="Y72" s="18" t="s">
        <v>4495</v>
      </c>
      <c r="Z72" s="18">
        <v>0.8117469787582382</v>
      </c>
      <c r="AA72" s="18" t="s">
        <v>4495</v>
      </c>
      <c r="AB72" s="18" t="s">
        <v>4495</v>
      </c>
      <c r="AC72" s="18">
        <v>0.7607858378948519</v>
      </c>
      <c r="AD72" s="18">
        <v>0.27901532847904476</v>
      </c>
      <c r="AE72" s="19" t="s">
        <v>4498</v>
      </c>
    </row>
    <row r="73" ht="21.0" customHeight="1">
      <c r="A73" s="20" t="s">
        <v>21</v>
      </c>
      <c r="B73" s="21" t="s">
        <v>1406</v>
      </c>
      <c r="C73" s="22" t="s">
        <v>1407</v>
      </c>
      <c r="D73" s="23">
        <v>45456.0</v>
      </c>
      <c r="E73" s="24">
        <v>2024.0</v>
      </c>
      <c r="F73" s="21" t="s">
        <v>41</v>
      </c>
      <c r="H73" s="24">
        <v>5.0</v>
      </c>
      <c r="I73" s="24">
        <v>14.0</v>
      </c>
      <c r="J73" s="25" t="s">
        <v>1409</v>
      </c>
      <c r="K73" s="21" t="s">
        <v>1410</v>
      </c>
      <c r="L73" s="21" t="s">
        <v>1411</v>
      </c>
      <c r="M73" s="26" t="s">
        <v>59</v>
      </c>
      <c r="N73" s="30" t="s">
        <v>1412</v>
      </c>
      <c r="P73" s="24"/>
      <c r="Q73" s="24"/>
      <c r="R73" s="24">
        <v>0.0</v>
      </c>
      <c r="S73" s="24"/>
      <c r="T73" s="21" t="s">
        <v>1413</v>
      </c>
      <c r="U73" s="24">
        <v>7.2</v>
      </c>
      <c r="V73" s="24">
        <v>0.029661016949152543</v>
      </c>
      <c r="W73" s="24" t="s">
        <v>4495</v>
      </c>
      <c r="X73" s="24" t="s">
        <v>4495</v>
      </c>
      <c r="Y73" s="27" t="s">
        <v>4495</v>
      </c>
      <c r="Z73" s="27">
        <v>0.0</v>
      </c>
      <c r="AA73" s="27" t="s">
        <v>4495</v>
      </c>
      <c r="AB73" s="27">
        <v>1.0</v>
      </c>
      <c r="AC73" s="27">
        <v>0.25271152621726806</v>
      </c>
      <c r="AD73" s="27">
        <v>0.1752711526217268</v>
      </c>
      <c r="AE73" s="28" t="s">
        <v>4498</v>
      </c>
    </row>
    <row r="74" ht="21.0" customHeight="1">
      <c r="A74" s="10" t="s">
        <v>21</v>
      </c>
      <c r="B74" s="15" t="s">
        <v>811</v>
      </c>
      <c r="C74" s="12" t="s">
        <v>812</v>
      </c>
      <c r="D74" s="13">
        <v>42583.0</v>
      </c>
      <c r="E74" s="14">
        <v>2016.0</v>
      </c>
      <c r="F74" s="15" t="s">
        <v>118</v>
      </c>
      <c r="G74" s="15" t="s">
        <v>42</v>
      </c>
      <c r="H74" s="14">
        <v>9.0</v>
      </c>
      <c r="I74" s="14">
        <v>119.0</v>
      </c>
      <c r="J74" s="16"/>
      <c r="K74" s="15" t="s">
        <v>814</v>
      </c>
      <c r="L74" s="15" t="s">
        <v>815</v>
      </c>
      <c r="M74" s="17" t="s">
        <v>31</v>
      </c>
      <c r="N74" s="29"/>
      <c r="O74" s="15" t="s">
        <v>816</v>
      </c>
      <c r="P74" s="14">
        <v>7.0</v>
      </c>
      <c r="Q74" s="14"/>
      <c r="R74" s="14">
        <v>35.0</v>
      </c>
      <c r="S74" s="14"/>
      <c r="T74" s="15" t="s">
        <v>818</v>
      </c>
      <c r="U74" s="14">
        <v>2.0</v>
      </c>
      <c r="V74" s="14">
        <v>0.035575485799701045</v>
      </c>
      <c r="W74" s="14" t="s">
        <v>4495</v>
      </c>
      <c r="X74" s="14" t="s">
        <v>4495</v>
      </c>
      <c r="Y74" s="18" t="s">
        <v>4495</v>
      </c>
      <c r="Z74" s="18">
        <v>0.3867110571043727</v>
      </c>
      <c r="AA74" s="18" t="s">
        <v>4495</v>
      </c>
      <c r="AB74" s="18">
        <v>1.0</v>
      </c>
      <c r="AC74" s="18">
        <v>0.0</v>
      </c>
      <c r="AD74" s="18">
        <v>0.24667776427609317</v>
      </c>
      <c r="AE74" s="19" t="s">
        <v>4497</v>
      </c>
    </row>
    <row r="75" ht="21.0" customHeight="1">
      <c r="A75" s="20" t="s">
        <v>21</v>
      </c>
      <c r="B75" s="21" t="s">
        <v>819</v>
      </c>
      <c r="C75" s="22" t="s">
        <v>820</v>
      </c>
      <c r="D75" s="23">
        <v>44228.0</v>
      </c>
      <c r="E75" s="24">
        <v>2021.0</v>
      </c>
      <c r="F75" s="21" t="s">
        <v>41</v>
      </c>
      <c r="G75" s="21" t="s">
        <v>822</v>
      </c>
      <c r="H75" s="24">
        <v>9.0</v>
      </c>
      <c r="I75" s="24">
        <v>263.0</v>
      </c>
      <c r="J75" s="25" t="s">
        <v>823</v>
      </c>
      <c r="K75" s="21" t="s">
        <v>824</v>
      </c>
      <c r="L75" s="21" t="s">
        <v>825</v>
      </c>
      <c r="M75" s="26" t="s">
        <v>59</v>
      </c>
      <c r="N75" s="25" t="s">
        <v>826</v>
      </c>
      <c r="O75" s="21" t="s">
        <v>827</v>
      </c>
      <c r="P75" s="24">
        <v>30.0</v>
      </c>
      <c r="Q75" s="24"/>
      <c r="R75" s="24">
        <v>168.0</v>
      </c>
      <c r="S75" s="24">
        <v>2021.0</v>
      </c>
      <c r="T75" s="21" t="s">
        <v>829</v>
      </c>
      <c r="U75" s="24">
        <v>22.5</v>
      </c>
      <c r="V75" s="24">
        <v>0.15470588235294117</v>
      </c>
      <c r="W75" s="24">
        <v>0.0</v>
      </c>
      <c r="X75" s="24" t="s">
        <v>4495</v>
      </c>
      <c r="Y75" s="27" t="s">
        <v>4495</v>
      </c>
      <c r="Z75" s="27">
        <v>0.928889022542185</v>
      </c>
      <c r="AA75" s="27">
        <v>1.0</v>
      </c>
      <c r="AB75" s="27">
        <v>1.0</v>
      </c>
      <c r="AC75" s="27">
        <v>0.6961219834498715</v>
      </c>
      <c r="AD75" s="27">
        <v>0.6518344539805334</v>
      </c>
      <c r="AE75" s="28" t="s">
        <v>4501</v>
      </c>
    </row>
    <row r="76" ht="21.0" customHeight="1">
      <c r="A76" s="10" t="s">
        <v>21</v>
      </c>
      <c r="B76" s="15" t="s">
        <v>1365</v>
      </c>
      <c r="C76" s="12" t="s">
        <v>1366</v>
      </c>
      <c r="D76" s="13">
        <v>43983.0</v>
      </c>
      <c r="E76" s="14">
        <v>2020.0</v>
      </c>
      <c r="F76" s="15" t="s">
        <v>41</v>
      </c>
      <c r="G76" s="15" t="s">
        <v>1119</v>
      </c>
      <c r="H76" s="14">
        <v>5.0</v>
      </c>
      <c r="I76" s="14">
        <v>58.0</v>
      </c>
      <c r="J76" s="16" t="s">
        <v>1369</v>
      </c>
      <c r="K76" s="15" t="s">
        <v>1370</v>
      </c>
      <c r="L76" s="15" t="s">
        <v>1371</v>
      </c>
      <c r="M76" s="17" t="s">
        <v>59</v>
      </c>
      <c r="N76" s="29" t="s">
        <v>1372</v>
      </c>
      <c r="P76" s="14"/>
      <c r="Q76" s="14"/>
      <c r="R76" s="14">
        <v>119.0</v>
      </c>
      <c r="S76" s="14">
        <v>2020.0</v>
      </c>
      <c r="T76" s="15" t="s">
        <v>1373</v>
      </c>
      <c r="U76" s="14">
        <v>9.66666666666666</v>
      </c>
      <c r="V76" s="14">
        <v>0.02982005141388175</v>
      </c>
      <c r="W76" s="14">
        <v>0.0</v>
      </c>
      <c r="X76" s="14" t="s">
        <v>4495</v>
      </c>
      <c r="Y76" s="18" t="s">
        <v>4495</v>
      </c>
      <c r="Z76" s="18">
        <v>0.8088373261010358</v>
      </c>
      <c r="AA76" s="18">
        <v>1.0</v>
      </c>
      <c r="AB76" s="18">
        <v>1.0</v>
      </c>
      <c r="AC76" s="18">
        <v>0.3634684953716459</v>
      </c>
      <c r="AD76" s="18">
        <v>0.5885561810624236</v>
      </c>
      <c r="AE76" s="19" t="s">
        <v>4498</v>
      </c>
    </row>
    <row r="77" ht="21.0" customHeight="1">
      <c r="A77" s="20" t="s">
        <v>21</v>
      </c>
      <c r="B77" s="21" t="s">
        <v>1434</v>
      </c>
      <c r="C77" s="22" t="s">
        <v>1435</v>
      </c>
      <c r="D77" s="23">
        <v>43756.0</v>
      </c>
      <c r="E77" s="24">
        <v>2019.0</v>
      </c>
      <c r="F77" s="21" t="s">
        <v>41</v>
      </c>
      <c r="G77" s="21" t="s">
        <v>42</v>
      </c>
      <c r="H77" s="24">
        <v>5.0</v>
      </c>
      <c r="I77" s="24">
        <v>90.0</v>
      </c>
      <c r="J77" s="25"/>
      <c r="K77" s="21" t="s">
        <v>1437</v>
      </c>
      <c r="L77" s="21" t="s">
        <v>1438</v>
      </c>
      <c r="M77" s="26" t="s">
        <v>59</v>
      </c>
      <c r="N77" s="25" t="s">
        <v>1439</v>
      </c>
      <c r="O77" s="21" t="s">
        <v>1440</v>
      </c>
      <c r="P77" s="24">
        <v>32.0</v>
      </c>
      <c r="Q77" s="24"/>
      <c r="R77" s="24">
        <v>94.0</v>
      </c>
      <c r="S77" s="24"/>
      <c r="T77" s="21" t="s">
        <v>1441</v>
      </c>
      <c r="U77" s="24">
        <v>34.5</v>
      </c>
      <c r="V77" s="24">
        <v>0.04143646408839779</v>
      </c>
      <c r="W77" s="24" t="s">
        <v>4495</v>
      </c>
      <c r="X77" s="24" t="s">
        <v>4495</v>
      </c>
      <c r="Y77" s="27" t="s">
        <v>4495</v>
      </c>
      <c r="Z77" s="27">
        <v>0.7269293584483356</v>
      </c>
      <c r="AA77" s="27" t="s">
        <v>4495</v>
      </c>
      <c r="AB77" s="27">
        <v>1.0</v>
      </c>
      <c r="AC77" s="27">
        <v>0.8698583169064583</v>
      </c>
      <c r="AD77" s="27">
        <v>0.41871817130272976</v>
      </c>
      <c r="AE77" s="28" t="s">
        <v>4498</v>
      </c>
    </row>
    <row r="78" ht="21.0" customHeight="1">
      <c r="A78" s="10" t="s">
        <v>21</v>
      </c>
      <c r="B78" s="15" t="s">
        <v>1415</v>
      </c>
      <c r="C78" s="12" t="s">
        <v>1416</v>
      </c>
      <c r="D78" s="13">
        <v>44866.0</v>
      </c>
      <c r="E78" s="14">
        <v>2022.0</v>
      </c>
      <c r="F78" s="15" t="s">
        <v>41</v>
      </c>
      <c r="G78" s="15" t="s">
        <v>42</v>
      </c>
      <c r="H78" s="14">
        <v>5.0</v>
      </c>
      <c r="I78" s="14">
        <v>47.0</v>
      </c>
      <c r="J78" s="16"/>
      <c r="K78" s="15" t="s">
        <v>1418</v>
      </c>
      <c r="L78" s="15" t="s">
        <v>1419</v>
      </c>
      <c r="M78" s="17" t="s">
        <v>59</v>
      </c>
      <c r="N78" s="29" t="s">
        <v>1420</v>
      </c>
      <c r="O78" s="15" t="s">
        <v>1421</v>
      </c>
      <c r="P78" s="14"/>
      <c r="Q78" s="14"/>
      <c r="R78" s="14">
        <v>55.0</v>
      </c>
      <c r="S78" s="14">
        <v>2020.0</v>
      </c>
      <c r="T78" s="15" t="s">
        <v>1422</v>
      </c>
      <c r="U78" s="14">
        <v>6.5</v>
      </c>
      <c r="V78" s="14">
        <v>0.044256120527306965</v>
      </c>
      <c r="W78" s="14">
        <v>2.0</v>
      </c>
      <c r="X78" s="14" t="s">
        <v>4495</v>
      </c>
      <c r="Y78" s="18" t="s">
        <v>4495</v>
      </c>
      <c r="Z78" s="18">
        <v>0.5416225389667044</v>
      </c>
      <c r="AA78" s="18">
        <v>1.0</v>
      </c>
      <c r="AB78" s="18">
        <v>1.0</v>
      </c>
      <c r="AC78" s="18">
        <v>0.21513218774825074</v>
      </c>
      <c r="AD78" s="18">
        <v>0.5069188535165011</v>
      </c>
      <c r="AE78" s="19" t="s">
        <v>4498</v>
      </c>
    </row>
    <row r="79" ht="21.0" customHeight="1">
      <c r="A79" s="20" t="s">
        <v>21</v>
      </c>
      <c r="B79" s="21" t="s">
        <v>860</v>
      </c>
      <c r="C79" s="22" t="s">
        <v>861</v>
      </c>
      <c r="D79" s="23">
        <v>42222.0</v>
      </c>
      <c r="E79" s="24">
        <v>2015.0</v>
      </c>
      <c r="F79" s="21" t="s">
        <v>118</v>
      </c>
      <c r="G79" s="21" t="s">
        <v>42</v>
      </c>
      <c r="H79" s="24">
        <v>8.0</v>
      </c>
      <c r="I79" s="24">
        <v>57.0</v>
      </c>
      <c r="J79" s="25"/>
      <c r="K79" s="21" t="s">
        <v>864</v>
      </c>
      <c r="L79" s="21" t="s">
        <v>865</v>
      </c>
      <c r="M79" s="26" t="s">
        <v>31</v>
      </c>
      <c r="N79" s="25"/>
      <c r="O79" s="21" t="s">
        <v>866</v>
      </c>
      <c r="P79" s="24">
        <v>2.0</v>
      </c>
      <c r="Q79" s="24"/>
      <c r="R79" s="24">
        <v>10.0</v>
      </c>
      <c r="S79" s="24"/>
      <c r="T79" s="21" t="s">
        <v>867</v>
      </c>
      <c r="U79" s="24">
        <v>16.5</v>
      </c>
      <c r="V79" s="24">
        <v>0.015380464112250405</v>
      </c>
      <c r="W79" s="24" t="s">
        <v>4495</v>
      </c>
      <c r="X79" s="24" t="s">
        <v>4495</v>
      </c>
      <c r="Y79" s="27" t="s">
        <v>4495</v>
      </c>
      <c r="Z79" s="27">
        <v>0.0</v>
      </c>
      <c r="AA79" s="27" t="s">
        <v>4495</v>
      </c>
      <c r="AB79" s="27">
        <v>1.0</v>
      </c>
      <c r="AC79" s="27">
        <v>0.5719683249718881</v>
      </c>
      <c r="AD79" s="27">
        <v>0.20719683249718882</v>
      </c>
      <c r="AE79" s="28" t="s">
        <v>4497</v>
      </c>
    </row>
    <row r="80" ht="21.0" customHeight="1">
      <c r="A80" s="10" t="s">
        <v>21</v>
      </c>
      <c r="B80" s="15" t="s">
        <v>1458</v>
      </c>
      <c r="C80" s="12" t="s">
        <v>1459</v>
      </c>
      <c r="D80" s="13">
        <v>45605.0</v>
      </c>
      <c r="E80" s="14">
        <v>2024.0</v>
      </c>
      <c r="F80" s="15" t="s">
        <v>41</v>
      </c>
      <c r="H80" s="14">
        <v>5.0</v>
      </c>
      <c r="I80" s="14">
        <v>15.0</v>
      </c>
      <c r="J80" s="16" t="s">
        <v>1461</v>
      </c>
      <c r="K80" s="15" t="s">
        <v>1462</v>
      </c>
      <c r="L80" s="15" t="s">
        <v>1463</v>
      </c>
      <c r="M80" s="17" t="s">
        <v>59</v>
      </c>
      <c r="N80" s="16" t="s">
        <v>1464</v>
      </c>
      <c r="P80" s="14"/>
      <c r="Q80" s="14"/>
      <c r="R80" s="14">
        <v>90.0</v>
      </c>
      <c r="S80" s="14">
        <v>2024.0</v>
      </c>
      <c r="T80" s="15" t="s">
        <v>1465</v>
      </c>
      <c r="U80" s="14">
        <v>3.83333333333333</v>
      </c>
      <c r="V80" s="14">
        <v>0.04643962848297214</v>
      </c>
      <c r="W80" s="14">
        <v>0.0</v>
      </c>
      <c r="X80" s="14" t="s">
        <v>4495</v>
      </c>
      <c r="Y80" s="18" t="s">
        <v>4495</v>
      </c>
      <c r="Z80" s="18">
        <v>0.7118469843264902</v>
      </c>
      <c r="AA80" s="18">
        <v>1.0</v>
      </c>
      <c r="AB80" s="18">
        <v>1.0</v>
      </c>
      <c r="AC80" s="18">
        <v>0.030094659587289137</v>
      </c>
      <c r="AD80" s="18">
        <v>0.5309712120403515</v>
      </c>
      <c r="AE80" s="19" t="s">
        <v>4498</v>
      </c>
    </row>
    <row r="81" ht="21.0" customHeight="1">
      <c r="A81" s="20" t="s">
        <v>21</v>
      </c>
      <c r="B81" s="21" t="s">
        <v>1424</v>
      </c>
      <c r="C81" s="22" t="s">
        <v>1425</v>
      </c>
      <c r="D81" s="23">
        <v>43313.0</v>
      </c>
      <c r="E81" s="24">
        <v>2018.0</v>
      </c>
      <c r="F81" s="21" t="s">
        <v>41</v>
      </c>
      <c r="G81" s="21" t="s">
        <v>42</v>
      </c>
      <c r="H81" s="24">
        <v>5.0</v>
      </c>
      <c r="I81" s="24">
        <v>122.0</v>
      </c>
      <c r="J81" s="25" t="s">
        <v>1427</v>
      </c>
      <c r="K81" s="21" t="s">
        <v>1428</v>
      </c>
      <c r="L81" s="21" t="s">
        <v>1429</v>
      </c>
      <c r="M81" s="26" t="s">
        <v>59</v>
      </c>
      <c r="N81" s="25" t="s">
        <v>1430</v>
      </c>
      <c r="P81" s="24"/>
      <c r="Q81" s="24"/>
      <c r="R81" s="24">
        <v>54.0</v>
      </c>
      <c r="S81" s="24">
        <v>2018.0</v>
      </c>
      <c r="T81" s="21" t="s">
        <v>1432</v>
      </c>
      <c r="U81" s="24">
        <v>13.6</v>
      </c>
      <c r="V81" s="24">
        <v>0.046653919694072656</v>
      </c>
      <c r="W81" s="24">
        <v>0.0</v>
      </c>
      <c r="X81" s="24" t="s">
        <v>4495</v>
      </c>
      <c r="Y81" s="27" t="s">
        <v>4495</v>
      </c>
      <c r="Z81" s="27">
        <v>0.5353050503378812</v>
      </c>
      <c r="AA81" s="27">
        <v>1.0</v>
      </c>
      <c r="AB81" s="27">
        <v>1.0</v>
      </c>
      <c r="AC81" s="27">
        <v>0.495665358551555</v>
      </c>
      <c r="AD81" s="27">
        <v>0.5333927984396258</v>
      </c>
      <c r="AE81" s="28" t="s">
        <v>4498</v>
      </c>
    </row>
    <row r="82" ht="21.0" customHeight="1">
      <c r="A82" s="10" t="s">
        <v>21</v>
      </c>
      <c r="B82" s="15" t="s">
        <v>1309</v>
      </c>
      <c r="C82" s="12" t="s">
        <v>1310</v>
      </c>
      <c r="D82" s="13">
        <v>44893.0</v>
      </c>
      <c r="E82" s="14">
        <v>2022.0</v>
      </c>
      <c r="F82" s="15" t="s">
        <v>26</v>
      </c>
      <c r="H82" s="14">
        <v>5.0</v>
      </c>
      <c r="I82" s="14">
        <v>69.0</v>
      </c>
      <c r="J82" s="16" t="s">
        <v>1312</v>
      </c>
      <c r="K82" s="15" t="s">
        <v>1313</v>
      </c>
      <c r="L82" s="15" t="s">
        <v>1314</v>
      </c>
      <c r="M82" s="17" t="s">
        <v>59</v>
      </c>
      <c r="N82" s="29" t="s">
        <v>1315</v>
      </c>
      <c r="P82" s="14"/>
      <c r="Q82" s="14"/>
      <c r="R82" s="14">
        <v>67.0</v>
      </c>
      <c r="S82" s="14">
        <v>2022.0</v>
      </c>
      <c r="T82" s="15" t="s">
        <v>1316</v>
      </c>
      <c r="U82" s="14">
        <v>6.33333333333333</v>
      </c>
      <c r="V82" s="14">
        <v>0.06666666666666667</v>
      </c>
      <c r="W82" s="14">
        <v>0.0</v>
      </c>
      <c r="X82" s="14" t="s">
        <v>4495</v>
      </c>
      <c r="Y82" s="18" t="s">
        <v>4495</v>
      </c>
      <c r="Z82" s="18">
        <v>0.6096957991638974</v>
      </c>
      <c r="AA82" s="18">
        <v>1.0</v>
      </c>
      <c r="AB82" s="18">
        <v>1.0</v>
      </c>
      <c r="AC82" s="18">
        <v>0.20566783353523804</v>
      </c>
      <c r="AD82" s="18">
        <v>0.5229907331444982</v>
      </c>
      <c r="AE82" s="19" t="s">
        <v>4498</v>
      </c>
    </row>
    <row r="83" ht="21.0" customHeight="1">
      <c r="A83" s="20" t="s">
        <v>21</v>
      </c>
      <c r="B83" s="21" t="s">
        <v>1385</v>
      </c>
      <c r="C83" s="22" t="s">
        <v>1386</v>
      </c>
      <c r="D83" s="23">
        <v>44842.0</v>
      </c>
      <c r="E83" s="24">
        <v>2022.0</v>
      </c>
      <c r="F83" s="21" t="s">
        <v>41</v>
      </c>
      <c r="G83" s="21" t="s">
        <v>42</v>
      </c>
      <c r="H83" s="24">
        <v>5.0</v>
      </c>
      <c r="I83" s="24">
        <v>114.0</v>
      </c>
      <c r="J83" s="25" t="s">
        <v>1389</v>
      </c>
      <c r="K83" s="21" t="s">
        <v>1390</v>
      </c>
      <c r="L83" s="21" t="s">
        <v>1391</v>
      </c>
      <c r="M83" s="26" t="s">
        <v>59</v>
      </c>
      <c r="N83" s="25" t="s">
        <v>1392</v>
      </c>
      <c r="O83" s="21" t="s">
        <v>1105</v>
      </c>
      <c r="P83" s="24">
        <v>36.0</v>
      </c>
      <c r="Q83" s="24"/>
      <c r="R83" s="24">
        <v>131.0</v>
      </c>
      <c r="S83" s="24"/>
      <c r="T83" s="21" t="s">
        <v>1394</v>
      </c>
      <c r="U83" s="24">
        <v>28.0</v>
      </c>
      <c r="V83" s="24">
        <v>0.10497237569060773</v>
      </c>
      <c r="W83" s="24" t="s">
        <v>4495</v>
      </c>
      <c r="X83" s="24" t="s">
        <v>4495</v>
      </c>
      <c r="Y83" s="27" t="s">
        <v>4495</v>
      </c>
      <c r="Z83" s="27">
        <v>0.842254136226349</v>
      </c>
      <c r="AA83" s="27" t="s">
        <v>4495</v>
      </c>
      <c r="AB83" s="27">
        <v>1.0</v>
      </c>
      <c r="AC83" s="27">
        <v>0.7846870617692479</v>
      </c>
      <c r="AD83" s="27">
        <v>0.43903224023351206</v>
      </c>
      <c r="AE83" s="28" t="s">
        <v>4498</v>
      </c>
    </row>
    <row r="84" ht="21.0" customHeight="1">
      <c r="A84" s="10" t="s">
        <v>21</v>
      </c>
      <c r="B84" s="15" t="s">
        <v>907</v>
      </c>
      <c r="C84" s="12" t="s">
        <v>908</v>
      </c>
      <c r="D84" s="13">
        <v>40848.0</v>
      </c>
      <c r="E84" s="14">
        <v>2011.0</v>
      </c>
      <c r="F84" s="15" t="s">
        <v>41</v>
      </c>
      <c r="G84" s="15" t="s">
        <v>42</v>
      </c>
      <c r="H84" s="14">
        <v>8.0</v>
      </c>
      <c r="I84" s="14">
        <v>213.0</v>
      </c>
      <c r="J84" s="16"/>
      <c r="K84" s="15" t="s">
        <v>910</v>
      </c>
      <c r="L84" s="15" t="s">
        <v>911</v>
      </c>
      <c r="M84" s="17" t="s">
        <v>31</v>
      </c>
      <c r="N84" s="16"/>
      <c r="O84" s="15" t="s">
        <v>912</v>
      </c>
      <c r="P84" s="14">
        <v>18.0</v>
      </c>
      <c r="Q84" s="14"/>
      <c r="R84" s="14">
        <v>107.0</v>
      </c>
      <c r="S84" s="14"/>
      <c r="T84" s="15" t="s">
        <v>914</v>
      </c>
      <c r="U84" s="14">
        <v>26.3333333333333</v>
      </c>
      <c r="V84" s="14">
        <v>0.041929133858267714</v>
      </c>
      <c r="W84" s="14" t="s">
        <v>4495</v>
      </c>
      <c r="X84" s="14" t="s">
        <v>4495</v>
      </c>
      <c r="Y84" s="18" t="s">
        <v>4495</v>
      </c>
      <c r="Z84" s="18">
        <v>0.77189675633534</v>
      </c>
      <c r="AA84" s="18" t="s">
        <v>4495</v>
      </c>
      <c r="AB84" s="18">
        <v>1.0</v>
      </c>
      <c r="AC84" s="18">
        <v>0.7597599030674651</v>
      </c>
      <c r="AD84" s="18">
        <v>0.41895017939058155</v>
      </c>
      <c r="AE84" s="19" t="s">
        <v>4497</v>
      </c>
    </row>
    <row r="85" ht="21.0" customHeight="1">
      <c r="A85" s="20" t="s">
        <v>21</v>
      </c>
      <c r="B85" s="21" t="s">
        <v>916</v>
      </c>
      <c r="C85" s="22" t="s">
        <v>917</v>
      </c>
      <c r="D85" s="23">
        <v>41409.0</v>
      </c>
      <c r="E85" s="24">
        <v>2013.0</v>
      </c>
      <c r="F85" s="21" t="s">
        <v>26</v>
      </c>
      <c r="G85" s="21" t="s">
        <v>42</v>
      </c>
      <c r="H85" s="24">
        <v>8.0</v>
      </c>
      <c r="I85" s="24">
        <v>91.0</v>
      </c>
      <c r="J85" s="25" t="s">
        <v>919</v>
      </c>
      <c r="K85" s="21" t="s">
        <v>920</v>
      </c>
      <c r="L85" s="21" t="s">
        <v>921</v>
      </c>
      <c r="M85" s="26" t="s">
        <v>59</v>
      </c>
      <c r="N85" s="25" t="s">
        <v>922</v>
      </c>
      <c r="O85" s="21" t="s">
        <v>923</v>
      </c>
      <c r="P85" s="24">
        <v>9.0</v>
      </c>
      <c r="Q85" s="24"/>
      <c r="R85" s="24">
        <v>29.0</v>
      </c>
      <c r="S85" s="24">
        <v>2012.0</v>
      </c>
      <c r="T85" s="21" t="s">
        <v>125</v>
      </c>
      <c r="U85" s="24">
        <v>20.0</v>
      </c>
      <c r="V85" s="24">
        <v>0.02013719849524231</v>
      </c>
      <c r="W85" s="24">
        <v>1.0</v>
      </c>
      <c r="X85" s="24" t="s">
        <v>4495</v>
      </c>
      <c r="Y85" s="27" t="s">
        <v>4495</v>
      </c>
      <c r="Z85" s="27">
        <v>0.3227870895109485</v>
      </c>
      <c r="AA85" s="27">
        <v>1.0</v>
      </c>
      <c r="AB85" s="27">
        <v>1.0</v>
      </c>
      <c r="AC85" s="27">
        <v>0.648752326325584</v>
      </c>
      <c r="AD85" s="27">
        <v>0.4955720050102956</v>
      </c>
      <c r="AE85" s="28" t="s">
        <v>4499</v>
      </c>
    </row>
    <row r="86" ht="21.0" customHeight="1">
      <c r="A86" s="10" t="s">
        <v>21</v>
      </c>
      <c r="B86" s="15" t="s">
        <v>1395</v>
      </c>
      <c r="C86" s="12" t="s">
        <v>1396</v>
      </c>
      <c r="D86" s="13"/>
      <c r="E86" s="14"/>
      <c r="F86" s="15" t="s">
        <v>41</v>
      </c>
      <c r="G86" s="15" t="s">
        <v>42</v>
      </c>
      <c r="H86" s="14">
        <v>5.0</v>
      </c>
      <c r="I86" s="14">
        <v>92.0</v>
      </c>
      <c r="J86" s="16" t="s">
        <v>1398</v>
      </c>
      <c r="K86" s="15" t="s">
        <v>1399</v>
      </c>
      <c r="L86" s="15" t="s">
        <v>1400</v>
      </c>
      <c r="M86" s="17" t="s">
        <v>59</v>
      </c>
      <c r="N86" s="29" t="s">
        <v>1401</v>
      </c>
      <c r="O86" s="15" t="s">
        <v>1402</v>
      </c>
      <c r="P86" s="14">
        <v>28.0</v>
      </c>
      <c r="Q86" s="14"/>
      <c r="R86" s="14">
        <v>178.0</v>
      </c>
      <c r="S86" s="14">
        <v>2024.0</v>
      </c>
      <c r="T86" s="15" t="s">
        <v>1404</v>
      </c>
      <c r="U86" s="14">
        <v>5.85714285714285</v>
      </c>
      <c r="V86" s="14" t="s">
        <v>4495</v>
      </c>
      <c r="W86" s="14" t="s">
        <v>4495</v>
      </c>
      <c r="X86" s="14" t="s">
        <v>4495</v>
      </c>
      <c r="Y86" s="18" t="s">
        <v>4495</v>
      </c>
      <c r="Z86" s="18">
        <v>0.949044636620311</v>
      </c>
      <c r="AA86" s="18" t="s">
        <v>4495</v>
      </c>
      <c r="AB86" s="18" t="s">
        <v>4495</v>
      </c>
      <c r="AC86" s="18">
        <v>0.17739238212607333</v>
      </c>
      <c r="AD86" s="18">
        <v>0.2550003973676851</v>
      </c>
      <c r="AE86" s="19" t="s">
        <v>4498</v>
      </c>
    </row>
    <row r="87" ht="21.0" customHeight="1">
      <c r="A87" s="20" t="s">
        <v>21</v>
      </c>
      <c r="B87" s="21" t="s">
        <v>935</v>
      </c>
      <c r="C87" s="22" t="s">
        <v>936</v>
      </c>
      <c r="D87" s="23">
        <v>43112.0</v>
      </c>
      <c r="E87" s="24">
        <v>2018.0</v>
      </c>
      <c r="F87" s="21" t="s">
        <v>41</v>
      </c>
      <c r="G87" s="21" t="s">
        <v>42</v>
      </c>
      <c r="H87" s="24">
        <v>8.0</v>
      </c>
      <c r="I87" s="24">
        <v>421.0</v>
      </c>
      <c r="J87" s="25"/>
      <c r="K87" s="21" t="s">
        <v>939</v>
      </c>
      <c r="L87" s="21" t="s">
        <v>940</v>
      </c>
      <c r="M87" s="26" t="s">
        <v>31</v>
      </c>
      <c r="N87" s="30"/>
      <c r="O87" s="21" t="s">
        <v>941</v>
      </c>
      <c r="P87" s="24">
        <v>9.0</v>
      </c>
      <c r="Q87" s="24"/>
      <c r="R87" s="24">
        <v>63.0</v>
      </c>
      <c r="S87" s="24"/>
      <c r="T87" s="21" t="s">
        <v>942</v>
      </c>
      <c r="U87" s="24">
        <v>32.5</v>
      </c>
      <c r="V87" s="24">
        <v>0.1495028409090909</v>
      </c>
      <c r="W87" s="24" t="s">
        <v>4495</v>
      </c>
      <c r="X87" s="24" t="s">
        <v>4495</v>
      </c>
      <c r="Y87" s="27" t="s">
        <v>4495</v>
      </c>
      <c r="Z87" s="27">
        <v>0.5884401318226129</v>
      </c>
      <c r="AA87" s="27" t="s">
        <v>4495</v>
      </c>
      <c r="AB87" s="27">
        <v>1.0</v>
      </c>
      <c r="AC87" s="27">
        <v>0.8454372130709235</v>
      </c>
      <c r="AD87" s="27">
        <v>0.38165375426274556</v>
      </c>
      <c r="AE87" s="28" t="s">
        <v>4497</v>
      </c>
    </row>
    <row r="88" ht="21.0" customHeight="1">
      <c r="A88" s="10" t="s">
        <v>21</v>
      </c>
      <c r="B88" s="15" t="s">
        <v>1264</v>
      </c>
      <c r="C88" s="12" t="s">
        <v>1265</v>
      </c>
      <c r="D88" s="13"/>
      <c r="E88" s="14"/>
      <c r="F88" s="15" t="s">
        <v>41</v>
      </c>
      <c r="G88" s="15" t="s">
        <v>42</v>
      </c>
      <c r="H88" s="14">
        <v>5.0</v>
      </c>
      <c r="I88" s="14">
        <v>101.0</v>
      </c>
      <c r="J88" s="16" t="s">
        <v>1267</v>
      </c>
      <c r="K88" s="15" t="s">
        <v>1268</v>
      </c>
      <c r="L88" s="15" t="s">
        <v>1269</v>
      </c>
      <c r="M88" s="17" t="s">
        <v>59</v>
      </c>
      <c r="N88" s="16" t="s">
        <v>1270</v>
      </c>
      <c r="O88" s="15" t="s">
        <v>1271</v>
      </c>
      <c r="P88" s="14">
        <v>14.0</v>
      </c>
      <c r="Q88" s="14"/>
      <c r="R88" s="14">
        <v>46.0</v>
      </c>
      <c r="S88" s="14">
        <v>2023.0</v>
      </c>
      <c r="T88" s="15" t="s">
        <v>1273</v>
      </c>
      <c r="U88" s="14">
        <v>14.3333333333333</v>
      </c>
      <c r="V88" s="14" t="s">
        <v>4495</v>
      </c>
      <c r="W88" s="14" t="s">
        <v>4495</v>
      </c>
      <c r="X88" s="14" t="s">
        <v>4495</v>
      </c>
      <c r="Y88" s="18" t="s">
        <v>4495</v>
      </c>
      <c r="Z88" s="18">
        <v>0.4801940348116395</v>
      </c>
      <c r="AA88" s="18" t="s">
        <v>4495</v>
      </c>
      <c r="AB88" s="18" t="s">
        <v>4495</v>
      </c>
      <c r="AC88" s="18">
        <v>0.5163047063425695</v>
      </c>
      <c r="AD88" s="18">
        <v>0.17167897933716683</v>
      </c>
      <c r="AE88" s="19" t="s">
        <v>4498</v>
      </c>
    </row>
    <row r="89" ht="21.0" customHeight="1">
      <c r="A89" s="20" t="s">
        <v>21</v>
      </c>
      <c r="B89" s="21" t="s">
        <v>1517</v>
      </c>
      <c r="C89" s="22" t="s">
        <v>1518</v>
      </c>
      <c r="D89" s="23"/>
      <c r="E89" s="24"/>
      <c r="F89" s="21" t="s">
        <v>41</v>
      </c>
      <c r="G89" s="21" t="s">
        <v>42</v>
      </c>
      <c r="H89" s="24">
        <v>5.0</v>
      </c>
      <c r="I89" s="24">
        <v>157.0</v>
      </c>
      <c r="J89" s="25" t="s">
        <v>1519</v>
      </c>
      <c r="K89" s="21" t="s">
        <v>1520</v>
      </c>
      <c r="L89" s="21" t="s">
        <v>1521</v>
      </c>
      <c r="M89" s="26" t="s">
        <v>59</v>
      </c>
      <c r="N89" s="30" t="s">
        <v>1522</v>
      </c>
      <c r="O89" s="21" t="s">
        <v>1523</v>
      </c>
      <c r="P89" s="24">
        <v>26.0</v>
      </c>
      <c r="Q89" s="24"/>
      <c r="R89" s="24">
        <v>207.0</v>
      </c>
      <c r="S89" s="24">
        <v>2022.0</v>
      </c>
      <c r="T89" s="21" t="s">
        <v>1525</v>
      </c>
      <c r="U89" s="24">
        <v>28.75</v>
      </c>
      <c r="V89" s="24" t="s">
        <v>4495</v>
      </c>
      <c r="W89" s="24" t="s">
        <v>4495</v>
      </c>
      <c r="X89" s="24" t="s">
        <v>4495</v>
      </c>
      <c r="Y89" s="27" t="s">
        <v>4495</v>
      </c>
      <c r="Z89" s="27">
        <v>1.0</v>
      </c>
      <c r="AA89" s="27" t="s">
        <v>4495</v>
      </c>
      <c r="AB89" s="27" t="s">
        <v>4495</v>
      </c>
      <c r="AC89" s="27">
        <v>0.7954403107552936</v>
      </c>
      <c r="AD89" s="27">
        <v>0.3295440310755294</v>
      </c>
      <c r="AE89" s="28" t="s">
        <v>4498</v>
      </c>
    </row>
    <row r="90" ht="21.0" customHeight="1">
      <c r="A90" s="10" t="s">
        <v>21</v>
      </c>
      <c r="B90" s="15" t="s">
        <v>958</v>
      </c>
      <c r="C90" s="12" t="s">
        <v>959</v>
      </c>
      <c r="D90" s="13"/>
      <c r="E90" s="14"/>
      <c r="F90" s="15" t="s">
        <v>41</v>
      </c>
      <c r="G90" s="15" t="s">
        <v>42</v>
      </c>
      <c r="H90" s="14">
        <v>8.0</v>
      </c>
      <c r="I90" s="14">
        <v>205.0</v>
      </c>
      <c r="J90" s="16"/>
      <c r="K90" s="15" t="s">
        <v>961</v>
      </c>
      <c r="L90" s="15" t="s">
        <v>962</v>
      </c>
      <c r="M90" s="17" t="s">
        <v>31</v>
      </c>
      <c r="N90" s="16"/>
      <c r="O90" s="15" t="s">
        <v>963</v>
      </c>
      <c r="P90" s="14">
        <v>30.0</v>
      </c>
      <c r="Q90" s="14"/>
      <c r="R90" s="14">
        <v>139.0</v>
      </c>
      <c r="S90" s="14"/>
      <c r="T90" s="15" t="s">
        <v>965</v>
      </c>
      <c r="U90" s="14">
        <v>25.25</v>
      </c>
      <c r="V90" s="14" t="s">
        <v>4495</v>
      </c>
      <c r="W90" s="14" t="s">
        <v>4495</v>
      </c>
      <c r="X90" s="14" t="s">
        <v>4495</v>
      </c>
      <c r="Y90" s="18" t="s">
        <v>4495</v>
      </c>
      <c r="Z90" s="18">
        <v>0.8628842706042471</v>
      </c>
      <c r="AA90" s="18" t="s">
        <v>4495</v>
      </c>
      <c r="AB90" s="18" t="s">
        <v>4495</v>
      </c>
      <c r="AC90" s="18">
        <v>0.7427283489499527</v>
      </c>
      <c r="AD90" s="18">
        <v>0.28999390254605706</v>
      </c>
      <c r="AE90" s="19" t="s">
        <v>4497</v>
      </c>
    </row>
    <row r="91" ht="21.0" customHeight="1">
      <c r="A91" s="20" t="s">
        <v>21</v>
      </c>
      <c r="B91" s="21" t="s">
        <v>967</v>
      </c>
      <c r="C91" s="22" t="s">
        <v>968</v>
      </c>
      <c r="D91" s="23">
        <v>41565.0</v>
      </c>
      <c r="E91" s="24">
        <v>2013.0</v>
      </c>
      <c r="F91" s="21" t="s">
        <v>26</v>
      </c>
      <c r="G91" s="21" t="s">
        <v>42</v>
      </c>
      <c r="H91" s="24">
        <v>7.0</v>
      </c>
      <c r="I91" s="24">
        <v>319.0</v>
      </c>
      <c r="J91" s="25"/>
      <c r="K91" s="21" t="s">
        <v>971</v>
      </c>
      <c r="L91" s="21" t="s">
        <v>972</v>
      </c>
      <c r="M91" s="26" t="s">
        <v>59</v>
      </c>
      <c r="N91" s="30" t="s">
        <v>973</v>
      </c>
      <c r="O91" s="21" t="s">
        <v>974</v>
      </c>
      <c r="P91" s="24">
        <v>9.0</v>
      </c>
      <c r="Q91" s="24"/>
      <c r="R91" s="24">
        <v>69.0</v>
      </c>
      <c r="S91" s="24"/>
      <c r="T91" s="21" t="s">
        <v>976</v>
      </c>
      <c r="U91" s="24">
        <v>5.66666666666666</v>
      </c>
      <c r="V91" s="24">
        <v>0.0731148292459317</v>
      </c>
      <c r="W91" s="24" t="s">
        <v>4495</v>
      </c>
      <c r="X91" s="24" t="s">
        <v>4495</v>
      </c>
      <c r="Y91" s="27" t="s">
        <v>4495</v>
      </c>
      <c r="Z91" s="27">
        <v>0.6198591523092037</v>
      </c>
      <c r="AA91" s="27" t="s">
        <v>4495</v>
      </c>
      <c r="AB91" s="27">
        <v>1.0</v>
      </c>
      <c r="AC91" s="27">
        <v>0.16552832889406777</v>
      </c>
      <c r="AD91" s="27">
        <v>0.3215176209667077</v>
      </c>
      <c r="AE91" s="28" t="s">
        <v>4500</v>
      </c>
    </row>
    <row r="92" ht="21.0" customHeight="1">
      <c r="A92" s="10" t="s">
        <v>21</v>
      </c>
      <c r="B92" s="15" t="s">
        <v>978</v>
      </c>
      <c r="C92" s="12" t="s">
        <v>979</v>
      </c>
      <c r="D92" s="13"/>
      <c r="E92" s="14"/>
      <c r="F92" s="15" t="s">
        <v>41</v>
      </c>
      <c r="G92" s="15" t="s">
        <v>42</v>
      </c>
      <c r="H92" s="14">
        <v>7.0</v>
      </c>
      <c r="I92" s="14">
        <v>35.0</v>
      </c>
      <c r="J92" s="16"/>
      <c r="K92" s="15" t="s">
        <v>980</v>
      </c>
      <c r="M92" s="17" t="s">
        <v>31</v>
      </c>
      <c r="N92" s="16"/>
      <c r="P92" s="14"/>
      <c r="Q92" s="14"/>
      <c r="R92" s="14">
        <v>43.0</v>
      </c>
      <c r="S92" s="14"/>
      <c r="T92" s="15" t="s">
        <v>981</v>
      </c>
      <c r="U92" s="14">
        <v>11.1666666666666</v>
      </c>
      <c r="V92" s="14" t="s">
        <v>4495</v>
      </c>
      <c r="W92" s="14" t="s">
        <v>4495</v>
      </c>
      <c r="X92" s="14" t="s">
        <v>4495</v>
      </c>
      <c r="Y92" s="18" t="s">
        <v>4495</v>
      </c>
      <c r="Z92" s="18">
        <v>0.4570684369953818</v>
      </c>
      <c r="AA92" s="18" t="s">
        <v>4495</v>
      </c>
      <c r="AB92" s="18" t="s">
        <v>4495</v>
      </c>
      <c r="AC92" s="18">
        <v>0.4188813571978567</v>
      </c>
      <c r="AD92" s="18">
        <v>0.15615524496863112</v>
      </c>
      <c r="AE92" s="19" t="s">
        <v>4497</v>
      </c>
    </row>
    <row r="93" ht="21.0" customHeight="1">
      <c r="A93" s="20" t="s">
        <v>21</v>
      </c>
      <c r="B93" s="21" t="s">
        <v>1355</v>
      </c>
      <c r="C93" s="22" t="s">
        <v>1356</v>
      </c>
      <c r="D93" s="23"/>
      <c r="E93" s="24"/>
      <c r="F93" s="21" t="s">
        <v>41</v>
      </c>
      <c r="G93" s="21" t="s">
        <v>42</v>
      </c>
      <c r="H93" s="24">
        <v>5.0</v>
      </c>
      <c r="I93" s="24">
        <v>28.0</v>
      </c>
      <c r="J93" s="25" t="s">
        <v>1357</v>
      </c>
      <c r="K93" s="21" t="s">
        <v>1358</v>
      </c>
      <c r="L93" s="21" t="s">
        <v>1359</v>
      </c>
      <c r="M93" s="26" t="s">
        <v>59</v>
      </c>
      <c r="N93" s="30" t="s">
        <v>1360</v>
      </c>
      <c r="O93" s="21" t="s">
        <v>1361</v>
      </c>
      <c r="P93" s="24">
        <v>14.0</v>
      </c>
      <c r="Q93" s="24"/>
      <c r="R93" s="24">
        <v>56.0</v>
      </c>
      <c r="S93" s="24">
        <v>2022.0</v>
      </c>
      <c r="T93" s="21" t="s">
        <v>1363</v>
      </c>
      <c r="U93" s="24">
        <v>43.5</v>
      </c>
      <c r="V93" s="24" t="s">
        <v>4495</v>
      </c>
      <c r="W93" s="24" t="s">
        <v>4495</v>
      </c>
      <c r="X93" s="24" t="s">
        <v>4495</v>
      </c>
      <c r="Y93" s="27" t="s">
        <v>4495</v>
      </c>
      <c r="Z93" s="27">
        <v>0.5478282077467163</v>
      </c>
      <c r="AA93" s="27" t="s">
        <v>4495</v>
      </c>
      <c r="AB93" s="27" t="s">
        <v>4495</v>
      </c>
      <c r="AC93" s="27">
        <v>0.9650189986477627</v>
      </c>
      <c r="AD93" s="27">
        <v>0.23345895180145534</v>
      </c>
      <c r="AE93" s="28" t="s">
        <v>4498</v>
      </c>
    </row>
    <row r="94" ht="21.0" customHeight="1">
      <c r="A94" s="10" t="s">
        <v>21</v>
      </c>
      <c r="B94" s="15" t="s">
        <v>993</v>
      </c>
      <c r="C94" s="12" t="s">
        <v>994</v>
      </c>
      <c r="D94" s="13">
        <v>42644.0</v>
      </c>
      <c r="E94" s="14">
        <v>2016.0</v>
      </c>
      <c r="F94" s="15" t="s">
        <v>41</v>
      </c>
      <c r="G94" s="15" t="s">
        <v>42</v>
      </c>
      <c r="H94" s="14">
        <v>7.0</v>
      </c>
      <c r="I94" s="14">
        <v>130.0</v>
      </c>
      <c r="J94" s="16"/>
      <c r="K94" s="15" t="s">
        <v>996</v>
      </c>
      <c r="L94" s="15" t="s">
        <v>997</v>
      </c>
      <c r="M94" s="17" t="s">
        <v>31</v>
      </c>
      <c r="N94" s="16"/>
      <c r="O94" s="15" t="s">
        <v>998</v>
      </c>
      <c r="P94" s="14">
        <v>39.0</v>
      </c>
      <c r="Q94" s="14"/>
      <c r="R94" s="14">
        <v>153.0</v>
      </c>
      <c r="S94" s="14"/>
      <c r="T94" s="15" t="s">
        <v>1001</v>
      </c>
      <c r="U94" s="14">
        <v>27.6</v>
      </c>
      <c r="V94" s="14">
        <v>0.03958587088915956</v>
      </c>
      <c r="W94" s="14" t="s">
        <v>4495</v>
      </c>
      <c r="X94" s="14" t="s">
        <v>4495</v>
      </c>
      <c r="Y94" s="18" t="s">
        <v>4495</v>
      </c>
      <c r="Z94" s="18">
        <v>0.8963010807295607</v>
      </c>
      <c r="AA94" s="18" t="s">
        <v>4495</v>
      </c>
      <c r="AB94" s="18">
        <v>1.0</v>
      </c>
      <c r="AC94" s="18">
        <v>0.7788377172062704</v>
      </c>
      <c r="AD94" s="18">
        <v>0.4519590419030172</v>
      </c>
      <c r="AE94" s="19" t="s">
        <v>4497</v>
      </c>
    </row>
    <row r="95" ht="21.0" customHeight="1">
      <c r="A95" s="20" t="s">
        <v>21</v>
      </c>
      <c r="B95" s="21" t="s">
        <v>1002</v>
      </c>
      <c r="C95" s="22" t="s">
        <v>1003</v>
      </c>
      <c r="D95" s="23"/>
      <c r="E95" s="24"/>
      <c r="F95" s="21" t="s">
        <v>26</v>
      </c>
      <c r="G95" s="21" t="s">
        <v>27</v>
      </c>
      <c r="H95" s="24">
        <v>7.0</v>
      </c>
      <c r="I95" s="24">
        <v>62.0</v>
      </c>
      <c r="J95" s="25"/>
      <c r="K95" s="21" t="s">
        <v>1005</v>
      </c>
      <c r="M95" s="26" t="s">
        <v>31</v>
      </c>
      <c r="N95" s="30"/>
      <c r="P95" s="24"/>
      <c r="Q95" s="24"/>
      <c r="R95" s="24">
        <v>62.0</v>
      </c>
      <c r="S95" s="24"/>
      <c r="T95" s="21" t="s">
        <v>1006</v>
      </c>
      <c r="U95" s="24">
        <v>10.0</v>
      </c>
      <c r="V95" s="24" t="s">
        <v>4495</v>
      </c>
      <c r="W95" s="24" t="s">
        <v>4495</v>
      </c>
      <c r="X95" s="24" t="s">
        <v>4495</v>
      </c>
      <c r="Y95" s="27" t="s">
        <v>4495</v>
      </c>
      <c r="Z95" s="27">
        <v>0.5829185825435077</v>
      </c>
      <c r="AA95" s="27" t="s">
        <v>4495</v>
      </c>
      <c r="AB95" s="27" t="s">
        <v>4495</v>
      </c>
      <c r="AC95" s="27">
        <v>0.37642785751330293</v>
      </c>
      <c r="AD95" s="27">
        <v>0.1833724313872072</v>
      </c>
      <c r="AE95" s="28" t="s">
        <v>4497</v>
      </c>
    </row>
    <row r="96" ht="21.0" customHeight="1">
      <c r="A96" s="10" t="s">
        <v>21</v>
      </c>
      <c r="B96" s="15" t="s">
        <v>1007</v>
      </c>
      <c r="C96" s="12" t="s">
        <v>1008</v>
      </c>
      <c r="D96" s="13">
        <v>40624.0</v>
      </c>
      <c r="E96" s="14">
        <v>2011.0</v>
      </c>
      <c r="F96" s="15" t="s">
        <v>26</v>
      </c>
      <c r="G96" s="15" t="s">
        <v>42</v>
      </c>
      <c r="H96" s="14">
        <v>7.0</v>
      </c>
      <c r="I96" s="14">
        <v>147.0</v>
      </c>
      <c r="J96" s="16"/>
      <c r="K96" s="15" t="s">
        <v>1010</v>
      </c>
      <c r="L96" s="15" t="s">
        <v>1011</v>
      </c>
      <c r="M96" s="17" t="s">
        <v>59</v>
      </c>
      <c r="N96" s="16" t="s">
        <v>1012</v>
      </c>
      <c r="P96" s="14"/>
      <c r="Q96" s="14"/>
      <c r="R96" s="14">
        <v>53.0</v>
      </c>
      <c r="S96" s="14"/>
      <c r="T96" s="15" t="s">
        <v>614</v>
      </c>
      <c r="U96" s="14">
        <v>1.0</v>
      </c>
      <c r="V96" s="14">
        <v>0.02771493212669683</v>
      </c>
      <c r="W96" s="14" t="s">
        <v>4495</v>
      </c>
      <c r="X96" s="14" t="s">
        <v>4495</v>
      </c>
      <c r="Y96" s="18" t="s">
        <v>4495</v>
      </c>
      <c r="Z96" s="18">
        <v>0.5288716380402964</v>
      </c>
      <c r="AA96" s="18" t="s">
        <v>4495</v>
      </c>
      <c r="AB96" s="18">
        <v>1.0</v>
      </c>
      <c r="AC96" s="18">
        <v>0.0</v>
      </c>
      <c r="AD96" s="18">
        <v>0.2822179095100741</v>
      </c>
      <c r="AE96" s="19" t="s">
        <v>4499</v>
      </c>
    </row>
    <row r="97" ht="21.0" customHeight="1">
      <c r="A97" s="20" t="s">
        <v>21</v>
      </c>
      <c r="B97" s="21" t="s">
        <v>1013</v>
      </c>
      <c r="C97" s="22" t="s">
        <v>1014</v>
      </c>
      <c r="D97" s="23">
        <v>44788.0</v>
      </c>
      <c r="E97" s="24">
        <v>2022.0</v>
      </c>
      <c r="F97" s="21" t="s">
        <v>26</v>
      </c>
      <c r="H97" s="24">
        <v>7.0</v>
      </c>
      <c r="I97" s="24">
        <v>121.0</v>
      </c>
      <c r="J97" s="25" t="s">
        <v>1016</v>
      </c>
      <c r="K97" s="21" t="s">
        <v>1017</v>
      </c>
      <c r="L97" s="21" t="s">
        <v>1018</v>
      </c>
      <c r="M97" s="26" t="s">
        <v>59</v>
      </c>
      <c r="N97" s="30" t="s">
        <v>1019</v>
      </c>
      <c r="P97" s="24"/>
      <c r="Q97" s="24"/>
      <c r="R97" s="24">
        <v>0.0</v>
      </c>
      <c r="S97" s="24"/>
      <c r="T97" s="21" t="s">
        <v>1020</v>
      </c>
      <c r="U97" s="24">
        <v>10.5</v>
      </c>
      <c r="V97" s="24">
        <v>0.10614035087719298</v>
      </c>
      <c r="W97" s="24" t="s">
        <v>4495</v>
      </c>
      <c r="X97" s="24" t="s">
        <v>4495</v>
      </c>
      <c r="Y97" s="27" t="s">
        <v>4495</v>
      </c>
      <c r="Z97" s="27">
        <v>0.0</v>
      </c>
      <c r="AA97" s="27" t="s">
        <v>4495</v>
      </c>
      <c r="AB97" s="27">
        <v>1.0</v>
      </c>
      <c r="AC97" s="27">
        <v>0.3951485412186882</v>
      </c>
      <c r="AD97" s="27">
        <v>0.1895148541218688</v>
      </c>
      <c r="AE97" s="28" t="s">
        <v>4501</v>
      </c>
    </row>
    <row r="98" ht="21.0" customHeight="1">
      <c r="A98" s="10" t="s">
        <v>21</v>
      </c>
      <c r="B98" s="15" t="s">
        <v>1021</v>
      </c>
      <c r="C98" s="12" t="s">
        <v>1022</v>
      </c>
      <c r="D98" s="13">
        <v>43435.0</v>
      </c>
      <c r="E98" s="14">
        <v>2018.0</v>
      </c>
      <c r="F98" s="15" t="s">
        <v>41</v>
      </c>
      <c r="G98" s="15" t="s">
        <v>42</v>
      </c>
      <c r="H98" s="14">
        <v>7.0</v>
      </c>
      <c r="I98" s="14">
        <v>185.0</v>
      </c>
      <c r="J98" s="16" t="s">
        <v>1024</v>
      </c>
      <c r="K98" s="15" t="s">
        <v>1025</v>
      </c>
      <c r="L98" s="15" t="s">
        <v>1026</v>
      </c>
      <c r="M98" s="17" t="s">
        <v>31</v>
      </c>
      <c r="N98" s="29"/>
      <c r="O98" s="15" t="s">
        <v>1027</v>
      </c>
      <c r="P98" s="14">
        <v>13.0</v>
      </c>
      <c r="Q98" s="14"/>
      <c r="R98" s="14">
        <v>68.0</v>
      </c>
      <c r="S98" s="14"/>
      <c r="T98" s="15" t="s">
        <v>124</v>
      </c>
      <c r="U98" s="14">
        <v>6.0</v>
      </c>
      <c r="V98" s="14">
        <v>0.07420778178900922</v>
      </c>
      <c r="W98" s="14" t="s">
        <v>4495</v>
      </c>
      <c r="X98" s="14" t="s">
        <v>4495</v>
      </c>
      <c r="Y98" s="18" t="s">
        <v>4495</v>
      </c>
      <c r="Z98" s="18">
        <v>0.614814300769033</v>
      </c>
      <c r="AA98" s="18" t="s">
        <v>4495</v>
      </c>
      <c r="AB98" s="18">
        <v>1.0</v>
      </c>
      <c r="AC98" s="18">
        <v>0.18607611324557238</v>
      </c>
      <c r="AD98" s="18">
        <v>0.32231118651681545</v>
      </c>
      <c r="AE98" s="19" t="s">
        <v>4497</v>
      </c>
    </row>
    <row r="99" ht="21.0" customHeight="1">
      <c r="A99" s="20" t="s">
        <v>21</v>
      </c>
      <c r="B99" s="21" t="s">
        <v>1116</v>
      </c>
      <c r="C99" s="22" t="s">
        <v>1117</v>
      </c>
      <c r="D99" s="23">
        <v>44407.0</v>
      </c>
      <c r="E99" s="24">
        <v>2021.0</v>
      </c>
      <c r="F99" s="21" t="s">
        <v>41</v>
      </c>
      <c r="G99" s="21" t="s">
        <v>1119</v>
      </c>
      <c r="H99" s="24">
        <v>6.0</v>
      </c>
      <c r="I99" s="24">
        <v>37.0</v>
      </c>
      <c r="J99" s="25" t="s">
        <v>1120</v>
      </c>
      <c r="K99" s="21" t="s">
        <v>1121</v>
      </c>
      <c r="L99" s="21" t="s">
        <v>1122</v>
      </c>
      <c r="M99" s="26" t="s">
        <v>59</v>
      </c>
      <c r="N99" s="30" t="s">
        <v>1123</v>
      </c>
      <c r="P99" s="24"/>
      <c r="Q99" s="24"/>
      <c r="R99" s="24">
        <v>129.0</v>
      </c>
      <c r="S99" s="24">
        <v>2021.0</v>
      </c>
      <c r="T99" s="21" t="s">
        <v>1125</v>
      </c>
      <c r="U99" s="24">
        <v>4.0</v>
      </c>
      <c r="V99" s="24">
        <v>0.024326101249178174</v>
      </c>
      <c r="W99" s="24">
        <v>0.0</v>
      </c>
      <c r="X99" s="24" t="s">
        <v>4495</v>
      </c>
      <c r="Y99" s="27" t="s">
        <v>4495</v>
      </c>
      <c r="Z99" s="27">
        <v>0.8369011905248982</v>
      </c>
      <c r="AA99" s="27">
        <v>1.0</v>
      </c>
      <c r="AB99" s="27">
        <v>1.0</v>
      </c>
      <c r="AC99" s="27">
        <v>0.044372163770186025</v>
      </c>
      <c r="AD99" s="27">
        <v>0.5636625140082431</v>
      </c>
      <c r="AE99" s="28" t="s">
        <v>4498</v>
      </c>
    </row>
    <row r="100" ht="21.0" customHeight="1">
      <c r="A100" s="10" t="s">
        <v>21</v>
      </c>
      <c r="B100" s="15" t="s">
        <v>1040</v>
      </c>
      <c r="C100" s="12" t="s">
        <v>1041</v>
      </c>
      <c r="D100" s="13">
        <v>42491.0</v>
      </c>
      <c r="E100" s="14">
        <v>2016.0</v>
      </c>
      <c r="F100" s="15" t="s">
        <v>41</v>
      </c>
      <c r="G100" s="15" t="s">
        <v>42</v>
      </c>
      <c r="H100" s="14">
        <v>7.0</v>
      </c>
      <c r="I100" s="14">
        <v>120.0</v>
      </c>
      <c r="J100" s="16"/>
      <c r="K100" s="15" t="s">
        <v>1044</v>
      </c>
      <c r="L100" s="15" t="s">
        <v>1045</v>
      </c>
      <c r="M100" s="17" t="s">
        <v>31</v>
      </c>
      <c r="N100" s="16"/>
      <c r="O100" s="31" t="s">
        <v>1046</v>
      </c>
      <c r="P100" s="14">
        <v>16.0</v>
      </c>
      <c r="Q100" s="14"/>
      <c r="R100" s="14">
        <v>117.0</v>
      </c>
      <c r="S100" s="14"/>
      <c r="T100" s="15" t="s">
        <v>1048</v>
      </c>
      <c r="U100" s="14">
        <v>14.5</v>
      </c>
      <c r="V100" s="14">
        <v>0.03491416933372127</v>
      </c>
      <c r="W100" s="14" t="s">
        <v>4495</v>
      </c>
      <c r="X100" s="14" t="s">
        <v>4495</v>
      </c>
      <c r="Y100" s="18" t="s">
        <v>4495</v>
      </c>
      <c r="Z100" s="18">
        <v>0.8029445633060727</v>
      </c>
      <c r="AA100" s="18" t="s">
        <v>4495</v>
      </c>
      <c r="AB100" s="18">
        <v>1.0</v>
      </c>
      <c r="AC100" s="18">
        <v>0.5208576808310391</v>
      </c>
      <c r="AD100" s="18">
        <v>0.4028219089096221</v>
      </c>
      <c r="AE100" s="19" t="s">
        <v>4497</v>
      </c>
    </row>
    <row r="101" ht="21.0" customHeight="1">
      <c r="A101" s="20" t="s">
        <v>21</v>
      </c>
      <c r="B101" s="21" t="s">
        <v>1050</v>
      </c>
      <c r="C101" s="22" t="s">
        <v>1051</v>
      </c>
      <c r="D101" s="23">
        <v>41183.0</v>
      </c>
      <c r="E101" s="24">
        <v>2012.0</v>
      </c>
      <c r="F101" s="21" t="s">
        <v>26</v>
      </c>
      <c r="G101" s="21" t="s">
        <v>42</v>
      </c>
      <c r="H101" s="24">
        <v>7.0</v>
      </c>
      <c r="I101" s="24">
        <v>62.0</v>
      </c>
      <c r="J101" s="25" t="s">
        <v>1053</v>
      </c>
      <c r="K101" s="21" t="s">
        <v>1054</v>
      </c>
      <c r="L101" s="21" t="s">
        <v>1055</v>
      </c>
      <c r="M101" s="26" t="s">
        <v>59</v>
      </c>
      <c r="N101" s="25" t="s">
        <v>1056</v>
      </c>
      <c r="P101" s="24"/>
      <c r="Q101" s="24"/>
      <c r="R101" s="24">
        <v>281.0</v>
      </c>
      <c r="S101" s="24"/>
      <c r="T101" s="21" t="s">
        <v>1058</v>
      </c>
      <c r="U101" s="24">
        <v>82.5</v>
      </c>
      <c r="V101" s="24">
        <v>0.013066385669125396</v>
      </c>
      <c r="W101" s="24" t="s">
        <v>4495</v>
      </c>
      <c r="X101" s="24" t="s">
        <v>4495</v>
      </c>
      <c r="Y101" s="27" t="s">
        <v>4495</v>
      </c>
      <c r="Z101" s="27">
        <v>1.0</v>
      </c>
      <c r="AA101" s="27" t="s">
        <v>4495</v>
      </c>
      <c r="AB101" s="27">
        <v>1.0</v>
      </c>
      <c r="AC101" s="27">
        <v>1.0</v>
      </c>
      <c r="AD101" s="27">
        <v>0.5</v>
      </c>
      <c r="AE101" s="28" t="s">
        <v>4500</v>
      </c>
    </row>
    <row r="102" ht="21.0" customHeight="1">
      <c r="A102" s="10" t="s">
        <v>21</v>
      </c>
      <c r="B102" s="15" t="s">
        <v>1195</v>
      </c>
      <c r="C102" s="12" t="s">
        <v>1196</v>
      </c>
      <c r="D102" s="13">
        <v>41730.0</v>
      </c>
      <c r="E102" s="14">
        <v>2014.0</v>
      </c>
      <c r="F102" s="15" t="s">
        <v>41</v>
      </c>
      <c r="G102" s="15" t="s">
        <v>42</v>
      </c>
      <c r="H102" s="14">
        <v>6.0</v>
      </c>
      <c r="I102" s="14">
        <v>202.0</v>
      </c>
      <c r="J102" s="16"/>
      <c r="K102" s="15" t="s">
        <v>1199</v>
      </c>
      <c r="L102" s="15" t="s">
        <v>1200</v>
      </c>
      <c r="M102" s="17" t="s">
        <v>59</v>
      </c>
      <c r="N102" s="29" t="s">
        <v>1201</v>
      </c>
      <c r="O102" s="31" t="s">
        <v>1202</v>
      </c>
      <c r="P102" s="14">
        <v>23.0</v>
      </c>
      <c r="Q102" s="14"/>
      <c r="R102" s="14">
        <v>134.0</v>
      </c>
      <c r="S102" s="14"/>
      <c r="T102" s="15" t="s">
        <v>217</v>
      </c>
      <c r="U102" s="14">
        <v>29.0</v>
      </c>
      <c r="V102" s="14">
        <v>0.04811815150071463</v>
      </c>
      <c r="W102" s="14" t="s">
        <v>4495</v>
      </c>
      <c r="X102" s="14" t="s">
        <v>4495</v>
      </c>
      <c r="Y102" s="18" t="s">
        <v>4495</v>
      </c>
      <c r="Z102" s="18">
        <v>0.8501333696778393</v>
      </c>
      <c r="AA102" s="18" t="s">
        <v>4495</v>
      </c>
      <c r="AB102" s="18">
        <v>1.0</v>
      </c>
      <c r="AC102" s="18">
        <v>0.7989645659521445</v>
      </c>
      <c r="AD102" s="18">
        <v>0.4424297990146742</v>
      </c>
      <c r="AE102" s="19" t="s">
        <v>4498</v>
      </c>
    </row>
    <row r="103" ht="21.0" customHeight="1">
      <c r="A103" s="20" t="s">
        <v>21</v>
      </c>
      <c r="B103" s="21" t="s">
        <v>1070</v>
      </c>
      <c r="C103" s="22" t="s">
        <v>1071</v>
      </c>
      <c r="D103" s="23">
        <v>44194.0</v>
      </c>
      <c r="E103" s="24">
        <v>2020.0</v>
      </c>
      <c r="F103" s="21" t="s">
        <v>41</v>
      </c>
      <c r="G103" s="21" t="s">
        <v>42</v>
      </c>
      <c r="H103" s="24">
        <v>7.0</v>
      </c>
      <c r="I103" s="24">
        <v>212.0</v>
      </c>
      <c r="J103" s="25" t="s">
        <v>1074</v>
      </c>
      <c r="K103" s="21" t="s">
        <v>1075</v>
      </c>
      <c r="L103" s="21" t="s">
        <v>1076</v>
      </c>
      <c r="M103" s="26" t="s">
        <v>59</v>
      </c>
      <c r="N103" s="30" t="s">
        <v>1077</v>
      </c>
      <c r="O103" s="21" t="s">
        <v>614</v>
      </c>
      <c r="P103" s="24"/>
      <c r="Q103" s="24"/>
      <c r="R103" s="24">
        <v>122.0</v>
      </c>
      <c r="S103" s="24">
        <v>2020.0</v>
      </c>
      <c r="T103" s="21" t="s">
        <v>1079</v>
      </c>
      <c r="U103" s="24">
        <v>17.25</v>
      </c>
      <c r="V103" s="24">
        <v>0.12226066897347174</v>
      </c>
      <c r="W103" s="24">
        <v>0.0</v>
      </c>
      <c r="X103" s="24" t="s">
        <v>4495</v>
      </c>
      <c r="Y103" s="27" t="s">
        <v>4495</v>
      </c>
      <c r="Z103" s="27">
        <v>0.8174948309774762</v>
      </c>
      <c r="AA103" s="27">
        <v>1.0</v>
      </c>
      <c r="AB103" s="27">
        <v>1.0</v>
      </c>
      <c r="AC103" s="27">
        <v>0.5896413811759237</v>
      </c>
      <c r="AD103" s="27">
        <v>0.6133378458619615</v>
      </c>
      <c r="AE103" s="28" t="s">
        <v>4500</v>
      </c>
    </row>
    <row r="104" ht="21.0" customHeight="1">
      <c r="A104" s="10" t="s">
        <v>21</v>
      </c>
      <c r="B104" s="15" t="s">
        <v>1081</v>
      </c>
      <c r="C104" s="12" t="s">
        <v>1082</v>
      </c>
      <c r="D104" s="13">
        <v>42569.0</v>
      </c>
      <c r="E104" s="14">
        <v>2016.0</v>
      </c>
      <c r="F104" s="15" t="s">
        <v>41</v>
      </c>
      <c r="G104" s="15" t="s">
        <v>42</v>
      </c>
      <c r="H104" s="14">
        <v>6.0</v>
      </c>
      <c r="I104" s="14">
        <v>93.0</v>
      </c>
      <c r="J104" s="16"/>
      <c r="K104" s="15" t="s">
        <v>1084</v>
      </c>
      <c r="L104" s="15" t="s">
        <v>1085</v>
      </c>
      <c r="M104" s="17" t="s">
        <v>31</v>
      </c>
      <c r="N104" s="29"/>
      <c r="O104" s="31" t="s">
        <v>1086</v>
      </c>
      <c r="P104" s="14">
        <v>3.0</v>
      </c>
      <c r="Q104" s="14"/>
      <c r="R104" s="14">
        <v>23.0</v>
      </c>
      <c r="S104" s="14"/>
      <c r="T104" s="15" t="s">
        <v>1088</v>
      </c>
      <c r="U104" s="14">
        <v>28.0</v>
      </c>
      <c r="V104" s="14">
        <v>0.027686811551056862</v>
      </c>
      <c r="W104" s="14" t="s">
        <v>4495</v>
      </c>
      <c r="X104" s="14" t="s">
        <v>4495</v>
      </c>
      <c r="Y104" s="18" t="s">
        <v>4495</v>
      </c>
      <c r="Z104" s="18">
        <v>0.24455047616844922</v>
      </c>
      <c r="AA104" s="18" t="s">
        <v>4495</v>
      </c>
      <c r="AB104" s="18">
        <v>1.0</v>
      </c>
      <c r="AC104" s="18">
        <v>0.7846870617692479</v>
      </c>
      <c r="AD104" s="18">
        <v>0.2896063252190371</v>
      </c>
      <c r="AE104" s="19" t="s">
        <v>4497</v>
      </c>
    </row>
    <row r="105" ht="21.0" customHeight="1">
      <c r="A105" s="20" t="s">
        <v>21</v>
      </c>
      <c r="B105" s="21" t="s">
        <v>1158</v>
      </c>
      <c r="C105" s="22" t="s">
        <v>1159</v>
      </c>
      <c r="D105" s="23">
        <v>43977.0</v>
      </c>
      <c r="E105" s="24">
        <v>2020.0</v>
      </c>
      <c r="F105" s="21" t="s">
        <v>41</v>
      </c>
      <c r="G105" s="21" t="s">
        <v>42</v>
      </c>
      <c r="H105" s="24">
        <v>6.0</v>
      </c>
      <c r="I105" s="24">
        <v>104.0</v>
      </c>
      <c r="J105" s="25" t="s">
        <v>1162</v>
      </c>
      <c r="K105" s="21" t="s">
        <v>1163</v>
      </c>
      <c r="L105" s="21" t="s">
        <v>1164</v>
      </c>
      <c r="M105" s="26" t="s">
        <v>59</v>
      </c>
      <c r="N105" s="30" t="s">
        <v>1165</v>
      </c>
      <c r="O105" s="21" t="s">
        <v>1166</v>
      </c>
      <c r="P105" s="24">
        <v>15.0</v>
      </c>
      <c r="Q105" s="24"/>
      <c r="R105" s="24">
        <v>137.0</v>
      </c>
      <c r="S105" s="24"/>
      <c r="T105" s="21" t="s">
        <v>1168</v>
      </c>
      <c r="U105" s="24">
        <v>20.0</v>
      </c>
      <c r="V105" s="24">
        <v>0.05330599692465402</v>
      </c>
      <c r="W105" s="24" t="s">
        <v>4495</v>
      </c>
      <c r="X105" s="24" t="s">
        <v>4495</v>
      </c>
      <c r="Y105" s="27" t="s">
        <v>4495</v>
      </c>
      <c r="Z105" s="27">
        <v>0.8578394190640767</v>
      </c>
      <c r="AA105" s="27" t="s">
        <v>4495</v>
      </c>
      <c r="AB105" s="27">
        <v>1.0</v>
      </c>
      <c r="AC105" s="27">
        <v>0.648752326325584</v>
      </c>
      <c r="AD105" s="27">
        <v>0.42933508739857756</v>
      </c>
      <c r="AE105" s="28" t="s">
        <v>4498</v>
      </c>
    </row>
    <row r="106" ht="21.0" customHeight="1">
      <c r="A106" s="10" t="s">
        <v>21</v>
      </c>
      <c r="B106" s="15" t="s">
        <v>1098</v>
      </c>
      <c r="C106" s="12" t="s">
        <v>1099</v>
      </c>
      <c r="D106" s="13">
        <v>43243.0</v>
      </c>
      <c r="E106" s="14">
        <v>2018.0</v>
      </c>
      <c r="F106" s="15" t="s">
        <v>41</v>
      </c>
      <c r="G106" s="15" t="s">
        <v>42</v>
      </c>
      <c r="H106" s="14">
        <v>6.0</v>
      </c>
      <c r="I106" s="14">
        <v>277.0</v>
      </c>
      <c r="J106" s="16" t="s">
        <v>1102</v>
      </c>
      <c r="K106" s="15" t="s">
        <v>1103</v>
      </c>
      <c r="L106" s="15" t="s">
        <v>1104</v>
      </c>
      <c r="M106" s="17" t="s">
        <v>31</v>
      </c>
      <c r="N106" s="29"/>
      <c r="O106" s="15" t="s">
        <v>1105</v>
      </c>
      <c r="P106" s="14">
        <v>36.0</v>
      </c>
      <c r="Q106" s="14"/>
      <c r="R106" s="14">
        <v>162.0</v>
      </c>
      <c r="S106" s="14"/>
      <c r="T106" s="15" t="s">
        <v>1106</v>
      </c>
      <c r="U106" s="14">
        <v>8.5</v>
      </c>
      <c r="V106" s="14">
        <v>0.10316573556797021</v>
      </c>
      <c r="W106" s="14" t="s">
        <v>4495</v>
      </c>
      <c r="X106" s="14" t="s">
        <v>4495</v>
      </c>
      <c r="Y106" s="18" t="s">
        <v>4495</v>
      </c>
      <c r="Z106" s="18">
        <v>0.9162149510524765</v>
      </c>
      <c r="AA106" s="18" t="s">
        <v>4495</v>
      </c>
      <c r="AB106" s="18">
        <v>1.0</v>
      </c>
      <c r="AC106" s="18">
        <v>0.3146863851457374</v>
      </c>
      <c r="AD106" s="18">
        <v>0.41052237627769284</v>
      </c>
      <c r="AE106" s="19" t="s">
        <v>4497</v>
      </c>
    </row>
    <row r="107" ht="21.0" customHeight="1">
      <c r="A107" s="20" t="s">
        <v>21</v>
      </c>
      <c r="B107" s="21" t="s">
        <v>1108</v>
      </c>
      <c r="C107" s="22" t="s">
        <v>1109</v>
      </c>
      <c r="D107" s="23">
        <v>41852.0</v>
      </c>
      <c r="E107" s="24">
        <v>2014.0</v>
      </c>
      <c r="F107" s="21" t="s">
        <v>41</v>
      </c>
      <c r="G107" s="21" t="s">
        <v>42</v>
      </c>
      <c r="H107" s="24">
        <v>6.0</v>
      </c>
      <c r="I107" s="24">
        <v>214.0</v>
      </c>
      <c r="J107" s="25"/>
      <c r="K107" s="21" t="s">
        <v>1112</v>
      </c>
      <c r="L107" s="21" t="s">
        <v>1113</v>
      </c>
      <c r="M107" s="26" t="s">
        <v>31</v>
      </c>
      <c r="N107" s="30"/>
      <c r="O107" s="32" t="s">
        <v>1114</v>
      </c>
      <c r="P107" s="24">
        <v>17.0</v>
      </c>
      <c r="Q107" s="24"/>
      <c r="R107" s="24">
        <v>130.0</v>
      </c>
      <c r="S107" s="24"/>
      <c r="T107" s="21" t="s">
        <v>1115</v>
      </c>
      <c r="U107" s="24">
        <v>12.0</v>
      </c>
      <c r="V107" s="24">
        <v>0.05250245338567223</v>
      </c>
      <c r="W107" s="24" t="s">
        <v>4495</v>
      </c>
      <c r="X107" s="24" t="s">
        <v>4495</v>
      </c>
      <c r="Y107" s="27" t="s">
        <v>4495</v>
      </c>
      <c r="Z107" s="27">
        <v>0.8395878790200708</v>
      </c>
      <c r="AA107" s="27" t="s">
        <v>4495</v>
      </c>
      <c r="AB107" s="27">
        <v>1.0</v>
      </c>
      <c r="AC107" s="27">
        <v>0.4467820234631535</v>
      </c>
      <c r="AD107" s="27">
        <v>0.4045751721013331</v>
      </c>
      <c r="AE107" s="28" t="s">
        <v>4497</v>
      </c>
    </row>
    <row r="108" ht="21.0" customHeight="1">
      <c r="A108" s="10" t="s">
        <v>21</v>
      </c>
      <c r="B108" s="15" t="s">
        <v>1254</v>
      </c>
      <c r="C108" s="12" t="s">
        <v>1255</v>
      </c>
      <c r="D108" s="13">
        <v>44611.0</v>
      </c>
      <c r="E108" s="14">
        <v>2022.0</v>
      </c>
      <c r="F108" s="15" t="s">
        <v>41</v>
      </c>
      <c r="G108" s="15" t="s">
        <v>42</v>
      </c>
      <c r="H108" s="14">
        <v>6.0</v>
      </c>
      <c r="I108" s="14">
        <v>98.0</v>
      </c>
      <c r="J108" s="16"/>
      <c r="K108" s="15" t="s">
        <v>1257</v>
      </c>
      <c r="L108" s="15" t="s">
        <v>1258</v>
      </c>
      <c r="M108" s="17" t="s">
        <v>59</v>
      </c>
      <c r="N108" s="29" t="s">
        <v>1259</v>
      </c>
      <c r="O108" s="15" t="s">
        <v>1260</v>
      </c>
      <c r="P108" s="14"/>
      <c r="Q108" s="14"/>
      <c r="R108" s="14">
        <v>125.0</v>
      </c>
      <c r="S108" s="14">
        <v>2022.0</v>
      </c>
      <c r="T108" s="15" t="s">
        <v>1262</v>
      </c>
      <c r="U108" s="14">
        <v>12.6666666666666</v>
      </c>
      <c r="V108" s="14">
        <v>0.07441154138192863</v>
      </c>
      <c r="W108" s="14">
        <v>0.0</v>
      </c>
      <c r="X108" s="14" t="s">
        <v>4495</v>
      </c>
      <c r="Y108" s="18" t="s">
        <v>4495</v>
      </c>
      <c r="Z108" s="18">
        <v>0.8259437008385514</v>
      </c>
      <c r="AA108" s="18">
        <v>1.0</v>
      </c>
      <c r="AB108" s="18">
        <v>1.0</v>
      </c>
      <c r="AC108" s="18">
        <v>0.46784371396551677</v>
      </c>
      <c r="AD108" s="18">
        <v>0.6032702966061896</v>
      </c>
      <c r="AE108" s="19" t="s">
        <v>4498</v>
      </c>
    </row>
    <row r="109" ht="21.0" customHeight="1">
      <c r="A109" s="20" t="s">
        <v>21</v>
      </c>
      <c r="B109" s="21" t="s">
        <v>1127</v>
      </c>
      <c r="C109" s="22" t="s">
        <v>1128</v>
      </c>
      <c r="D109" s="23"/>
      <c r="E109" s="24"/>
      <c r="F109" s="21" t="s">
        <v>26</v>
      </c>
      <c r="H109" s="24">
        <v>6.0</v>
      </c>
      <c r="I109" s="24">
        <v>84.0</v>
      </c>
      <c r="J109" s="25"/>
      <c r="K109" s="21" t="s">
        <v>1129</v>
      </c>
      <c r="M109" s="26" t="s">
        <v>31</v>
      </c>
      <c r="N109" s="30"/>
      <c r="P109" s="24"/>
      <c r="Q109" s="24"/>
      <c r="R109" s="24">
        <v>30.0</v>
      </c>
      <c r="S109" s="24"/>
      <c r="T109" s="21" t="s">
        <v>1130</v>
      </c>
      <c r="U109" s="24">
        <v>28.0</v>
      </c>
      <c r="V109" s="24" t="s">
        <v>4495</v>
      </c>
      <c r="W109" s="24" t="s">
        <v>4495</v>
      </c>
      <c r="X109" s="24" t="s">
        <v>4495</v>
      </c>
      <c r="Y109" s="27" t="s">
        <v>4495</v>
      </c>
      <c r="Z109" s="27">
        <v>0.33428356644099017</v>
      </c>
      <c r="AA109" s="27" t="s">
        <v>4495</v>
      </c>
      <c r="AB109" s="27" t="s">
        <v>4495</v>
      </c>
      <c r="AC109" s="27">
        <v>0.7846870617692479</v>
      </c>
      <c r="AD109" s="27">
        <v>0.16203959778717233</v>
      </c>
      <c r="AE109" s="28" t="s">
        <v>4497</v>
      </c>
    </row>
    <row r="110" ht="21.0" customHeight="1">
      <c r="A110" s="10" t="s">
        <v>21</v>
      </c>
      <c r="B110" s="15" t="s">
        <v>1131</v>
      </c>
      <c r="C110" s="12" t="s">
        <v>1132</v>
      </c>
      <c r="D110" s="13">
        <v>43282.0</v>
      </c>
      <c r="E110" s="14">
        <v>2018.0</v>
      </c>
      <c r="F110" s="15" t="s">
        <v>118</v>
      </c>
      <c r="G110" s="15" t="s">
        <v>42</v>
      </c>
      <c r="H110" s="14">
        <v>6.0</v>
      </c>
      <c r="I110" s="14">
        <v>35.0</v>
      </c>
      <c r="J110" s="16" t="s">
        <v>1134</v>
      </c>
      <c r="K110" s="15" t="s">
        <v>1135</v>
      </c>
      <c r="L110" s="15" t="s">
        <v>1136</v>
      </c>
      <c r="M110" s="17" t="s">
        <v>31</v>
      </c>
      <c r="N110" s="16"/>
      <c r="O110" s="15" t="s">
        <v>1137</v>
      </c>
      <c r="P110" s="14">
        <v>6.0</v>
      </c>
      <c r="Q110" s="14"/>
      <c r="R110" s="14">
        <v>28.0</v>
      </c>
      <c r="S110" s="14"/>
      <c r="T110" s="15" t="s">
        <v>1138</v>
      </c>
      <c r="U110" s="14">
        <v>11.75</v>
      </c>
      <c r="V110" s="14">
        <v>0.013227513227513227</v>
      </c>
      <c r="W110" s="14" t="s">
        <v>4495</v>
      </c>
      <c r="X110" s="14" t="s">
        <v>4495</v>
      </c>
      <c r="Y110" s="18" t="s">
        <v>4495</v>
      </c>
      <c r="Z110" s="18">
        <v>0.31090082806830316</v>
      </c>
      <c r="AA110" s="18" t="s">
        <v>4495</v>
      </c>
      <c r="AB110" s="18">
        <v>1.0</v>
      </c>
      <c r="AC110" s="18">
        <v>0.4386041735316566</v>
      </c>
      <c r="AD110" s="18">
        <v>0.2715856243702414</v>
      </c>
      <c r="AE110" s="19" t="s">
        <v>4497</v>
      </c>
    </row>
    <row r="111" ht="21.0" customHeight="1">
      <c r="A111" s="20" t="s">
        <v>21</v>
      </c>
      <c r="B111" s="21" t="s">
        <v>1209</v>
      </c>
      <c r="C111" s="22" t="s">
        <v>1210</v>
      </c>
      <c r="D111" s="23">
        <v>44860.0</v>
      </c>
      <c r="E111" s="24">
        <v>2022.0</v>
      </c>
      <c r="F111" s="21" t="s">
        <v>41</v>
      </c>
      <c r="G111" s="21" t="s">
        <v>42</v>
      </c>
      <c r="H111" s="24">
        <v>6.0</v>
      </c>
      <c r="I111" s="24">
        <v>80.0</v>
      </c>
      <c r="J111" s="25" t="s">
        <v>1212</v>
      </c>
      <c r="K111" s="21" t="s">
        <v>1213</v>
      </c>
      <c r="L111" s="21" t="s">
        <v>1214</v>
      </c>
      <c r="M111" s="26" t="s">
        <v>59</v>
      </c>
      <c r="N111" s="30" t="s">
        <v>1215</v>
      </c>
      <c r="O111" s="21" t="s">
        <v>1216</v>
      </c>
      <c r="P111" s="24">
        <v>24.0</v>
      </c>
      <c r="Q111" s="24"/>
      <c r="R111" s="24">
        <v>144.0</v>
      </c>
      <c r="S111" s="24">
        <v>2022.0</v>
      </c>
      <c r="T111" s="21" t="s">
        <v>1218</v>
      </c>
      <c r="U111" s="24">
        <v>10.3333333333333</v>
      </c>
      <c r="V111" s="24">
        <v>0.0749063670411985</v>
      </c>
      <c r="W111" s="24">
        <v>0.0</v>
      </c>
      <c r="X111" s="24" t="s">
        <v>4495</v>
      </c>
      <c r="Y111" s="27" t="s">
        <v>4495</v>
      </c>
      <c r="Z111" s="27">
        <v>0.8751876780008897</v>
      </c>
      <c r="AA111" s="27">
        <v>1.0</v>
      </c>
      <c r="AB111" s="27">
        <v>1.0</v>
      </c>
      <c r="AC111" s="27">
        <v>0.38900031467747265</v>
      </c>
      <c r="AD111" s="27">
        <v>0.6076969509679697</v>
      </c>
      <c r="AE111" s="28" t="s">
        <v>4498</v>
      </c>
    </row>
    <row r="112" ht="21.0" customHeight="1">
      <c r="A112" s="10" t="s">
        <v>21</v>
      </c>
      <c r="B112" s="15" t="s">
        <v>1150</v>
      </c>
      <c r="C112" s="12" t="s">
        <v>1151</v>
      </c>
      <c r="D112" s="13">
        <v>43435.0</v>
      </c>
      <c r="E112" s="14">
        <v>2018.0</v>
      </c>
      <c r="F112" s="15" t="s">
        <v>26</v>
      </c>
      <c r="G112" s="15" t="s">
        <v>42</v>
      </c>
      <c r="H112" s="14">
        <v>6.0</v>
      </c>
      <c r="I112" s="14">
        <v>107.0</v>
      </c>
      <c r="J112" s="16" t="s">
        <v>1152</v>
      </c>
      <c r="K112" s="15" t="s">
        <v>1153</v>
      </c>
      <c r="L112" s="15" t="s">
        <v>1154</v>
      </c>
      <c r="M112" s="17" t="s">
        <v>31</v>
      </c>
      <c r="N112" s="29"/>
      <c r="O112" s="15" t="s">
        <v>1155</v>
      </c>
      <c r="P112" s="14">
        <v>4.0</v>
      </c>
      <c r="Q112" s="14"/>
      <c r="R112" s="14">
        <v>13.0</v>
      </c>
      <c r="S112" s="14"/>
      <c r="T112" s="15" t="s">
        <v>1156</v>
      </c>
      <c r="U112" s="14">
        <v>4.33333333333333</v>
      </c>
      <c r="V112" s="14">
        <v>0.04292017649418371</v>
      </c>
      <c r="W112" s="14" t="s">
        <v>4495</v>
      </c>
      <c r="X112" s="14" t="s">
        <v>4495</v>
      </c>
      <c r="Y112" s="18" t="s">
        <v>4495</v>
      </c>
      <c r="Z112" s="18">
        <v>0.055572302376616874</v>
      </c>
      <c r="AA112" s="18" t="s">
        <v>4495</v>
      </c>
      <c r="AB112" s="18">
        <v>1.0</v>
      </c>
      <c r="AC112" s="18">
        <v>0.07155230626969915</v>
      </c>
      <c r="AD112" s="18">
        <v>0.17104830622112413</v>
      </c>
      <c r="AE112" s="19" t="s">
        <v>4497</v>
      </c>
    </row>
    <row r="113" ht="21.0" customHeight="1">
      <c r="A113" s="20" t="s">
        <v>21</v>
      </c>
      <c r="B113" s="21" t="s">
        <v>1185</v>
      </c>
      <c r="C113" s="22" t="s">
        <v>1186</v>
      </c>
      <c r="D113" s="23">
        <v>43665.0</v>
      </c>
      <c r="E113" s="24">
        <v>2019.0</v>
      </c>
      <c r="F113" s="21" t="s">
        <v>41</v>
      </c>
      <c r="G113" s="21" t="s">
        <v>42</v>
      </c>
      <c r="H113" s="24">
        <v>6.0</v>
      </c>
      <c r="I113" s="24">
        <v>210.0</v>
      </c>
      <c r="J113" s="25" t="s">
        <v>1189</v>
      </c>
      <c r="K113" s="21" t="s">
        <v>1190</v>
      </c>
      <c r="L113" s="21" t="s">
        <v>1191</v>
      </c>
      <c r="M113" s="26" t="s">
        <v>59</v>
      </c>
      <c r="N113" s="30" t="s">
        <v>1192</v>
      </c>
      <c r="P113" s="24"/>
      <c r="Q113" s="24"/>
      <c r="R113" s="24">
        <v>89.0</v>
      </c>
      <c r="S113" s="24">
        <v>2019.0</v>
      </c>
      <c r="T113" s="21" t="s">
        <v>1194</v>
      </c>
      <c r="U113" s="24">
        <v>4.0</v>
      </c>
      <c r="V113" s="24">
        <v>0.09279717189571365</v>
      </c>
      <c r="W113" s="24">
        <v>0.0</v>
      </c>
      <c r="X113" s="24" t="s">
        <v>4495</v>
      </c>
      <c r="Y113" s="27" t="s">
        <v>4495</v>
      </c>
      <c r="Z113" s="27">
        <v>0.7079727887419157</v>
      </c>
      <c r="AA113" s="27">
        <v>1.0</v>
      </c>
      <c r="AB113" s="27">
        <v>1.0</v>
      </c>
      <c r="AC113" s="27">
        <v>0.044372163770186025</v>
      </c>
      <c r="AD113" s="27">
        <v>0.5314304135624975</v>
      </c>
      <c r="AE113" s="28" t="s">
        <v>4498</v>
      </c>
    </row>
    <row r="114" ht="21.0" customHeight="1">
      <c r="A114" s="10" t="s">
        <v>21</v>
      </c>
      <c r="B114" s="15" t="s">
        <v>1169</v>
      </c>
      <c r="C114" s="12" t="s">
        <v>1170</v>
      </c>
      <c r="D114" s="13">
        <v>44256.0</v>
      </c>
      <c r="E114" s="14">
        <v>2021.0</v>
      </c>
      <c r="F114" s="15" t="s">
        <v>41</v>
      </c>
      <c r="G114" s="15" t="s">
        <v>1119</v>
      </c>
      <c r="H114" s="14">
        <v>6.0</v>
      </c>
      <c r="I114" s="14">
        <v>163.0</v>
      </c>
      <c r="J114" s="16" t="s">
        <v>1172</v>
      </c>
      <c r="K114" s="15" t="s">
        <v>1173</v>
      </c>
      <c r="L114" s="15" t="s">
        <v>1174</v>
      </c>
      <c r="M114" s="17" t="s">
        <v>59</v>
      </c>
      <c r="N114" s="29" t="s">
        <v>1175</v>
      </c>
      <c r="P114" s="14"/>
      <c r="Q114" s="14"/>
      <c r="R114" s="14">
        <v>147.0</v>
      </c>
      <c r="S114" s="14">
        <v>2021.0</v>
      </c>
      <c r="T114" s="15" t="s">
        <v>1176</v>
      </c>
      <c r="U114" s="14">
        <v>18.8333333333333</v>
      </c>
      <c r="V114" s="14">
        <v>0.09748803827751196</v>
      </c>
      <c r="W114" s="14">
        <v>0.0</v>
      </c>
      <c r="X114" s="14" t="s">
        <v>4495</v>
      </c>
      <c r="Y114" s="18" t="s">
        <v>4495</v>
      </c>
      <c r="Z114" s="18">
        <v>0.882367679076927</v>
      </c>
      <c r="AA114" s="18">
        <v>1.0</v>
      </c>
      <c r="AB114" s="18">
        <v>1.0</v>
      </c>
      <c r="AC114" s="18">
        <v>0.6246802867772283</v>
      </c>
      <c r="AD114" s="18">
        <v>0.6330599484469546</v>
      </c>
      <c r="AE114" s="19" t="s">
        <v>4498</v>
      </c>
    </row>
    <row r="115" ht="21.0" customHeight="1">
      <c r="A115" s="20" t="s">
        <v>21</v>
      </c>
      <c r="B115" s="21" t="s">
        <v>1178</v>
      </c>
      <c r="C115" s="22" t="s">
        <v>1179</v>
      </c>
      <c r="D115" s="23">
        <v>42795.0</v>
      </c>
      <c r="E115" s="24">
        <v>2017.0</v>
      </c>
      <c r="F115" s="21" t="s">
        <v>41</v>
      </c>
      <c r="G115" s="21" t="s">
        <v>42</v>
      </c>
      <c r="H115" s="24">
        <v>6.0</v>
      </c>
      <c r="I115" s="24">
        <v>213.0</v>
      </c>
      <c r="J115" s="25"/>
      <c r="K115" s="21" t="s">
        <v>1181</v>
      </c>
      <c r="L115" s="21" t="s">
        <v>1182</v>
      </c>
      <c r="M115" s="26" t="s">
        <v>31</v>
      </c>
      <c r="N115" s="30"/>
      <c r="O115" s="21" t="s">
        <v>1183</v>
      </c>
      <c r="P115" s="24">
        <v>18.0</v>
      </c>
      <c r="Q115" s="24"/>
      <c r="R115" s="24">
        <v>73.0</v>
      </c>
      <c r="S115" s="24"/>
      <c r="T115" s="21" t="s">
        <v>1184</v>
      </c>
      <c r="U115" s="24">
        <v>22.5</v>
      </c>
      <c r="V115" s="24">
        <v>0.06798595595276093</v>
      </c>
      <c r="W115" s="24" t="s">
        <v>4495</v>
      </c>
      <c r="X115" s="24" t="s">
        <v>4495</v>
      </c>
      <c r="Y115" s="27" t="s">
        <v>4495</v>
      </c>
      <c r="Z115" s="27">
        <v>0.6393425607818833</v>
      </c>
      <c r="AA115" s="27" t="s">
        <v>4495</v>
      </c>
      <c r="AB115" s="27">
        <v>1.0</v>
      </c>
      <c r="AC115" s="27">
        <v>0.6961219834498715</v>
      </c>
      <c r="AD115" s="27">
        <v>0.379447838540458</v>
      </c>
      <c r="AE115" s="28" t="s">
        <v>4497</v>
      </c>
    </row>
    <row r="116" ht="21.0" customHeight="1">
      <c r="A116" s="10" t="s">
        <v>21</v>
      </c>
      <c r="B116" s="15" t="s">
        <v>1089</v>
      </c>
      <c r="C116" s="12" t="s">
        <v>1090</v>
      </c>
      <c r="D116" s="13"/>
      <c r="E116" s="14"/>
      <c r="F116" s="15" t="s">
        <v>41</v>
      </c>
      <c r="G116" s="15" t="s">
        <v>42</v>
      </c>
      <c r="H116" s="14">
        <v>6.0</v>
      </c>
      <c r="I116" s="14">
        <v>217.0</v>
      </c>
      <c r="J116" s="16" t="s">
        <v>1091</v>
      </c>
      <c r="K116" s="15" t="s">
        <v>1092</v>
      </c>
      <c r="L116" s="15" t="s">
        <v>1093</v>
      </c>
      <c r="M116" s="17" t="s">
        <v>59</v>
      </c>
      <c r="N116" s="29" t="s">
        <v>1094</v>
      </c>
      <c r="O116" s="15" t="s">
        <v>1095</v>
      </c>
      <c r="P116" s="14">
        <v>28.0</v>
      </c>
      <c r="Q116" s="14"/>
      <c r="R116" s="14">
        <v>218.0</v>
      </c>
      <c r="S116" s="14">
        <v>2020.0</v>
      </c>
      <c r="T116" s="15" t="s">
        <v>1096</v>
      </c>
      <c r="U116" s="14">
        <v>33.8571428571428</v>
      </c>
      <c r="V116" s="14" t="s">
        <v>4495</v>
      </c>
      <c r="W116" s="14" t="s">
        <v>4495</v>
      </c>
      <c r="X116" s="14" t="s">
        <v>4495</v>
      </c>
      <c r="Y116" s="18" t="s">
        <v>4495</v>
      </c>
      <c r="Z116" s="18">
        <v>1.0</v>
      </c>
      <c r="AA116" s="18" t="s">
        <v>4495</v>
      </c>
      <c r="AB116" s="18" t="s">
        <v>4495</v>
      </c>
      <c r="AC116" s="18">
        <v>0.862162032988152</v>
      </c>
      <c r="AD116" s="18">
        <v>0.3362162032988152</v>
      </c>
      <c r="AE116" s="19" t="s">
        <v>4498</v>
      </c>
    </row>
    <row r="117" ht="21.0" customHeight="1">
      <c r="A117" s="20" t="s">
        <v>21</v>
      </c>
      <c r="B117" s="21" t="s">
        <v>1140</v>
      </c>
      <c r="C117" s="22" t="s">
        <v>1141</v>
      </c>
      <c r="D117" s="23"/>
      <c r="E117" s="24"/>
      <c r="F117" s="21" t="s">
        <v>41</v>
      </c>
      <c r="G117" s="21" t="s">
        <v>42</v>
      </c>
      <c r="H117" s="24">
        <v>6.0</v>
      </c>
      <c r="I117" s="24">
        <v>134.0</v>
      </c>
      <c r="J117" s="25" t="s">
        <v>1142</v>
      </c>
      <c r="K117" s="21" t="s">
        <v>1143</v>
      </c>
      <c r="L117" s="21" t="s">
        <v>1144</v>
      </c>
      <c r="M117" s="26" t="s">
        <v>59</v>
      </c>
      <c r="N117" s="25" t="s">
        <v>1145</v>
      </c>
      <c r="O117" s="21" t="s">
        <v>1146</v>
      </c>
      <c r="P117" s="24">
        <v>21.0</v>
      </c>
      <c r="Q117" s="24"/>
      <c r="R117" s="24">
        <v>113.0</v>
      </c>
      <c r="S117" s="24">
        <v>2021.0</v>
      </c>
      <c r="T117" s="21" t="s">
        <v>1148</v>
      </c>
      <c r="U117" s="24">
        <v>44.0</v>
      </c>
      <c r="V117" s="24" t="s">
        <v>4495</v>
      </c>
      <c r="W117" s="24" t="s">
        <v>4495</v>
      </c>
      <c r="X117" s="24" t="s">
        <v>4495</v>
      </c>
      <c r="Y117" s="27" t="s">
        <v>4495</v>
      </c>
      <c r="Z117" s="27">
        <v>0.79085332604176</v>
      </c>
      <c r="AA117" s="27" t="s">
        <v>4495</v>
      </c>
      <c r="AB117" s="27" t="s">
        <v>4495</v>
      </c>
      <c r="AC117" s="27">
        <v>0.969724589930209</v>
      </c>
      <c r="AD117" s="27">
        <v>0.2946857905034609</v>
      </c>
      <c r="AE117" s="28" t="s">
        <v>4498</v>
      </c>
    </row>
    <row r="118" ht="21.0" customHeight="1">
      <c r="A118" s="10" t="s">
        <v>21</v>
      </c>
      <c r="B118" s="15" t="s">
        <v>1203</v>
      </c>
      <c r="C118" s="12" t="s">
        <v>1204</v>
      </c>
      <c r="D118" s="13"/>
      <c r="E118" s="14"/>
      <c r="F118" s="15" t="s">
        <v>41</v>
      </c>
      <c r="G118" s="15" t="s">
        <v>42</v>
      </c>
      <c r="H118" s="14">
        <v>6.0</v>
      </c>
      <c r="I118" s="14">
        <v>76.0</v>
      </c>
      <c r="J118" s="16"/>
      <c r="K118" s="15" t="s">
        <v>1205</v>
      </c>
      <c r="L118" s="15" t="s">
        <v>1206</v>
      </c>
      <c r="M118" s="17" t="s">
        <v>31</v>
      </c>
      <c r="N118" s="16"/>
      <c r="O118" s="15" t="s">
        <v>1207</v>
      </c>
      <c r="P118" s="14">
        <v>4.0</v>
      </c>
      <c r="Q118" s="14"/>
      <c r="R118" s="14">
        <v>3.0</v>
      </c>
      <c r="S118" s="14"/>
      <c r="T118" s="15" t="s">
        <v>1208</v>
      </c>
      <c r="U118" s="14">
        <v>26.0</v>
      </c>
      <c r="V118" s="14" t="s">
        <v>4495</v>
      </c>
      <c r="W118" s="14" t="s">
        <v>4495</v>
      </c>
      <c r="X118" s="14" t="s">
        <v>4495</v>
      </c>
      <c r="Y118" s="18" t="s">
        <v>4495</v>
      </c>
      <c r="Z118" s="18">
        <v>0.0</v>
      </c>
      <c r="AA118" s="18" t="s">
        <v>4495</v>
      </c>
      <c r="AB118" s="18" t="s">
        <v>4495</v>
      </c>
      <c r="AC118" s="18">
        <v>0.7545924021819583</v>
      </c>
      <c r="AD118" s="18">
        <v>0.07545924021819583</v>
      </c>
      <c r="AE118" s="19" t="s">
        <v>4497</v>
      </c>
    </row>
    <row r="119" ht="21.0" customHeight="1">
      <c r="A119" s="20" t="s">
        <v>21</v>
      </c>
      <c r="B119" s="21" t="s">
        <v>1060</v>
      </c>
      <c r="C119" s="22" t="s">
        <v>1061</v>
      </c>
      <c r="D119" s="23">
        <v>42821.0</v>
      </c>
      <c r="E119" s="24">
        <v>2017.0</v>
      </c>
      <c r="F119" s="21" t="s">
        <v>41</v>
      </c>
      <c r="G119" s="21" t="s">
        <v>42</v>
      </c>
      <c r="H119" s="24">
        <v>7.0</v>
      </c>
      <c r="I119" s="24">
        <v>176.0</v>
      </c>
      <c r="J119" s="25" t="s">
        <v>1063</v>
      </c>
      <c r="K119" s="21" t="s">
        <v>1064</v>
      </c>
      <c r="L119" s="21" t="s">
        <v>1065</v>
      </c>
      <c r="M119" s="26" t="s">
        <v>59</v>
      </c>
      <c r="N119" s="25" t="s">
        <v>1066</v>
      </c>
      <c r="O119" s="21" t="s">
        <v>999</v>
      </c>
      <c r="P119" s="24"/>
      <c r="Q119" s="24"/>
      <c r="R119" s="24">
        <v>85.0</v>
      </c>
      <c r="S119" s="24">
        <v>2017.0</v>
      </c>
      <c r="T119" s="21" t="s">
        <v>1068</v>
      </c>
      <c r="U119" s="24">
        <v>14.4285714285714</v>
      </c>
      <c r="V119" s="24">
        <v>0.05664628258770518</v>
      </c>
      <c r="W119" s="24">
        <v>0.0</v>
      </c>
      <c r="X119" s="24" t="s">
        <v>4495</v>
      </c>
      <c r="Y119" s="27" t="s">
        <v>4495</v>
      </c>
      <c r="Z119" s="27">
        <v>0.6920331742590979</v>
      </c>
      <c r="AA119" s="27">
        <v>1.0</v>
      </c>
      <c r="AB119" s="27">
        <v>1.0</v>
      </c>
      <c r="AC119" s="27">
        <v>0.5189124300822024</v>
      </c>
      <c r="AD119" s="27">
        <v>0.5748995365729948</v>
      </c>
      <c r="AE119" s="28" t="s">
        <v>4498</v>
      </c>
    </row>
    <row r="120" ht="21.0" customHeight="1">
      <c r="A120" s="10" t="s">
        <v>21</v>
      </c>
      <c r="B120" s="15" t="s">
        <v>1220</v>
      </c>
      <c r="C120" s="12" t="s">
        <v>1221</v>
      </c>
      <c r="D120" s="13">
        <v>40817.0</v>
      </c>
      <c r="E120" s="14">
        <v>2011.0</v>
      </c>
      <c r="F120" s="15" t="s">
        <v>41</v>
      </c>
      <c r="G120" s="15" t="s">
        <v>42</v>
      </c>
      <c r="H120" s="14">
        <v>6.0</v>
      </c>
      <c r="I120" s="14">
        <v>160.0</v>
      </c>
      <c r="J120" s="16"/>
      <c r="K120" s="15" t="s">
        <v>1224</v>
      </c>
      <c r="L120" s="15" t="s">
        <v>1225</v>
      </c>
      <c r="M120" s="17" t="s">
        <v>31</v>
      </c>
      <c r="N120" s="29"/>
      <c r="O120" s="15" t="s">
        <v>1226</v>
      </c>
      <c r="P120" s="14">
        <v>17.0</v>
      </c>
      <c r="Q120" s="14"/>
      <c r="R120" s="14">
        <v>72.0</v>
      </c>
      <c r="S120" s="14"/>
      <c r="T120" s="15" t="s">
        <v>1228</v>
      </c>
      <c r="U120" s="14">
        <v>10.0</v>
      </c>
      <c r="V120" s="14">
        <v>0.03130502837018196</v>
      </c>
      <c r="W120" s="14" t="s">
        <v>4495</v>
      </c>
      <c r="X120" s="14" t="s">
        <v>4495</v>
      </c>
      <c r="Y120" s="18" t="s">
        <v>4495</v>
      </c>
      <c r="Z120" s="18">
        <v>0.6345722676997336</v>
      </c>
      <c r="AA120" s="18" t="s">
        <v>4495</v>
      </c>
      <c r="AB120" s="18">
        <v>1.0</v>
      </c>
      <c r="AC120" s="18">
        <v>0.37642785751330293</v>
      </c>
      <c r="AD120" s="18">
        <v>0.34628585267626366</v>
      </c>
      <c r="AE120" s="19" t="s">
        <v>4497</v>
      </c>
    </row>
    <row r="121" ht="21.0" customHeight="1">
      <c r="A121" s="20" t="s">
        <v>21</v>
      </c>
      <c r="B121" s="21" t="s">
        <v>1229</v>
      </c>
      <c r="C121" s="22" t="s">
        <v>1230</v>
      </c>
      <c r="D121" s="23">
        <v>41244.0</v>
      </c>
      <c r="E121" s="24">
        <v>2012.0</v>
      </c>
      <c r="F121" s="21" t="s">
        <v>118</v>
      </c>
      <c r="G121" s="21" t="s">
        <v>232</v>
      </c>
      <c r="H121" s="24">
        <v>6.0</v>
      </c>
      <c r="I121" s="24">
        <v>106.0</v>
      </c>
      <c r="J121" s="25"/>
      <c r="K121" s="21" t="s">
        <v>1232</v>
      </c>
      <c r="L121" s="21" t="s">
        <v>1233</v>
      </c>
      <c r="M121" s="26" t="s">
        <v>59</v>
      </c>
      <c r="N121" s="25" t="s">
        <v>1234</v>
      </c>
      <c r="O121" s="21" t="s">
        <v>1235</v>
      </c>
      <c r="P121" s="24">
        <v>6.0</v>
      </c>
      <c r="Q121" s="24"/>
      <c r="R121" s="24">
        <v>14.0</v>
      </c>
      <c r="S121" s="24"/>
      <c r="T121" s="21" t="s">
        <v>1236</v>
      </c>
      <c r="U121" s="24">
        <v>25.2857142857142</v>
      </c>
      <c r="V121" s="24">
        <v>0.022630230572160546</v>
      </c>
      <c r="W121" s="24" t="s">
        <v>4495</v>
      </c>
      <c r="X121" s="24" t="s">
        <v>4495</v>
      </c>
      <c r="Y121" s="27" t="s">
        <v>4495</v>
      </c>
      <c r="Z121" s="27">
        <v>0.07976197121590477</v>
      </c>
      <c r="AA121" s="27" t="s">
        <v>4495</v>
      </c>
      <c r="AB121" s="27">
        <v>1.0</v>
      </c>
      <c r="AC121" s="27">
        <v>0.7433009473228254</v>
      </c>
      <c r="AD121" s="27">
        <v>0.24427058753625874</v>
      </c>
      <c r="AE121" s="28" t="s">
        <v>4499</v>
      </c>
    </row>
    <row r="122" ht="21.0" customHeight="1">
      <c r="A122" s="10" t="s">
        <v>21</v>
      </c>
      <c r="B122" s="15" t="s">
        <v>1238</v>
      </c>
      <c r="C122" s="12" t="s">
        <v>1239</v>
      </c>
      <c r="D122" s="13">
        <v>43775.0</v>
      </c>
      <c r="E122" s="14">
        <v>2019.0</v>
      </c>
      <c r="F122" s="15" t="s">
        <v>41</v>
      </c>
      <c r="G122" s="15" t="s">
        <v>42</v>
      </c>
      <c r="H122" s="14">
        <v>6.0</v>
      </c>
      <c r="I122" s="14">
        <v>72.0</v>
      </c>
      <c r="J122" s="16" t="s">
        <v>1241</v>
      </c>
      <c r="K122" s="15" t="s">
        <v>1242</v>
      </c>
      <c r="L122" s="15" t="s">
        <v>1243</v>
      </c>
      <c r="M122" s="17" t="s">
        <v>31</v>
      </c>
      <c r="N122" s="29"/>
      <c r="P122" s="14"/>
      <c r="Q122" s="14"/>
      <c r="R122" s="14">
        <v>178.0</v>
      </c>
      <c r="S122" s="14">
        <v>2019.0</v>
      </c>
      <c r="T122" s="15" t="s">
        <v>1245</v>
      </c>
      <c r="U122" s="14">
        <v>8.0</v>
      </c>
      <c r="V122" s="14">
        <v>0.03344170924291686</v>
      </c>
      <c r="W122" s="14">
        <v>0.0</v>
      </c>
      <c r="X122" s="14" t="s">
        <v>4495</v>
      </c>
      <c r="Y122" s="18" t="s">
        <v>4495</v>
      </c>
      <c r="Z122" s="18">
        <v>0.949044636620311</v>
      </c>
      <c r="AA122" s="18">
        <v>1.0</v>
      </c>
      <c r="AB122" s="18">
        <v>1.0</v>
      </c>
      <c r="AC122" s="18">
        <v>0.29191618910194683</v>
      </c>
      <c r="AD122" s="18">
        <v>0.6164527780652725</v>
      </c>
      <c r="AE122" s="19" t="s">
        <v>4497</v>
      </c>
    </row>
    <row r="123" ht="21.0" customHeight="1">
      <c r="A123" s="20" t="s">
        <v>21</v>
      </c>
      <c r="B123" s="21" t="s">
        <v>1246</v>
      </c>
      <c r="C123" s="22" t="s">
        <v>1247</v>
      </c>
      <c r="D123" s="23">
        <v>41374.0</v>
      </c>
      <c r="E123" s="24">
        <v>2013.0</v>
      </c>
      <c r="F123" s="21" t="s">
        <v>622</v>
      </c>
      <c r="G123" s="21" t="s">
        <v>42</v>
      </c>
      <c r="H123" s="24">
        <v>6.0</v>
      </c>
      <c r="I123" s="24">
        <v>77.0</v>
      </c>
      <c r="J123" s="25"/>
      <c r="K123" s="21" t="s">
        <v>1249</v>
      </c>
      <c r="L123" s="21" t="s">
        <v>1250</v>
      </c>
      <c r="M123" s="26" t="s">
        <v>31</v>
      </c>
      <c r="N123" s="30"/>
      <c r="O123" s="21" t="s">
        <v>1251</v>
      </c>
      <c r="P123" s="24">
        <v>6.0</v>
      </c>
      <c r="Q123" s="24"/>
      <c r="R123" s="24">
        <v>30.0</v>
      </c>
      <c r="S123" s="24"/>
      <c r="T123" s="21" t="s">
        <v>1252</v>
      </c>
      <c r="U123" s="24">
        <v>2.66666666666666</v>
      </c>
      <c r="V123" s="24">
        <v>0.016908212560386472</v>
      </c>
      <c r="W123" s="24" t="s">
        <v>4495</v>
      </c>
      <c r="X123" s="24" t="s">
        <v>4495</v>
      </c>
      <c r="Y123" s="27" t="s">
        <v>4495</v>
      </c>
      <c r="Z123" s="27">
        <v>0.33428356644099017</v>
      </c>
      <c r="AA123" s="27" t="s">
        <v>4495</v>
      </c>
      <c r="AB123" s="27">
        <v>1.0</v>
      </c>
      <c r="AC123" s="27">
        <v>0.0</v>
      </c>
      <c r="AD123" s="27">
        <v>0.23357089161024752</v>
      </c>
      <c r="AE123" s="28" t="s">
        <v>4497</v>
      </c>
    </row>
    <row r="124" ht="21.0" customHeight="1">
      <c r="A124" s="10" t="s">
        <v>21</v>
      </c>
      <c r="B124" s="15" t="s">
        <v>1029</v>
      </c>
      <c r="C124" s="12" t="s">
        <v>1030</v>
      </c>
      <c r="D124" s="13">
        <v>43879.0</v>
      </c>
      <c r="E124" s="14">
        <v>2020.0</v>
      </c>
      <c r="F124" s="15" t="s">
        <v>41</v>
      </c>
      <c r="G124" s="15" t="s">
        <v>42</v>
      </c>
      <c r="H124" s="14">
        <v>7.0</v>
      </c>
      <c r="I124" s="14">
        <v>148.0</v>
      </c>
      <c r="J124" s="16" t="s">
        <v>1033</v>
      </c>
      <c r="K124" s="15" t="s">
        <v>1034</v>
      </c>
      <c r="L124" s="15" t="s">
        <v>1035</v>
      </c>
      <c r="M124" s="17" t="s">
        <v>59</v>
      </c>
      <c r="N124" s="16" t="s">
        <v>1036</v>
      </c>
      <c r="O124" s="15" t="s">
        <v>1037</v>
      </c>
      <c r="P124" s="14">
        <v>17.0</v>
      </c>
      <c r="Q124" s="14"/>
      <c r="R124" s="14">
        <v>69.0</v>
      </c>
      <c r="S124" s="14">
        <v>2020.0</v>
      </c>
      <c r="T124" s="15" t="s">
        <v>1038</v>
      </c>
      <c r="U124" s="14">
        <v>7.5</v>
      </c>
      <c r="V124" s="14">
        <v>0.07223035627135188</v>
      </c>
      <c r="W124" s="14">
        <v>0.0</v>
      </c>
      <c r="X124" s="14" t="s">
        <v>4495</v>
      </c>
      <c r="Y124" s="18" t="s">
        <v>4495</v>
      </c>
      <c r="Z124" s="18">
        <v>0.6198591523092037</v>
      </c>
      <c r="AA124" s="18">
        <v>1.0</v>
      </c>
      <c r="AB124" s="18">
        <v>1.0</v>
      </c>
      <c r="AC124" s="18">
        <v>0.26784414955359176</v>
      </c>
      <c r="AD124" s="18">
        <v>0.5317492030326602</v>
      </c>
      <c r="AE124" s="19" t="s">
        <v>4498</v>
      </c>
    </row>
    <row r="125" ht="21.0" customHeight="1">
      <c r="A125" s="20" t="s">
        <v>21</v>
      </c>
      <c r="B125" s="21" t="s">
        <v>983</v>
      </c>
      <c r="C125" s="22" t="s">
        <v>984</v>
      </c>
      <c r="D125" s="23">
        <v>43986.0</v>
      </c>
      <c r="E125" s="24">
        <v>2020.0</v>
      </c>
      <c r="F125" s="21" t="s">
        <v>41</v>
      </c>
      <c r="G125" s="21" t="s">
        <v>42</v>
      </c>
      <c r="H125" s="24">
        <v>7.0</v>
      </c>
      <c r="I125" s="24">
        <v>158.0</v>
      </c>
      <c r="J125" s="25" t="s">
        <v>986</v>
      </c>
      <c r="K125" s="21" t="s">
        <v>987</v>
      </c>
      <c r="L125" s="21" t="s">
        <v>988</v>
      </c>
      <c r="M125" s="26" t="s">
        <v>59</v>
      </c>
      <c r="N125" s="25" t="s">
        <v>989</v>
      </c>
      <c r="O125" s="21" t="s">
        <v>990</v>
      </c>
      <c r="P125" s="24">
        <v>26.0</v>
      </c>
      <c r="Q125" s="24"/>
      <c r="R125" s="24">
        <v>174.0</v>
      </c>
      <c r="S125" s="24">
        <v>2020.0</v>
      </c>
      <c r="T125" s="21" t="s">
        <v>991</v>
      </c>
      <c r="U125" s="24">
        <v>15.7142857142857</v>
      </c>
      <c r="V125" s="24">
        <v>0.08135942327497425</v>
      </c>
      <c r="W125" s="24">
        <v>0.0</v>
      </c>
      <c r="X125" s="24" t="s">
        <v>4495</v>
      </c>
      <c r="Y125" s="27" t="s">
        <v>4495</v>
      </c>
      <c r="Z125" s="27">
        <v>0.9411208839467466</v>
      </c>
      <c r="AA125" s="27">
        <v>1.0</v>
      </c>
      <c r="AB125" s="27">
        <v>1.0</v>
      </c>
      <c r="AC125" s="27">
        <v>0.5526220993195275</v>
      </c>
      <c r="AD125" s="27">
        <v>0.6405424309186394</v>
      </c>
      <c r="AE125" s="28" t="s">
        <v>4498</v>
      </c>
    </row>
    <row r="126" ht="21.0" customHeight="1">
      <c r="A126" s="10" t="s">
        <v>21</v>
      </c>
      <c r="B126" s="15" t="s">
        <v>1275</v>
      </c>
      <c r="C126" s="12" t="s">
        <v>1276</v>
      </c>
      <c r="D126" s="13">
        <v>43157.0</v>
      </c>
      <c r="E126" s="14">
        <v>2018.0</v>
      </c>
      <c r="F126" s="15" t="s">
        <v>41</v>
      </c>
      <c r="G126" s="15" t="s">
        <v>42</v>
      </c>
      <c r="H126" s="14">
        <v>5.0</v>
      </c>
      <c r="I126" s="14">
        <v>43.0</v>
      </c>
      <c r="J126" s="16"/>
      <c r="K126" s="15" t="s">
        <v>1278</v>
      </c>
      <c r="L126" s="15" t="s">
        <v>1279</v>
      </c>
      <c r="M126" s="17" t="s">
        <v>31</v>
      </c>
      <c r="N126" s="29"/>
      <c r="O126" s="15" t="s">
        <v>1280</v>
      </c>
      <c r="P126" s="14">
        <v>17.0</v>
      </c>
      <c r="Q126" s="14"/>
      <c r="R126" s="14">
        <v>25.0</v>
      </c>
      <c r="S126" s="14"/>
      <c r="T126" s="15" t="s">
        <v>1281</v>
      </c>
      <c r="U126" s="14">
        <v>33.5</v>
      </c>
      <c r="V126" s="14">
        <v>0.015517863587152653</v>
      </c>
      <c r="W126" s="14" t="s">
        <v>4495</v>
      </c>
      <c r="X126" s="14" t="s">
        <v>4495</v>
      </c>
      <c r="Y126" s="18" t="s">
        <v>4495</v>
      </c>
      <c r="Z126" s="18">
        <v>0.2726143405923116</v>
      </c>
      <c r="AA126" s="18" t="s">
        <v>4495</v>
      </c>
      <c r="AB126" s="18">
        <v>1.0</v>
      </c>
      <c r="AC126" s="18">
        <v>0.8578247542986999</v>
      </c>
      <c r="AD126" s="18">
        <v>0.30393606057794786</v>
      </c>
      <c r="AE126" s="19" t="s">
        <v>4497</v>
      </c>
    </row>
    <row r="127" ht="21.0" customHeight="1">
      <c r="A127" s="20" t="s">
        <v>21</v>
      </c>
      <c r="B127" s="21" t="s">
        <v>1283</v>
      </c>
      <c r="C127" s="22" t="s">
        <v>1284</v>
      </c>
      <c r="D127" s="23">
        <v>43260.0</v>
      </c>
      <c r="E127" s="24">
        <v>2018.0</v>
      </c>
      <c r="F127" s="21" t="s">
        <v>41</v>
      </c>
      <c r="G127" s="21" t="s">
        <v>42</v>
      </c>
      <c r="H127" s="24">
        <v>5.0</v>
      </c>
      <c r="I127" s="24">
        <v>132.0</v>
      </c>
      <c r="J127" s="25" t="s">
        <v>1287</v>
      </c>
      <c r="K127" s="21" t="s">
        <v>1288</v>
      </c>
      <c r="M127" s="26" t="s">
        <v>31</v>
      </c>
      <c r="N127" s="25"/>
      <c r="P127" s="24"/>
      <c r="Q127" s="24"/>
      <c r="R127" s="24">
        <v>105.0</v>
      </c>
      <c r="S127" s="24">
        <v>2018.0</v>
      </c>
      <c r="T127" s="21" t="s">
        <v>991</v>
      </c>
      <c r="U127" s="24">
        <v>15.7142857142857</v>
      </c>
      <c r="V127" s="24">
        <v>0.049475262368815595</v>
      </c>
      <c r="W127" s="24">
        <v>0.0</v>
      </c>
      <c r="X127" s="24" t="s">
        <v>4495</v>
      </c>
      <c r="Y127" s="27" t="s">
        <v>4495</v>
      </c>
      <c r="Z127" s="27">
        <v>0.7653430864022164</v>
      </c>
      <c r="AA127" s="27">
        <v>1.0</v>
      </c>
      <c r="AB127" s="27">
        <v>1.0</v>
      </c>
      <c r="AC127" s="27">
        <v>0.5526220993195275</v>
      </c>
      <c r="AD127" s="27">
        <v>0.5965979815325069</v>
      </c>
      <c r="AE127" s="28" t="s">
        <v>4497</v>
      </c>
    </row>
    <row r="128" ht="21.0" customHeight="1">
      <c r="A128" s="10" t="s">
        <v>21</v>
      </c>
      <c r="B128" s="15" t="s">
        <v>1290</v>
      </c>
      <c r="C128" s="12" t="s">
        <v>1291</v>
      </c>
      <c r="D128" s="13">
        <v>41944.0</v>
      </c>
      <c r="E128" s="14">
        <v>2014.0</v>
      </c>
      <c r="F128" s="15" t="s">
        <v>622</v>
      </c>
      <c r="G128" s="15" t="s">
        <v>42</v>
      </c>
      <c r="H128" s="14">
        <v>5.0</v>
      </c>
      <c r="I128" s="14">
        <v>55.0</v>
      </c>
      <c r="J128" s="16"/>
      <c r="K128" s="15" t="s">
        <v>1294</v>
      </c>
      <c r="L128" s="15" t="s">
        <v>1295</v>
      </c>
      <c r="M128" s="17" t="s">
        <v>31</v>
      </c>
      <c r="N128" s="29"/>
      <c r="O128" s="31" t="s">
        <v>1296</v>
      </c>
      <c r="P128" s="14">
        <v>6.0</v>
      </c>
      <c r="Q128" s="14"/>
      <c r="R128" s="14">
        <v>17.0</v>
      </c>
      <c r="S128" s="14"/>
      <c r="T128" s="15" t="s">
        <v>1297</v>
      </c>
      <c r="U128" s="14">
        <v>11.0</v>
      </c>
      <c r="V128" s="14">
        <v>0.013805220883534136</v>
      </c>
      <c r="W128" s="14" t="s">
        <v>4495</v>
      </c>
      <c r="X128" s="14" t="s">
        <v>4495</v>
      </c>
      <c r="Y128" s="18" t="s">
        <v>4495</v>
      </c>
      <c r="Z128" s="18">
        <v>0.14368593880932898</v>
      </c>
      <c r="AA128" s="18" t="s">
        <v>4495</v>
      </c>
      <c r="AB128" s="18">
        <v>1.0</v>
      </c>
      <c r="AC128" s="18">
        <v>0.4130723542258289</v>
      </c>
      <c r="AD128" s="18">
        <v>0.22722872012491513</v>
      </c>
      <c r="AE128" s="19" t="s">
        <v>4497</v>
      </c>
    </row>
    <row r="129" ht="21.0" customHeight="1">
      <c r="A129" s="20" t="s">
        <v>21</v>
      </c>
      <c r="B129" s="21" t="s">
        <v>1298</v>
      </c>
      <c r="C129" s="22" t="s">
        <v>1299</v>
      </c>
      <c r="D129" s="23">
        <v>44453.0</v>
      </c>
      <c r="E129" s="24">
        <v>2021.0</v>
      </c>
      <c r="F129" s="21" t="s">
        <v>41</v>
      </c>
      <c r="G129" s="21" t="s">
        <v>42</v>
      </c>
      <c r="H129" s="24">
        <v>5.0</v>
      </c>
      <c r="I129" s="24">
        <v>119.0</v>
      </c>
      <c r="J129" s="25" t="s">
        <v>1301</v>
      </c>
      <c r="K129" s="21" t="s">
        <v>1302</v>
      </c>
      <c r="L129" s="21" t="s">
        <v>1303</v>
      </c>
      <c r="M129" s="26" t="s">
        <v>59</v>
      </c>
      <c r="N129" s="25" t="s">
        <v>1304</v>
      </c>
      <c r="O129" s="21" t="s">
        <v>1305</v>
      </c>
      <c r="P129" s="24"/>
      <c r="Q129" s="24"/>
      <c r="R129" s="24">
        <v>51.0</v>
      </c>
      <c r="S129" s="24">
        <v>2021.0</v>
      </c>
      <c r="T129" s="21" t="s">
        <v>1307</v>
      </c>
      <c r="U129" s="24">
        <v>11.4</v>
      </c>
      <c r="V129" s="24">
        <v>0.08067796610169492</v>
      </c>
      <c r="W129" s="24">
        <v>0.0</v>
      </c>
      <c r="X129" s="24" t="s">
        <v>4495</v>
      </c>
      <c r="Y129" s="27" t="s">
        <v>4495</v>
      </c>
      <c r="Z129" s="27">
        <v>0.5156394588873553</v>
      </c>
      <c r="AA129" s="27">
        <v>1.0</v>
      </c>
      <c r="AB129" s="27">
        <v>1.0</v>
      </c>
      <c r="AC129" s="27">
        <v>0.4268816582066704</v>
      </c>
      <c r="AD129" s="27">
        <v>0.5215980305425059</v>
      </c>
      <c r="AE129" s="28" t="s">
        <v>4501</v>
      </c>
    </row>
    <row r="130" ht="21.0" customHeight="1">
      <c r="A130" s="10" t="s">
        <v>21</v>
      </c>
      <c r="B130" s="15" t="s">
        <v>924</v>
      </c>
      <c r="C130" s="12" t="s">
        <v>925</v>
      </c>
      <c r="D130" s="13">
        <v>43252.0</v>
      </c>
      <c r="E130" s="14">
        <v>2018.0</v>
      </c>
      <c r="F130" s="15" t="s">
        <v>118</v>
      </c>
      <c r="G130" s="15" t="s">
        <v>42</v>
      </c>
      <c r="H130" s="14">
        <v>8.0</v>
      </c>
      <c r="I130" s="14">
        <v>95.0</v>
      </c>
      <c r="J130" s="16" t="s">
        <v>927</v>
      </c>
      <c r="K130" s="15" t="s">
        <v>928</v>
      </c>
      <c r="L130" s="15" t="s">
        <v>929</v>
      </c>
      <c r="M130" s="17" t="s">
        <v>59</v>
      </c>
      <c r="N130" s="29" t="s">
        <v>930</v>
      </c>
      <c r="O130" s="15" t="s">
        <v>931</v>
      </c>
      <c r="P130" s="14">
        <v>6.0</v>
      </c>
      <c r="Q130" s="14"/>
      <c r="R130" s="14">
        <v>28.0</v>
      </c>
      <c r="S130" s="14">
        <v>2018.0</v>
      </c>
      <c r="T130" s="15" t="s">
        <v>933</v>
      </c>
      <c r="U130" s="14">
        <v>34.3333333333333</v>
      </c>
      <c r="V130" s="14">
        <v>0.03550074738415546</v>
      </c>
      <c r="W130" s="14">
        <v>0.0</v>
      </c>
      <c r="X130" s="14" t="s">
        <v>4495</v>
      </c>
      <c r="Y130" s="18" t="s">
        <v>4495</v>
      </c>
      <c r="Z130" s="18">
        <v>0.31090082806830316</v>
      </c>
      <c r="AA130" s="18">
        <v>1.0</v>
      </c>
      <c r="AB130" s="18">
        <v>1.0</v>
      </c>
      <c r="AC130" s="18">
        <v>0.8678764495390385</v>
      </c>
      <c r="AD130" s="18">
        <v>0.5145128519709797</v>
      </c>
      <c r="AE130" s="19" t="s">
        <v>4498</v>
      </c>
    </row>
    <row r="131" ht="21.0" customHeight="1">
      <c r="A131" s="20" t="s">
        <v>21</v>
      </c>
      <c r="B131" s="21" t="s">
        <v>1318</v>
      </c>
      <c r="C131" s="22" t="s">
        <v>1319</v>
      </c>
      <c r="D131" s="23">
        <v>41244.0</v>
      </c>
      <c r="E131" s="24">
        <v>2012.0</v>
      </c>
      <c r="F131" s="21" t="s">
        <v>622</v>
      </c>
      <c r="G131" s="21" t="s">
        <v>27</v>
      </c>
      <c r="H131" s="24">
        <v>5.0</v>
      </c>
      <c r="I131" s="24">
        <v>77.0</v>
      </c>
      <c r="J131" s="25"/>
      <c r="K131" s="21" t="s">
        <v>1320</v>
      </c>
      <c r="L131" s="21" t="s">
        <v>1321</v>
      </c>
      <c r="M131" s="26" t="s">
        <v>31</v>
      </c>
      <c r="N131" s="25"/>
      <c r="O131" s="32" t="s">
        <v>1322</v>
      </c>
      <c r="P131" s="24">
        <v>5.0</v>
      </c>
      <c r="Q131" s="24"/>
      <c r="R131" s="24">
        <v>22.0</v>
      </c>
      <c r="S131" s="24"/>
      <c r="T131" s="21" t="s">
        <v>1323</v>
      </c>
      <c r="U131" s="24">
        <v>7.5</v>
      </c>
      <c r="V131" s="24">
        <v>0.016438941076003417</v>
      </c>
      <c r="W131" s="24" t="s">
        <v>4495</v>
      </c>
      <c r="X131" s="24" t="s">
        <v>4495</v>
      </c>
      <c r="Y131" s="27" t="s">
        <v>4495</v>
      </c>
      <c r="Z131" s="27">
        <v>0.22962860153806564</v>
      </c>
      <c r="AA131" s="27" t="s">
        <v>4495</v>
      </c>
      <c r="AB131" s="27">
        <v>1.0</v>
      </c>
      <c r="AC131" s="27">
        <v>0.26784414955359176</v>
      </c>
      <c r="AD131" s="27">
        <v>0.2341915653398756</v>
      </c>
      <c r="AE131" s="28" t="s">
        <v>4497</v>
      </c>
    </row>
    <row r="132" ht="21.0" customHeight="1">
      <c r="A132" s="10" t="s">
        <v>21</v>
      </c>
      <c r="B132" s="15" t="s">
        <v>1324</v>
      </c>
      <c r="C132" s="12" t="s">
        <v>1325</v>
      </c>
      <c r="D132" s="13">
        <v>44013.0</v>
      </c>
      <c r="E132" s="14">
        <v>2020.0</v>
      </c>
      <c r="F132" s="15" t="s">
        <v>41</v>
      </c>
      <c r="G132" s="15" t="s">
        <v>42</v>
      </c>
      <c r="H132" s="14">
        <v>5.0</v>
      </c>
      <c r="I132" s="14">
        <v>141.0</v>
      </c>
      <c r="J132" s="16"/>
      <c r="K132" s="15" t="s">
        <v>1327</v>
      </c>
      <c r="L132" s="15" t="s">
        <v>1328</v>
      </c>
      <c r="M132" s="17" t="s">
        <v>31</v>
      </c>
      <c r="N132" s="29"/>
      <c r="O132" s="15" t="s">
        <v>1329</v>
      </c>
      <c r="P132" s="14"/>
      <c r="Q132" s="14"/>
      <c r="R132" s="14">
        <v>59.0</v>
      </c>
      <c r="S132" s="14"/>
      <c r="T132" s="15" t="s">
        <v>1330</v>
      </c>
      <c r="U132" s="14">
        <v>22.0</v>
      </c>
      <c r="V132" s="14">
        <v>0.07362924281984334</v>
      </c>
      <c r="W132" s="14" t="s">
        <v>4495</v>
      </c>
      <c r="X132" s="14" t="s">
        <v>4495</v>
      </c>
      <c r="Y132" s="18" t="s">
        <v>4495</v>
      </c>
      <c r="Z132" s="18">
        <v>0.5658122078059921</v>
      </c>
      <c r="AA132" s="18" t="s">
        <v>4495</v>
      </c>
      <c r="AB132" s="18">
        <v>1.0</v>
      </c>
      <c r="AC132" s="18">
        <v>0.6870647303206351</v>
      </c>
      <c r="AD132" s="18">
        <v>0.3601595249835615</v>
      </c>
      <c r="AE132" s="19" t="s">
        <v>4497</v>
      </c>
    </row>
    <row r="133" ht="21.0" customHeight="1">
      <c r="A133" s="20" t="s">
        <v>21</v>
      </c>
      <c r="B133" s="21" t="s">
        <v>1331</v>
      </c>
      <c r="C133" s="22" t="s">
        <v>1332</v>
      </c>
      <c r="D133" s="23"/>
      <c r="E133" s="24"/>
      <c r="F133" s="21" t="s">
        <v>41</v>
      </c>
      <c r="G133" s="21" t="s">
        <v>42</v>
      </c>
      <c r="H133" s="24">
        <v>5.0</v>
      </c>
      <c r="I133" s="24">
        <v>191.0</v>
      </c>
      <c r="J133" s="25"/>
      <c r="K133" s="21" t="s">
        <v>1333</v>
      </c>
      <c r="L133" s="21" t="s">
        <v>1334</v>
      </c>
      <c r="M133" s="26" t="s">
        <v>31</v>
      </c>
      <c r="N133" s="30"/>
      <c r="O133" s="21" t="s">
        <v>1335</v>
      </c>
      <c r="P133" s="24"/>
      <c r="Q133" s="24"/>
      <c r="R133" s="24">
        <v>118.0</v>
      </c>
      <c r="S133" s="24"/>
      <c r="T133" s="21" t="s">
        <v>1337</v>
      </c>
      <c r="U133" s="24">
        <v>26.5714285714285</v>
      </c>
      <c r="V133" s="24" t="s">
        <v>4495</v>
      </c>
      <c r="W133" s="24" t="s">
        <v>4495</v>
      </c>
      <c r="X133" s="24" t="s">
        <v>4495</v>
      </c>
      <c r="Y133" s="27" t="s">
        <v>4495</v>
      </c>
      <c r="Z133" s="27">
        <v>0.8059033246030324</v>
      </c>
      <c r="AA133" s="27" t="s">
        <v>4495</v>
      </c>
      <c r="AB133" s="27" t="s">
        <v>4495</v>
      </c>
      <c r="AC133" s="27">
        <v>0.7634125368778296</v>
      </c>
      <c r="AD133" s="27">
        <v>0.27781708483854106</v>
      </c>
      <c r="AE133" s="28" t="s">
        <v>4497</v>
      </c>
    </row>
    <row r="134" ht="21.0" customHeight="1">
      <c r="A134" s="10" t="s">
        <v>21</v>
      </c>
      <c r="B134" s="15" t="s">
        <v>1339</v>
      </c>
      <c r="C134" s="12" t="s">
        <v>1340</v>
      </c>
      <c r="D134" s="13">
        <v>45067.0</v>
      </c>
      <c r="E134" s="14">
        <v>2023.0</v>
      </c>
      <c r="F134" s="15" t="s">
        <v>118</v>
      </c>
      <c r="H134" s="14">
        <v>5.0</v>
      </c>
      <c r="I134" s="14">
        <v>136.0</v>
      </c>
      <c r="J134" s="16" t="s">
        <v>1342</v>
      </c>
      <c r="K134" s="15" t="s">
        <v>1343</v>
      </c>
      <c r="L134" s="15" t="s">
        <v>1344</v>
      </c>
      <c r="M134" s="17" t="s">
        <v>31</v>
      </c>
      <c r="N134" s="29"/>
      <c r="O134" s="15" t="s">
        <v>1345</v>
      </c>
      <c r="P134" s="14">
        <v>9.0</v>
      </c>
      <c r="Q134" s="14"/>
      <c r="R134" s="14">
        <v>48.0</v>
      </c>
      <c r="S134" s="14"/>
      <c r="T134" s="15" t="s">
        <v>1347</v>
      </c>
      <c r="U134" s="14">
        <v>1.0</v>
      </c>
      <c r="V134" s="14">
        <v>0.15795586527293845</v>
      </c>
      <c r="W134" s="14" t="s">
        <v>4495</v>
      </c>
      <c r="X134" s="14" t="s">
        <v>4495</v>
      </c>
      <c r="Y134" s="18" t="s">
        <v>4495</v>
      </c>
      <c r="Z134" s="18">
        <v>0.49480494611079556</v>
      </c>
      <c r="AA134" s="18" t="s">
        <v>4495</v>
      </c>
      <c r="AB134" s="18">
        <v>1.0</v>
      </c>
      <c r="AC134" s="18">
        <v>0.0</v>
      </c>
      <c r="AD134" s="18">
        <v>0.2737012365276989</v>
      </c>
      <c r="AE134" s="19" t="s">
        <v>4497</v>
      </c>
    </row>
    <row r="135" ht="21.0" customHeight="1">
      <c r="A135" s="20" t="s">
        <v>21</v>
      </c>
      <c r="B135" s="21" t="s">
        <v>1348</v>
      </c>
      <c r="C135" s="22" t="s">
        <v>1349</v>
      </c>
      <c r="D135" s="23">
        <v>45224.0</v>
      </c>
      <c r="E135" s="24">
        <v>2023.0</v>
      </c>
      <c r="F135" s="21" t="s">
        <v>41</v>
      </c>
      <c r="H135" s="24">
        <v>5.0</v>
      </c>
      <c r="I135" s="24">
        <v>62.0</v>
      </c>
      <c r="J135" s="25" t="s">
        <v>1351</v>
      </c>
      <c r="K135" s="21" t="s">
        <v>1352</v>
      </c>
      <c r="L135" s="21" t="s">
        <v>1353</v>
      </c>
      <c r="M135" s="26" t="s">
        <v>31</v>
      </c>
      <c r="N135" s="30"/>
      <c r="P135" s="24"/>
      <c r="Q135" s="24"/>
      <c r="R135" s="24">
        <v>87.0</v>
      </c>
      <c r="S135" s="24"/>
      <c r="T135" s="21" t="s">
        <v>487</v>
      </c>
      <c r="U135" s="24">
        <v>12.0</v>
      </c>
      <c r="V135" s="24">
        <v>0.08806818181818182</v>
      </c>
      <c r="W135" s="24" t="s">
        <v>4495</v>
      </c>
      <c r="X135" s="24" t="s">
        <v>4495</v>
      </c>
      <c r="Y135" s="27" t="s">
        <v>4495</v>
      </c>
      <c r="Z135" s="27">
        <v>0.7000935552904257</v>
      </c>
      <c r="AA135" s="27" t="s">
        <v>4495</v>
      </c>
      <c r="AB135" s="27">
        <v>1.0</v>
      </c>
      <c r="AC135" s="27">
        <v>0.4467820234631535</v>
      </c>
      <c r="AD135" s="27">
        <v>0.36970159116892176</v>
      </c>
      <c r="AE135" s="28" t="s">
        <v>4497</v>
      </c>
    </row>
    <row r="136" ht="21.0" customHeight="1">
      <c r="A136" s="10" t="s">
        <v>21</v>
      </c>
      <c r="B136" s="15" t="s">
        <v>943</v>
      </c>
      <c r="C136" s="12" t="s">
        <v>944</v>
      </c>
      <c r="D136" s="13">
        <v>41605.0</v>
      </c>
      <c r="E136" s="14">
        <v>2013.0</v>
      </c>
      <c r="F136" s="15" t="s">
        <v>41</v>
      </c>
      <c r="G136" s="15" t="s">
        <v>42</v>
      </c>
      <c r="H136" s="14">
        <v>8.0</v>
      </c>
      <c r="I136" s="14">
        <v>230.0</v>
      </c>
      <c r="J136" s="16" t="s">
        <v>946</v>
      </c>
      <c r="K136" s="15" t="s">
        <v>947</v>
      </c>
      <c r="L136" s="15" t="s">
        <v>948</v>
      </c>
      <c r="M136" s="17" t="s">
        <v>59</v>
      </c>
      <c r="N136" s="16" t="s">
        <v>949</v>
      </c>
      <c r="P136" s="14"/>
      <c r="Q136" s="14"/>
      <c r="R136" s="14">
        <v>96.0</v>
      </c>
      <c r="S136" s="14">
        <v>2013.0</v>
      </c>
      <c r="T136" s="15" t="s">
        <v>950</v>
      </c>
      <c r="U136" s="14">
        <v>18.5</v>
      </c>
      <c r="V136" s="14">
        <v>0.053203793661808926</v>
      </c>
      <c r="W136" s="14">
        <v>0.0</v>
      </c>
      <c r="X136" s="14" t="s">
        <v>4495</v>
      </c>
      <c r="Y136" s="18" t="s">
        <v>4495</v>
      </c>
      <c r="Z136" s="18">
        <v>0.7342340212618556</v>
      </c>
      <c r="AA136" s="18">
        <v>1.0</v>
      </c>
      <c r="AB136" s="18">
        <v>1.0</v>
      </c>
      <c r="AC136" s="18">
        <v>0.6175420474412181</v>
      </c>
      <c r="AD136" s="18">
        <v>0.5953127100595857</v>
      </c>
      <c r="AE136" s="19" t="s">
        <v>4498</v>
      </c>
    </row>
    <row r="137" ht="21.0" customHeight="1">
      <c r="A137" s="20" t="s">
        <v>21</v>
      </c>
      <c r="B137" s="21" t="s">
        <v>899</v>
      </c>
      <c r="C137" s="22" t="s">
        <v>900</v>
      </c>
      <c r="D137" s="23">
        <v>43258.0</v>
      </c>
      <c r="E137" s="24">
        <v>2018.0</v>
      </c>
      <c r="F137" s="21" t="s">
        <v>41</v>
      </c>
      <c r="G137" s="21" t="s">
        <v>42</v>
      </c>
      <c r="H137" s="24">
        <v>8.0</v>
      </c>
      <c r="I137" s="24">
        <v>163.0</v>
      </c>
      <c r="J137" s="25"/>
      <c r="K137" s="21" t="s">
        <v>902</v>
      </c>
      <c r="L137" s="21" t="s">
        <v>903</v>
      </c>
      <c r="M137" s="26" t="s">
        <v>59</v>
      </c>
      <c r="N137" s="25" t="s">
        <v>904</v>
      </c>
      <c r="O137" s="21" t="s">
        <v>905</v>
      </c>
      <c r="P137" s="24">
        <v>14.0</v>
      </c>
      <c r="Q137" s="24"/>
      <c r="R137" s="24">
        <v>73.0</v>
      </c>
      <c r="S137" s="24"/>
      <c r="T137" s="21" t="s">
        <v>906</v>
      </c>
      <c r="U137" s="24">
        <v>22.6666666666666</v>
      </c>
      <c r="V137" s="24">
        <v>0.06104868913857678</v>
      </c>
      <c r="W137" s="24" t="s">
        <v>4495</v>
      </c>
      <c r="X137" s="24" t="s">
        <v>4495</v>
      </c>
      <c r="Y137" s="27" t="s">
        <v>4495</v>
      </c>
      <c r="Z137" s="27">
        <v>0.6393425607818833</v>
      </c>
      <c r="AA137" s="27" t="s">
        <v>4495</v>
      </c>
      <c r="AB137" s="27">
        <v>1.0</v>
      </c>
      <c r="AC137" s="27">
        <v>0.6990982929283924</v>
      </c>
      <c r="AD137" s="27">
        <v>0.37974546948831006</v>
      </c>
      <c r="AE137" s="28" t="s">
        <v>4498</v>
      </c>
    </row>
    <row r="138" ht="21.0" customHeight="1">
      <c r="A138" s="10" t="s">
        <v>21</v>
      </c>
      <c r="B138" s="15" t="s">
        <v>1375</v>
      </c>
      <c r="C138" s="12" t="s">
        <v>1376</v>
      </c>
      <c r="D138" s="13">
        <v>44736.0</v>
      </c>
      <c r="E138" s="14">
        <v>2022.0</v>
      </c>
      <c r="F138" s="15" t="s">
        <v>41</v>
      </c>
      <c r="G138" s="15" t="s">
        <v>42</v>
      </c>
      <c r="H138" s="14">
        <v>5.0</v>
      </c>
      <c r="I138" s="14">
        <v>50.0</v>
      </c>
      <c r="J138" s="16" t="s">
        <v>1379</v>
      </c>
      <c r="K138" s="15" t="s">
        <v>1380</v>
      </c>
      <c r="L138" s="15" t="s">
        <v>1381</v>
      </c>
      <c r="M138" s="17" t="s">
        <v>59</v>
      </c>
      <c r="N138" s="29" t="s">
        <v>1382</v>
      </c>
      <c r="P138" s="14"/>
      <c r="Q138" s="14"/>
      <c r="R138" s="14">
        <v>104.0</v>
      </c>
      <c r="S138" s="14">
        <v>2022.0</v>
      </c>
      <c r="T138" s="15" t="s">
        <v>1383</v>
      </c>
      <c r="U138" s="14">
        <v>10.8571428571428</v>
      </c>
      <c r="V138" s="14">
        <v>0.04194630872483222</v>
      </c>
      <c r="W138" s="14">
        <v>0.0</v>
      </c>
      <c r="X138" s="14" t="s">
        <v>4495</v>
      </c>
      <c r="Y138" s="18" t="s">
        <v>4495</v>
      </c>
      <c r="Z138" s="18">
        <v>0.7620197332451271</v>
      </c>
      <c r="AA138" s="18">
        <v>1.0</v>
      </c>
      <c r="AB138" s="18">
        <v>1.0</v>
      </c>
      <c r="AC138" s="18">
        <v>0.40802862881170937</v>
      </c>
      <c r="AD138" s="18">
        <v>0.5813077961924528</v>
      </c>
      <c r="AE138" s="19" t="s">
        <v>4500</v>
      </c>
    </row>
    <row r="139" ht="21.0" customHeight="1">
      <c r="A139" s="20" t="s">
        <v>21</v>
      </c>
      <c r="B139" s="21" t="s">
        <v>889</v>
      </c>
      <c r="C139" s="22" t="s">
        <v>890</v>
      </c>
      <c r="D139" s="23">
        <v>43966.0</v>
      </c>
      <c r="E139" s="24">
        <v>2020.0</v>
      </c>
      <c r="F139" s="21" t="s">
        <v>26</v>
      </c>
      <c r="G139" s="21" t="s">
        <v>42</v>
      </c>
      <c r="H139" s="24">
        <v>8.0</v>
      </c>
      <c r="I139" s="24">
        <v>216.0</v>
      </c>
      <c r="J139" s="25" t="s">
        <v>892</v>
      </c>
      <c r="K139" s="21" t="s">
        <v>893</v>
      </c>
      <c r="L139" s="21" t="s">
        <v>894</v>
      </c>
      <c r="M139" s="26" t="s">
        <v>59</v>
      </c>
      <c r="N139" s="25" t="s">
        <v>895</v>
      </c>
      <c r="P139" s="24"/>
      <c r="Q139" s="24"/>
      <c r="R139" s="24">
        <v>170.0</v>
      </c>
      <c r="S139" s="24">
        <v>2020.0</v>
      </c>
      <c r="T139" s="21" t="s">
        <v>897</v>
      </c>
      <c r="U139" s="24">
        <v>28.8571428571428</v>
      </c>
      <c r="V139" s="24">
        <v>0.11009174311926606</v>
      </c>
      <c r="W139" s="24">
        <v>0.0</v>
      </c>
      <c r="X139" s="24" t="s">
        <v>4495</v>
      </c>
      <c r="Y139" s="27" t="s">
        <v>4495</v>
      </c>
      <c r="Z139" s="27">
        <v>0.9330139069776836</v>
      </c>
      <c r="AA139" s="27">
        <v>1.0</v>
      </c>
      <c r="AB139" s="27">
        <v>1.0</v>
      </c>
      <c r="AC139" s="27">
        <v>0.7969543185154138</v>
      </c>
      <c r="AD139" s="27">
        <v>0.6629489085959623</v>
      </c>
      <c r="AE139" s="28" t="s">
        <v>4498</v>
      </c>
    </row>
    <row r="140" ht="21.0" customHeight="1">
      <c r="A140" s="10" t="s">
        <v>21</v>
      </c>
      <c r="B140" s="15" t="s">
        <v>951</v>
      </c>
      <c r="C140" s="12" t="s">
        <v>952</v>
      </c>
      <c r="D140" s="13">
        <v>44243.0</v>
      </c>
      <c r="E140" s="14">
        <v>2021.0</v>
      </c>
      <c r="F140" s="15" t="s">
        <v>41</v>
      </c>
      <c r="G140" s="15" t="s">
        <v>42</v>
      </c>
      <c r="H140" s="14">
        <v>8.0</v>
      </c>
      <c r="I140" s="14">
        <v>187.0</v>
      </c>
      <c r="J140" s="16" t="s">
        <v>954</v>
      </c>
      <c r="K140" s="15" t="s">
        <v>955</v>
      </c>
      <c r="L140" s="15" t="s">
        <v>956</v>
      </c>
      <c r="M140" s="17" t="s">
        <v>59</v>
      </c>
      <c r="N140" s="16" t="s">
        <v>957</v>
      </c>
      <c r="P140" s="14"/>
      <c r="Q140" s="14"/>
      <c r="R140" s="14">
        <v>145.0</v>
      </c>
      <c r="S140" s="14">
        <v>2021.0</v>
      </c>
      <c r="T140" s="15" t="s">
        <v>163</v>
      </c>
      <c r="U140" s="14">
        <v>37.0</v>
      </c>
      <c r="V140" s="14">
        <v>0.11097922848664689</v>
      </c>
      <c r="W140" s="14">
        <v>0.0</v>
      </c>
      <c r="X140" s="14" t="s">
        <v>4495</v>
      </c>
      <c r="Y140" s="18" t="s">
        <v>4495</v>
      </c>
      <c r="Z140" s="18">
        <v>0.8775973859947773</v>
      </c>
      <c r="AA140" s="18">
        <v>1.0</v>
      </c>
      <c r="AB140" s="18">
        <v>1.0</v>
      </c>
      <c r="AC140" s="18">
        <v>0.8985187633496309</v>
      </c>
      <c r="AD140" s="18">
        <v>0.6592512228336574</v>
      </c>
      <c r="AE140" s="19" t="s">
        <v>4498</v>
      </c>
    </row>
    <row r="141" ht="21.0" customHeight="1">
      <c r="A141" s="20" t="s">
        <v>21</v>
      </c>
      <c r="B141" s="21" t="s">
        <v>877</v>
      </c>
      <c r="C141" s="22" t="s">
        <v>878</v>
      </c>
      <c r="D141" s="23">
        <v>44996.0</v>
      </c>
      <c r="E141" s="24">
        <v>2023.0</v>
      </c>
      <c r="F141" s="21" t="s">
        <v>26</v>
      </c>
      <c r="G141" s="21" t="s">
        <v>880</v>
      </c>
      <c r="H141" s="24">
        <v>8.0</v>
      </c>
      <c r="I141" s="24">
        <v>399.0</v>
      </c>
      <c r="J141" s="25" t="s">
        <v>882</v>
      </c>
      <c r="K141" s="21" t="s">
        <v>883</v>
      </c>
      <c r="L141" s="21" t="s">
        <v>884</v>
      </c>
      <c r="M141" s="26" t="s">
        <v>59</v>
      </c>
      <c r="N141" s="30" t="s">
        <v>885</v>
      </c>
      <c r="P141" s="24"/>
      <c r="Q141" s="24"/>
      <c r="R141" s="24">
        <v>162.0</v>
      </c>
      <c r="S141" s="24">
        <v>2023.0</v>
      </c>
      <c r="T141" s="21" t="s">
        <v>887</v>
      </c>
      <c r="U141" s="24">
        <v>6.4</v>
      </c>
      <c r="V141" s="24">
        <v>0.4281115879828326</v>
      </c>
      <c r="W141" s="24">
        <v>0.0</v>
      </c>
      <c r="X141" s="24" t="s">
        <v>4495</v>
      </c>
      <c r="Y141" s="27" t="s">
        <v>4495</v>
      </c>
      <c r="Z141" s="27">
        <v>0.9162149510524765</v>
      </c>
      <c r="AA141" s="27">
        <v>1.0</v>
      </c>
      <c r="AB141" s="27">
        <v>1.0</v>
      </c>
      <c r="AC141" s="27">
        <v>0.2094791359123752</v>
      </c>
      <c r="AD141" s="27">
        <v>0.6000016513543567</v>
      </c>
      <c r="AE141" s="28" t="s">
        <v>4498</v>
      </c>
    </row>
    <row r="142" ht="21.0" customHeight="1">
      <c r="A142" s="10" t="s">
        <v>21</v>
      </c>
      <c r="B142" s="15" t="s">
        <v>868</v>
      </c>
      <c r="C142" s="12" t="s">
        <v>869</v>
      </c>
      <c r="D142" s="13"/>
      <c r="E142" s="14"/>
      <c r="F142" s="15" t="s">
        <v>41</v>
      </c>
      <c r="G142" s="15" t="s">
        <v>42</v>
      </c>
      <c r="H142" s="14">
        <v>8.0</v>
      </c>
      <c r="I142" s="14">
        <v>238.0</v>
      </c>
      <c r="J142" s="16" t="s">
        <v>871</v>
      </c>
      <c r="K142" s="15" t="s">
        <v>872</v>
      </c>
      <c r="L142" s="15" t="s">
        <v>873</v>
      </c>
      <c r="M142" s="17" t="s">
        <v>59</v>
      </c>
      <c r="N142" s="29" t="s">
        <v>874</v>
      </c>
      <c r="O142" s="15" t="s">
        <v>875</v>
      </c>
      <c r="P142" s="14">
        <v>25.0</v>
      </c>
      <c r="Q142" s="14"/>
      <c r="R142" s="14">
        <v>172.0</v>
      </c>
      <c r="S142" s="14">
        <v>2021.0</v>
      </c>
      <c r="T142" s="15" t="s">
        <v>690</v>
      </c>
      <c r="U142" s="14">
        <v>16.0</v>
      </c>
      <c r="V142" s="14" t="s">
        <v>4495</v>
      </c>
      <c r="W142" s="14" t="s">
        <v>4495</v>
      </c>
      <c r="X142" s="14" t="s">
        <v>4495</v>
      </c>
      <c r="Y142" s="18" t="s">
        <v>4495</v>
      </c>
      <c r="Z142" s="18">
        <v>0.937090826553437</v>
      </c>
      <c r="AA142" s="18" t="s">
        <v>4495</v>
      </c>
      <c r="AB142" s="18" t="s">
        <v>4495</v>
      </c>
      <c r="AC142" s="18">
        <v>0.5597603386555386</v>
      </c>
      <c r="AD142" s="18">
        <v>0.29024874050391314</v>
      </c>
      <c r="AE142" s="19" t="s">
        <v>4498</v>
      </c>
    </row>
    <row r="143" ht="21.0" customHeight="1">
      <c r="A143" s="20" t="s">
        <v>21</v>
      </c>
      <c r="B143" s="21" t="s">
        <v>778</v>
      </c>
      <c r="C143" s="22" t="s">
        <v>779</v>
      </c>
      <c r="D143" s="23">
        <v>43857.0</v>
      </c>
      <c r="E143" s="24">
        <v>2020.0</v>
      </c>
      <c r="F143" s="21" t="s">
        <v>41</v>
      </c>
      <c r="G143" s="21" t="s">
        <v>42</v>
      </c>
      <c r="H143" s="24">
        <v>9.0</v>
      </c>
      <c r="I143" s="24">
        <v>86.0</v>
      </c>
      <c r="J143" s="25" t="s">
        <v>781</v>
      </c>
      <c r="K143" s="21" t="s">
        <v>782</v>
      </c>
      <c r="L143" s="21" t="s">
        <v>783</v>
      </c>
      <c r="M143" s="26" t="s">
        <v>59</v>
      </c>
      <c r="N143" s="25" t="s">
        <v>784</v>
      </c>
      <c r="O143" s="21" t="s">
        <v>785</v>
      </c>
      <c r="P143" s="24">
        <v>29.0</v>
      </c>
      <c r="Q143" s="24"/>
      <c r="R143" s="24">
        <v>229.0</v>
      </c>
      <c r="S143" s="24">
        <v>2020.0</v>
      </c>
      <c r="T143" s="21" t="s">
        <v>787</v>
      </c>
      <c r="U143" s="24">
        <v>15.0</v>
      </c>
      <c r="V143" s="24">
        <v>0.04152583293095123</v>
      </c>
      <c r="W143" s="24">
        <v>0.0</v>
      </c>
      <c r="X143" s="24" t="s">
        <v>4495</v>
      </c>
      <c r="Y143" s="27" t="s">
        <v>4495</v>
      </c>
      <c r="Z143" s="27">
        <v>1.0</v>
      </c>
      <c r="AA143" s="27">
        <v>1.0</v>
      </c>
      <c r="AB143" s="27">
        <v>1.0</v>
      </c>
      <c r="AC143" s="27">
        <v>0.5342285193497109</v>
      </c>
      <c r="AD143" s="27">
        <v>0.6534228519349711</v>
      </c>
      <c r="AE143" s="28" t="s">
        <v>4498</v>
      </c>
    </row>
    <row r="144" ht="21.0" customHeight="1">
      <c r="A144" s="10" t="s">
        <v>21</v>
      </c>
      <c r="B144" s="15" t="s">
        <v>840</v>
      </c>
      <c r="C144" s="12" t="s">
        <v>841</v>
      </c>
      <c r="D144" s="13">
        <v>43783.0</v>
      </c>
      <c r="E144" s="14">
        <v>2019.0</v>
      </c>
      <c r="F144" s="15" t="s">
        <v>41</v>
      </c>
      <c r="G144" s="15" t="s">
        <v>42</v>
      </c>
      <c r="H144" s="14">
        <v>9.0</v>
      </c>
      <c r="I144" s="14">
        <v>121.0</v>
      </c>
      <c r="J144" s="16" t="s">
        <v>844</v>
      </c>
      <c r="K144" s="15" t="s">
        <v>845</v>
      </c>
      <c r="L144" s="15" t="s">
        <v>846</v>
      </c>
      <c r="M144" s="17" t="s">
        <v>59</v>
      </c>
      <c r="N144" s="16" t="s">
        <v>847</v>
      </c>
      <c r="O144" s="15" t="s">
        <v>848</v>
      </c>
      <c r="P144" s="14">
        <v>35.0</v>
      </c>
      <c r="Q144" s="14"/>
      <c r="R144" s="14">
        <v>213.0</v>
      </c>
      <c r="S144" s="14"/>
      <c r="T144" s="15" t="s">
        <v>849</v>
      </c>
      <c r="U144" s="14">
        <v>10.0</v>
      </c>
      <c r="V144" s="14">
        <v>0.05641025641025641</v>
      </c>
      <c r="W144" s="14" t="s">
        <v>4495</v>
      </c>
      <c r="X144" s="14" t="s">
        <v>4495</v>
      </c>
      <c r="Y144" s="18" t="s">
        <v>4495</v>
      </c>
      <c r="Z144" s="18">
        <v>1.0</v>
      </c>
      <c r="AA144" s="18" t="s">
        <v>4495</v>
      </c>
      <c r="AB144" s="18">
        <v>1.0</v>
      </c>
      <c r="AC144" s="18">
        <v>0.37642785751330293</v>
      </c>
      <c r="AD144" s="18">
        <v>0.4376427857513303</v>
      </c>
      <c r="AE144" s="19" t="s">
        <v>4498</v>
      </c>
    </row>
    <row r="145" ht="21.0" customHeight="1">
      <c r="A145" s="20" t="s">
        <v>21</v>
      </c>
      <c r="B145" s="21" t="s">
        <v>1443</v>
      </c>
      <c r="C145" s="22" t="s">
        <v>1444</v>
      </c>
      <c r="D145" s="23">
        <v>44300.0</v>
      </c>
      <c r="E145" s="24">
        <v>2021.0</v>
      </c>
      <c r="F145" s="21" t="s">
        <v>26</v>
      </c>
      <c r="G145" s="21" t="s">
        <v>42</v>
      </c>
      <c r="H145" s="24">
        <v>5.0</v>
      </c>
      <c r="I145" s="24">
        <v>73.0</v>
      </c>
      <c r="J145" s="25" t="s">
        <v>1446</v>
      </c>
      <c r="K145" s="21" t="s">
        <v>1447</v>
      </c>
      <c r="L145" s="21" t="s">
        <v>1448</v>
      </c>
      <c r="M145" s="26" t="s">
        <v>59</v>
      </c>
      <c r="N145" s="30" t="s">
        <v>1449</v>
      </c>
      <c r="P145" s="24"/>
      <c r="Q145" s="24"/>
      <c r="R145" s="24">
        <v>93.0</v>
      </c>
      <c r="S145" s="24">
        <v>2021.0</v>
      </c>
      <c r="T145" s="21" t="s">
        <v>1450</v>
      </c>
      <c r="U145" s="24">
        <v>3.2</v>
      </c>
      <c r="V145" s="24">
        <v>0.04484029484029484</v>
      </c>
      <c r="W145" s="24">
        <v>0.0</v>
      </c>
      <c r="X145" s="24" t="s">
        <v>4495</v>
      </c>
      <c r="Y145" s="27" t="s">
        <v>4495</v>
      </c>
      <c r="Z145" s="27">
        <v>0.7232191531066832</v>
      </c>
      <c r="AA145" s="27">
        <v>1.0</v>
      </c>
      <c r="AB145" s="27">
        <v>1.0</v>
      </c>
      <c r="AC145" s="27">
        <v>0.0</v>
      </c>
      <c r="AD145" s="27">
        <v>0.5308047882766708</v>
      </c>
      <c r="AE145" s="28" t="s">
        <v>4501</v>
      </c>
    </row>
    <row r="146" ht="21.0" customHeight="1">
      <c r="A146" s="10" t="s">
        <v>21</v>
      </c>
      <c r="B146" s="15" t="s">
        <v>1452</v>
      </c>
      <c r="C146" s="12" t="s">
        <v>1453</v>
      </c>
      <c r="D146" s="13">
        <v>42522.0</v>
      </c>
      <c r="E146" s="14">
        <v>2016.0</v>
      </c>
      <c r="F146" s="15" t="s">
        <v>26</v>
      </c>
      <c r="G146" s="15" t="s">
        <v>42</v>
      </c>
      <c r="H146" s="14">
        <v>5.0</v>
      </c>
      <c r="I146" s="14">
        <v>65.0</v>
      </c>
      <c r="J146" s="16"/>
      <c r="K146" s="15" t="s">
        <v>1456</v>
      </c>
      <c r="M146" s="17" t="s">
        <v>31</v>
      </c>
      <c r="N146" s="16"/>
      <c r="P146" s="14"/>
      <c r="Q146" s="14"/>
      <c r="R146" s="14">
        <v>25.0</v>
      </c>
      <c r="S146" s="14"/>
      <c r="T146" s="15" t="s">
        <v>1457</v>
      </c>
      <c r="U146" s="14">
        <v>22.5</v>
      </c>
      <c r="V146" s="14">
        <v>0.019083969465648856</v>
      </c>
      <c r="W146" s="14" t="s">
        <v>4495</v>
      </c>
      <c r="X146" s="14" t="s">
        <v>4495</v>
      </c>
      <c r="Y146" s="18" t="s">
        <v>4495</v>
      </c>
      <c r="Z146" s="18">
        <v>0.2726143405923116</v>
      </c>
      <c r="AA146" s="18" t="s">
        <v>4495</v>
      </c>
      <c r="AB146" s="18">
        <v>1.0</v>
      </c>
      <c r="AC146" s="18">
        <v>0.6961219834498715</v>
      </c>
      <c r="AD146" s="18">
        <v>0.28776578349306503</v>
      </c>
      <c r="AE146" s="19" t="s">
        <v>4497</v>
      </c>
    </row>
    <row r="147" ht="21.0" customHeight="1">
      <c r="A147" s="20" t="s">
        <v>21</v>
      </c>
      <c r="B147" s="21" t="s">
        <v>788</v>
      </c>
      <c r="C147" s="22" t="s">
        <v>789</v>
      </c>
      <c r="D147" s="23">
        <v>43510.0</v>
      </c>
      <c r="E147" s="24">
        <v>2019.0</v>
      </c>
      <c r="F147" s="21" t="s">
        <v>41</v>
      </c>
      <c r="G147" s="21" t="s">
        <v>42</v>
      </c>
      <c r="H147" s="24">
        <v>9.0</v>
      </c>
      <c r="I147" s="24">
        <v>145.0</v>
      </c>
      <c r="J147" s="25" t="s">
        <v>792</v>
      </c>
      <c r="K147" s="21" t="s">
        <v>793</v>
      </c>
      <c r="L147" s="21" t="s">
        <v>794</v>
      </c>
      <c r="M147" s="26" t="s">
        <v>59</v>
      </c>
      <c r="N147" s="30" t="s">
        <v>795</v>
      </c>
      <c r="O147" s="21" t="s">
        <v>796</v>
      </c>
      <c r="P147" s="24">
        <v>24.0</v>
      </c>
      <c r="Q147" s="24"/>
      <c r="R147" s="24">
        <v>81.0</v>
      </c>
      <c r="S147" s="24">
        <v>2018.0</v>
      </c>
      <c r="T147" s="21" t="s">
        <v>797</v>
      </c>
      <c r="U147" s="24">
        <v>24.4</v>
      </c>
      <c r="V147" s="24">
        <v>0.05996691480562448</v>
      </c>
      <c r="W147" s="24">
        <v>1.0</v>
      </c>
      <c r="X147" s="24" t="s">
        <v>4495</v>
      </c>
      <c r="Y147" s="27" t="s">
        <v>4495</v>
      </c>
      <c r="Z147" s="27">
        <v>0.6753342500415529</v>
      </c>
      <c r="AA147" s="27">
        <v>1.0</v>
      </c>
      <c r="AB147" s="27">
        <v>1.0</v>
      </c>
      <c r="AC147" s="27">
        <v>0.7288655627113247</v>
      </c>
      <c r="AD147" s="27">
        <v>0.5917201187815208</v>
      </c>
      <c r="AE147" s="28" t="s">
        <v>4498</v>
      </c>
    </row>
    <row r="148" ht="21.0" customHeight="1">
      <c r="A148" s="10" t="s">
        <v>21</v>
      </c>
      <c r="B148" s="15" t="s">
        <v>1467</v>
      </c>
      <c r="C148" s="12" t="s">
        <v>1468</v>
      </c>
      <c r="D148" s="13">
        <v>44378.0</v>
      </c>
      <c r="E148" s="14">
        <v>2021.0</v>
      </c>
      <c r="F148" s="15" t="s">
        <v>41</v>
      </c>
      <c r="G148" s="15" t="s">
        <v>42</v>
      </c>
      <c r="H148" s="14">
        <v>5.0</v>
      </c>
      <c r="I148" s="14">
        <v>197.0</v>
      </c>
      <c r="J148" s="16"/>
      <c r="K148" s="15" t="s">
        <v>1471</v>
      </c>
      <c r="L148" s="15" t="s">
        <v>1472</v>
      </c>
      <c r="M148" s="17" t="s">
        <v>31</v>
      </c>
      <c r="N148" s="16"/>
      <c r="O148" s="15" t="s">
        <v>1473</v>
      </c>
      <c r="P148" s="14">
        <v>111.0</v>
      </c>
      <c r="Q148" s="14"/>
      <c r="R148" s="14">
        <v>192.0</v>
      </c>
      <c r="S148" s="14"/>
      <c r="T148" s="15" t="s">
        <v>1475</v>
      </c>
      <c r="U148" s="14">
        <v>19.0</v>
      </c>
      <c r="V148" s="14">
        <v>0.1270967741935484</v>
      </c>
      <c r="W148" s="14" t="s">
        <v>4495</v>
      </c>
      <c r="X148" s="14" t="s">
        <v>4495</v>
      </c>
      <c r="Y148" s="18" t="s">
        <v>4495</v>
      </c>
      <c r="Z148" s="18">
        <v>0.975447191684463</v>
      </c>
      <c r="AA148" s="18" t="s">
        <v>4495</v>
      </c>
      <c r="AB148" s="18">
        <v>1.0</v>
      </c>
      <c r="AC148" s="18">
        <v>0.6282045419740796</v>
      </c>
      <c r="AD148" s="18">
        <v>0.4566822521185237</v>
      </c>
      <c r="AE148" s="19" t="s">
        <v>4497</v>
      </c>
    </row>
    <row r="149" ht="21.0" customHeight="1">
      <c r="A149" s="20" t="s">
        <v>21</v>
      </c>
      <c r="B149" s="21" t="s">
        <v>1476</v>
      </c>
      <c r="C149" s="22" t="s">
        <v>1477</v>
      </c>
      <c r="D149" s="23">
        <v>41487.0</v>
      </c>
      <c r="E149" s="24">
        <v>2013.0</v>
      </c>
      <c r="F149" s="21" t="s">
        <v>41</v>
      </c>
      <c r="G149" s="21" t="s">
        <v>42</v>
      </c>
      <c r="H149" s="24">
        <v>5.0</v>
      </c>
      <c r="I149" s="24">
        <v>208.0</v>
      </c>
      <c r="J149" s="25"/>
      <c r="K149" s="21" t="s">
        <v>1480</v>
      </c>
      <c r="L149" s="21" t="s">
        <v>1481</v>
      </c>
      <c r="M149" s="26" t="s">
        <v>31</v>
      </c>
      <c r="N149" s="25"/>
      <c r="O149" s="21" t="s">
        <v>1482</v>
      </c>
      <c r="P149" s="24">
        <v>25.0</v>
      </c>
      <c r="Q149" s="24"/>
      <c r="R149" s="24">
        <v>176.0</v>
      </c>
      <c r="S149" s="24"/>
      <c r="T149" s="21" t="s">
        <v>1483</v>
      </c>
      <c r="U149" s="24">
        <v>46.6666666666666</v>
      </c>
      <c r="V149" s="24">
        <v>0.046836298131051564</v>
      </c>
      <c r="W149" s="24" t="s">
        <v>4495</v>
      </c>
      <c r="X149" s="24" t="s">
        <v>4495</v>
      </c>
      <c r="Y149" s="27" t="s">
        <v>4495</v>
      </c>
      <c r="Z149" s="27">
        <v>0.945105144241996</v>
      </c>
      <c r="AA149" s="27" t="s">
        <v>4495</v>
      </c>
      <c r="AB149" s="27">
        <v>1.0</v>
      </c>
      <c r="AC149" s="27">
        <v>0.9939699049545205</v>
      </c>
      <c r="AD149" s="27">
        <v>0.48567327655595105</v>
      </c>
      <c r="AE149" s="28" t="s">
        <v>4497</v>
      </c>
    </row>
    <row r="150" ht="21.0" customHeight="1">
      <c r="A150" s="10" t="s">
        <v>21</v>
      </c>
      <c r="B150" s="15" t="s">
        <v>1485</v>
      </c>
      <c r="C150" s="12" t="s">
        <v>1486</v>
      </c>
      <c r="D150" s="13">
        <v>41091.0</v>
      </c>
      <c r="E150" s="14">
        <v>2012.0</v>
      </c>
      <c r="F150" s="15" t="s">
        <v>41</v>
      </c>
      <c r="G150" s="15" t="s">
        <v>42</v>
      </c>
      <c r="H150" s="14">
        <v>5.0</v>
      </c>
      <c r="I150" s="14">
        <v>45.0</v>
      </c>
      <c r="J150" s="16"/>
      <c r="K150" s="15" t="s">
        <v>1488</v>
      </c>
      <c r="L150" s="15" t="s">
        <v>1489</v>
      </c>
      <c r="M150" s="17" t="s">
        <v>31</v>
      </c>
      <c r="N150" s="29"/>
      <c r="O150" s="15" t="s">
        <v>1490</v>
      </c>
      <c r="P150" s="14">
        <v>8.0</v>
      </c>
      <c r="Q150" s="14"/>
      <c r="R150" s="14">
        <v>25.0</v>
      </c>
      <c r="S150" s="14"/>
      <c r="T150" s="15" t="s">
        <v>1491</v>
      </c>
      <c r="U150" s="14">
        <v>15.5</v>
      </c>
      <c r="V150" s="14">
        <v>0.009303287161463718</v>
      </c>
      <c r="W150" s="14" t="s">
        <v>4495</v>
      </c>
      <c r="X150" s="14" t="s">
        <v>4495</v>
      </c>
      <c r="Y150" s="18" t="s">
        <v>4495</v>
      </c>
      <c r="Z150" s="18">
        <v>0.2726143405923116</v>
      </c>
      <c r="AA150" s="18" t="s">
        <v>4495</v>
      </c>
      <c r="AB150" s="18">
        <v>1.0</v>
      </c>
      <c r="AC150" s="18">
        <v>0.5471878814913675</v>
      </c>
      <c r="AD150" s="18">
        <v>0.27287237329721464</v>
      </c>
      <c r="AE150" s="19" t="s">
        <v>4497</v>
      </c>
    </row>
    <row r="151" ht="21.0" customHeight="1">
      <c r="A151" s="20" t="s">
        <v>21</v>
      </c>
      <c r="B151" s="21" t="s">
        <v>1502</v>
      </c>
      <c r="C151" s="22" t="s">
        <v>1503</v>
      </c>
      <c r="D151" s="23"/>
      <c r="E151" s="24"/>
      <c r="F151" s="21" t="s">
        <v>41</v>
      </c>
      <c r="G151" s="21" t="s">
        <v>42</v>
      </c>
      <c r="H151" s="24">
        <v>5.0</v>
      </c>
      <c r="I151" s="24">
        <v>47.0</v>
      </c>
      <c r="J151" s="25" t="s">
        <v>1504</v>
      </c>
      <c r="K151" s="21" t="s">
        <v>1505</v>
      </c>
      <c r="L151" s="21" t="s">
        <v>1506</v>
      </c>
      <c r="M151" s="26" t="s">
        <v>59</v>
      </c>
      <c r="N151" s="30" t="s">
        <v>1507</v>
      </c>
      <c r="O151" s="21" t="s">
        <v>1508</v>
      </c>
      <c r="P151" s="24">
        <v>11.0</v>
      </c>
      <c r="Q151" s="24"/>
      <c r="R151" s="24">
        <v>33.0</v>
      </c>
      <c r="S151" s="24">
        <v>2016.0</v>
      </c>
      <c r="T151" s="21" t="s">
        <v>1509</v>
      </c>
      <c r="U151" s="24">
        <v>9.0</v>
      </c>
      <c r="V151" s="24" t="s">
        <v>4495</v>
      </c>
      <c r="W151" s="24" t="s">
        <v>4495</v>
      </c>
      <c r="X151" s="24" t="s">
        <v>4495</v>
      </c>
      <c r="Y151" s="27" t="s">
        <v>4495</v>
      </c>
      <c r="Z151" s="27">
        <v>0.36667068086885374</v>
      </c>
      <c r="AA151" s="27" t="s">
        <v>4495</v>
      </c>
      <c r="AB151" s="27" t="s">
        <v>4495</v>
      </c>
      <c r="AC151" s="27">
        <v>0.336288352872133</v>
      </c>
      <c r="AD151" s="27">
        <v>0.12529650550442673</v>
      </c>
      <c r="AE151" s="28" t="s">
        <v>4500</v>
      </c>
    </row>
    <row r="152" ht="21.0" customHeight="1">
      <c r="A152" s="10" t="s">
        <v>21</v>
      </c>
      <c r="B152" s="15" t="s">
        <v>1510</v>
      </c>
      <c r="C152" s="12" t="s">
        <v>1511</v>
      </c>
      <c r="D152" s="13">
        <v>42804.0</v>
      </c>
      <c r="E152" s="14">
        <v>2017.0</v>
      </c>
      <c r="F152" s="15" t="s">
        <v>622</v>
      </c>
      <c r="G152" s="15" t="s">
        <v>27</v>
      </c>
      <c r="H152" s="14">
        <v>5.0</v>
      </c>
      <c r="I152" s="14">
        <v>37.0</v>
      </c>
      <c r="J152" s="16"/>
      <c r="K152" s="15" t="s">
        <v>1513</v>
      </c>
      <c r="L152" s="15" t="s">
        <v>1514</v>
      </c>
      <c r="M152" s="17" t="s">
        <v>31</v>
      </c>
      <c r="N152" s="16"/>
      <c r="O152" s="31" t="s">
        <v>1515</v>
      </c>
      <c r="P152" s="14">
        <v>6.0</v>
      </c>
      <c r="Q152" s="14"/>
      <c r="R152" s="14">
        <v>8.0</v>
      </c>
      <c r="S152" s="14"/>
      <c r="T152" s="15" t="s">
        <v>1516</v>
      </c>
      <c r="U152" s="14">
        <v>5.0</v>
      </c>
      <c r="V152" s="14">
        <v>0.011843790012804098</v>
      </c>
      <c r="W152" s="14" t="s">
        <v>4495</v>
      </c>
      <c r="X152" s="14" t="s">
        <v>4495</v>
      </c>
      <c r="Y152" s="18" t="s">
        <v>4495</v>
      </c>
      <c r="Z152" s="18">
        <v>0.0</v>
      </c>
      <c r="AA152" s="18" t="s">
        <v>4495</v>
      </c>
      <c r="AB152" s="18">
        <v>1.0</v>
      </c>
      <c r="AC152" s="18">
        <v>0.12115616512388203</v>
      </c>
      <c r="AD152" s="18">
        <v>0.1621156165123882</v>
      </c>
      <c r="AE152" s="19" t="s">
        <v>4497</v>
      </c>
    </row>
    <row r="153" ht="21.0" customHeight="1">
      <c r="A153" s="20" t="s">
        <v>21</v>
      </c>
      <c r="B153" s="21" t="s">
        <v>850</v>
      </c>
      <c r="C153" s="22" t="s">
        <v>851</v>
      </c>
      <c r="D153" s="23">
        <v>43293.0</v>
      </c>
      <c r="E153" s="24">
        <v>2018.0</v>
      </c>
      <c r="F153" s="21" t="s">
        <v>41</v>
      </c>
      <c r="G153" s="21" t="s">
        <v>42</v>
      </c>
      <c r="H153" s="24">
        <v>9.0</v>
      </c>
      <c r="I153" s="24">
        <v>169.0</v>
      </c>
      <c r="J153" s="25"/>
      <c r="K153" s="21" t="s">
        <v>854</v>
      </c>
      <c r="L153" s="21" t="s">
        <v>855</v>
      </c>
      <c r="M153" s="26" t="s">
        <v>59</v>
      </c>
      <c r="N153" s="30" t="s">
        <v>856</v>
      </c>
      <c r="O153" s="21" t="s">
        <v>857</v>
      </c>
      <c r="P153" s="24">
        <v>20.0</v>
      </c>
      <c r="Q153" s="24"/>
      <c r="R153" s="24">
        <v>99.0</v>
      </c>
      <c r="S153" s="24"/>
      <c r="T153" s="21" t="s">
        <v>858</v>
      </c>
      <c r="U153" s="24">
        <v>18.5</v>
      </c>
      <c r="V153" s="24">
        <v>0.06413662239089184</v>
      </c>
      <c r="W153" s="24" t="s">
        <v>4495</v>
      </c>
      <c r="X153" s="24" t="s">
        <v>4495</v>
      </c>
      <c r="Y153" s="27" t="s">
        <v>4495</v>
      </c>
      <c r="Z153" s="27">
        <v>0.7449133585076116</v>
      </c>
      <c r="AA153" s="27" t="s">
        <v>4495</v>
      </c>
      <c r="AB153" s="27">
        <v>1.0</v>
      </c>
      <c r="AC153" s="27">
        <v>0.6175420474412181</v>
      </c>
      <c r="AD153" s="27">
        <v>0.3979825443710247</v>
      </c>
      <c r="AE153" s="28" t="s">
        <v>4498</v>
      </c>
    </row>
    <row r="154" ht="21.0" customHeight="1">
      <c r="A154" s="10" t="s">
        <v>21</v>
      </c>
      <c r="B154" s="15" t="s">
        <v>767</v>
      </c>
      <c r="C154" s="12" t="s">
        <v>768</v>
      </c>
      <c r="D154" s="13">
        <v>44412.0</v>
      </c>
      <c r="E154" s="14">
        <v>2021.0</v>
      </c>
      <c r="F154" s="15" t="s">
        <v>41</v>
      </c>
      <c r="G154" s="15" t="s">
        <v>42</v>
      </c>
      <c r="H154" s="14">
        <v>9.0</v>
      </c>
      <c r="I154" s="14">
        <v>163.0</v>
      </c>
      <c r="J154" s="16" t="s">
        <v>771</v>
      </c>
      <c r="K154" s="15" t="s">
        <v>772</v>
      </c>
      <c r="L154" s="15" t="s">
        <v>773</v>
      </c>
      <c r="M154" s="17" t="s">
        <v>59</v>
      </c>
      <c r="N154" s="29" t="s">
        <v>774</v>
      </c>
      <c r="O154" s="15" t="s">
        <v>775</v>
      </c>
      <c r="P154" s="14">
        <v>33.0</v>
      </c>
      <c r="Q154" s="14"/>
      <c r="R154" s="14">
        <v>164.0</v>
      </c>
      <c r="S154" s="14">
        <v>2021.0</v>
      </c>
      <c r="T154" s="15" t="s">
        <v>776</v>
      </c>
      <c r="U154" s="14">
        <v>17.75</v>
      </c>
      <c r="V154" s="14">
        <v>0.10751978891820581</v>
      </c>
      <c r="W154" s="14">
        <v>0.0</v>
      </c>
      <c r="X154" s="14" t="s">
        <v>4495</v>
      </c>
      <c r="Y154" s="18" t="s">
        <v>4495</v>
      </c>
      <c r="Z154" s="18">
        <v>0.9204907495688482</v>
      </c>
      <c r="AA154" s="18">
        <v>1.0</v>
      </c>
      <c r="AB154" s="18">
        <v>1.0</v>
      </c>
      <c r="AC154" s="18">
        <v>0.6010243994745663</v>
      </c>
      <c r="AD154" s="18">
        <v>0.6402251273396687</v>
      </c>
      <c r="AE154" s="19" t="s">
        <v>4498</v>
      </c>
    </row>
    <row r="155" ht="21.0" customHeight="1">
      <c r="A155" s="20" t="s">
        <v>21</v>
      </c>
      <c r="B155" s="21" t="s">
        <v>1536</v>
      </c>
      <c r="C155" s="22" t="s">
        <v>1537</v>
      </c>
      <c r="D155" s="23">
        <v>43922.0</v>
      </c>
      <c r="E155" s="24">
        <v>2020.0</v>
      </c>
      <c r="F155" s="21" t="s">
        <v>41</v>
      </c>
      <c r="G155" s="21" t="s">
        <v>1119</v>
      </c>
      <c r="H155" s="24">
        <v>4.0</v>
      </c>
      <c r="I155" s="24">
        <v>163.0</v>
      </c>
      <c r="J155" s="25" t="s">
        <v>1539</v>
      </c>
      <c r="K155" s="21" t="s">
        <v>1540</v>
      </c>
      <c r="L155" s="21" t="s">
        <v>1541</v>
      </c>
      <c r="M155" s="26" t="s">
        <v>59</v>
      </c>
      <c r="N155" s="30" t="s">
        <v>1542</v>
      </c>
      <c r="P155" s="24"/>
      <c r="Q155" s="24"/>
      <c r="R155" s="24">
        <v>82.0</v>
      </c>
      <c r="S155" s="24">
        <v>2020.0</v>
      </c>
      <c r="T155" s="21" t="s">
        <v>1544</v>
      </c>
      <c r="U155" s="24">
        <v>15.5</v>
      </c>
      <c r="V155" s="24">
        <v>0.08125623130608176</v>
      </c>
      <c r="W155" s="24">
        <v>0.0</v>
      </c>
      <c r="X155" s="24" t="s">
        <v>4495</v>
      </c>
      <c r="Y155" s="27" t="s">
        <v>4495</v>
      </c>
      <c r="Z155" s="27">
        <v>0.6795841339910054</v>
      </c>
      <c r="AA155" s="27">
        <v>1.0</v>
      </c>
      <c r="AB155" s="27">
        <v>1.0</v>
      </c>
      <c r="AC155" s="27">
        <v>0.5471878814913675</v>
      </c>
      <c r="AD155" s="27">
        <v>0.5746148216468882</v>
      </c>
      <c r="AE155" s="28" t="s">
        <v>4499</v>
      </c>
    </row>
    <row r="156" ht="21.0" customHeight="1">
      <c r="A156" s="10" t="s">
        <v>21</v>
      </c>
      <c r="B156" s="15" t="s">
        <v>1545</v>
      </c>
      <c r="C156" s="12" t="s">
        <v>1546</v>
      </c>
      <c r="D156" s="13"/>
      <c r="E156" s="14"/>
      <c r="F156" s="15" t="s">
        <v>26</v>
      </c>
      <c r="G156" s="15" t="s">
        <v>27</v>
      </c>
      <c r="H156" s="14">
        <v>4.0</v>
      </c>
      <c r="I156" s="14">
        <v>53.0</v>
      </c>
      <c r="J156" s="16"/>
      <c r="K156" s="15" t="s">
        <v>1547</v>
      </c>
      <c r="M156" s="17" t="s">
        <v>31</v>
      </c>
      <c r="N156" s="29"/>
      <c r="P156" s="14"/>
      <c r="Q156" s="14"/>
      <c r="R156" s="14">
        <v>12.0</v>
      </c>
      <c r="S156" s="14"/>
      <c r="T156" s="15" t="s">
        <v>1548</v>
      </c>
      <c r="U156" s="14">
        <v>3.0</v>
      </c>
      <c r="V156" s="14" t="s">
        <v>4495</v>
      </c>
      <c r="W156" s="14" t="s">
        <v>4495</v>
      </c>
      <c r="X156" s="14" t="s">
        <v>4495</v>
      </c>
      <c r="Y156" s="18" t="s">
        <v>4495</v>
      </c>
      <c r="Z156" s="18">
        <v>0.029589222297267914</v>
      </c>
      <c r="AA156" s="18" t="s">
        <v>4495</v>
      </c>
      <c r="AB156" s="18" t="s">
        <v>4495</v>
      </c>
      <c r="AC156" s="18">
        <v>0.0</v>
      </c>
      <c r="AD156" s="18">
        <v>0.007397305574316978</v>
      </c>
      <c r="AE156" s="19" t="s">
        <v>4497</v>
      </c>
    </row>
    <row r="157" ht="21.0" customHeight="1">
      <c r="A157" s="20" t="s">
        <v>21</v>
      </c>
      <c r="B157" s="21" t="s">
        <v>799</v>
      </c>
      <c r="C157" s="22" t="s">
        <v>800</v>
      </c>
      <c r="D157" s="23">
        <v>44230.0</v>
      </c>
      <c r="E157" s="24">
        <v>2021.0</v>
      </c>
      <c r="F157" s="21" t="s">
        <v>41</v>
      </c>
      <c r="G157" s="21" t="s">
        <v>42</v>
      </c>
      <c r="H157" s="24">
        <v>9.0</v>
      </c>
      <c r="I157" s="24">
        <v>264.0</v>
      </c>
      <c r="J157" s="25" t="s">
        <v>803</v>
      </c>
      <c r="K157" s="21" t="s">
        <v>804</v>
      </c>
      <c r="L157" s="21" t="s">
        <v>805</v>
      </c>
      <c r="M157" s="26" t="s">
        <v>59</v>
      </c>
      <c r="N157" s="25" t="s">
        <v>806</v>
      </c>
      <c r="O157" s="21" t="s">
        <v>807</v>
      </c>
      <c r="P157" s="24">
        <v>20.0</v>
      </c>
      <c r="Q157" s="24"/>
      <c r="R157" s="24">
        <v>96.0</v>
      </c>
      <c r="S157" s="24">
        <v>2020.0</v>
      </c>
      <c r="T157" s="21" t="s">
        <v>809</v>
      </c>
      <c r="U157" s="24">
        <v>14.8</v>
      </c>
      <c r="V157" s="24">
        <v>0.15547703180212014</v>
      </c>
      <c r="W157" s="24">
        <v>1.0</v>
      </c>
      <c r="X157" s="24" t="s">
        <v>4495</v>
      </c>
      <c r="Y157" s="27" t="s">
        <v>4495</v>
      </c>
      <c r="Z157" s="27">
        <v>0.7342340212618556</v>
      </c>
      <c r="AA157" s="27">
        <v>1.0</v>
      </c>
      <c r="AB157" s="27">
        <v>1.0</v>
      </c>
      <c r="AC157" s="27">
        <v>0.5289310150557403</v>
      </c>
      <c r="AD157" s="27">
        <v>0.5864516068210379</v>
      </c>
      <c r="AE157" s="28" t="s">
        <v>4498</v>
      </c>
    </row>
    <row r="158" ht="21.0" customHeight="1">
      <c r="A158" s="10" t="s">
        <v>21</v>
      </c>
      <c r="B158" s="15" t="s">
        <v>1557</v>
      </c>
      <c r="C158" s="12" t="s">
        <v>1558</v>
      </c>
      <c r="D158" s="13"/>
      <c r="E158" s="14"/>
      <c r="F158" s="15" t="s">
        <v>26</v>
      </c>
      <c r="H158" s="14">
        <v>4.0</v>
      </c>
      <c r="I158" s="14">
        <v>44.0</v>
      </c>
      <c r="J158" s="16"/>
      <c r="K158" s="15" t="s">
        <v>1559</v>
      </c>
      <c r="M158" s="17" t="s">
        <v>31</v>
      </c>
      <c r="N158" s="29"/>
      <c r="P158" s="14"/>
      <c r="Q158" s="14"/>
      <c r="R158" s="14">
        <v>8.0</v>
      </c>
      <c r="S158" s="14"/>
      <c r="T158" s="15" t="s">
        <v>1560</v>
      </c>
      <c r="U158" s="14">
        <v>2.5</v>
      </c>
      <c r="V158" s="14" t="s">
        <v>4495</v>
      </c>
      <c r="W158" s="14" t="s">
        <v>4495</v>
      </c>
      <c r="X158" s="14" t="s">
        <v>4495</v>
      </c>
      <c r="Y158" s="18" t="s">
        <v>4495</v>
      </c>
      <c r="Z158" s="18">
        <v>0.0</v>
      </c>
      <c r="AA158" s="18" t="s">
        <v>4495</v>
      </c>
      <c r="AB158" s="18" t="s">
        <v>4495</v>
      </c>
      <c r="AC158" s="18">
        <v>0.0</v>
      </c>
      <c r="AD158" s="18">
        <v>0.0</v>
      </c>
      <c r="AE158" s="19" t="s">
        <v>4497</v>
      </c>
    </row>
    <row r="159" ht="21.0" customHeight="1">
      <c r="A159" s="20" t="s">
        <v>21</v>
      </c>
      <c r="B159" s="21" t="s">
        <v>831</v>
      </c>
      <c r="C159" s="22" t="s">
        <v>832</v>
      </c>
      <c r="D159" s="23">
        <v>44571.0</v>
      </c>
      <c r="E159" s="24">
        <v>2022.0</v>
      </c>
      <c r="F159" s="21" t="s">
        <v>26</v>
      </c>
      <c r="H159" s="24">
        <v>9.0</v>
      </c>
      <c r="I159" s="24">
        <v>221.0</v>
      </c>
      <c r="J159" s="25" t="s">
        <v>834</v>
      </c>
      <c r="K159" s="21" t="s">
        <v>835</v>
      </c>
      <c r="L159" s="21" t="s">
        <v>836</v>
      </c>
      <c r="M159" s="26" t="s">
        <v>59</v>
      </c>
      <c r="N159" s="30" t="s">
        <v>837</v>
      </c>
      <c r="P159" s="24"/>
      <c r="Q159" s="24"/>
      <c r="R159" s="24">
        <v>101.0</v>
      </c>
      <c r="S159" s="24">
        <v>2021.0</v>
      </c>
      <c r="T159" s="21" t="s">
        <v>838</v>
      </c>
      <c r="U159" s="24">
        <v>19.5714285714285</v>
      </c>
      <c r="V159" s="24">
        <v>0.16285924834193072</v>
      </c>
      <c r="W159" s="24">
        <v>1.0</v>
      </c>
      <c r="X159" s="24" t="s">
        <v>4495</v>
      </c>
      <c r="Y159" s="27" t="s">
        <v>4495</v>
      </c>
      <c r="Z159" s="27">
        <v>0.7518563800998207</v>
      </c>
      <c r="AA159" s="27">
        <v>1.0</v>
      </c>
      <c r="AB159" s="27">
        <v>1.0</v>
      </c>
      <c r="AC159" s="27">
        <v>0.6400685952060838</v>
      </c>
      <c r="AD159" s="27">
        <v>0.6019709545455636</v>
      </c>
      <c r="AE159" s="28" t="s">
        <v>4498</v>
      </c>
    </row>
    <row r="160" ht="21.0" customHeight="1">
      <c r="A160" s="10" t="s">
        <v>21</v>
      </c>
      <c r="B160" s="15" t="s">
        <v>1570</v>
      </c>
      <c r="C160" s="12" t="s">
        <v>1571</v>
      </c>
      <c r="D160" s="13">
        <v>44168.0</v>
      </c>
      <c r="E160" s="14">
        <v>2020.0</v>
      </c>
      <c r="F160" s="15" t="s">
        <v>622</v>
      </c>
      <c r="H160" s="14">
        <v>4.0</v>
      </c>
      <c r="I160" s="14">
        <v>17.0</v>
      </c>
      <c r="J160" s="16" t="s">
        <v>1573</v>
      </c>
      <c r="K160" s="15" t="s">
        <v>1574</v>
      </c>
      <c r="L160" s="15" t="s">
        <v>1575</v>
      </c>
      <c r="M160" s="17" t="s">
        <v>31</v>
      </c>
      <c r="N160" s="16"/>
      <c r="O160" s="15" t="s">
        <v>1576</v>
      </c>
      <c r="P160" s="14">
        <v>8.0</v>
      </c>
      <c r="Q160" s="14"/>
      <c r="R160" s="14">
        <v>25.0</v>
      </c>
      <c r="S160" s="14"/>
      <c r="T160" s="15" t="s">
        <v>1577</v>
      </c>
      <c r="U160" s="14">
        <v>37.0</v>
      </c>
      <c r="V160" s="14">
        <v>0.009659090909090909</v>
      </c>
      <c r="W160" s="14" t="s">
        <v>4495</v>
      </c>
      <c r="X160" s="14" t="s">
        <v>4495</v>
      </c>
      <c r="Y160" s="18" t="s">
        <v>4495</v>
      </c>
      <c r="Z160" s="18">
        <v>0.2726143405923116</v>
      </c>
      <c r="AA160" s="18" t="s">
        <v>4495</v>
      </c>
      <c r="AB160" s="18">
        <v>1.0</v>
      </c>
      <c r="AC160" s="18">
        <v>0.8985187633496309</v>
      </c>
      <c r="AD160" s="18">
        <v>0.308005461483041</v>
      </c>
      <c r="AE160" s="19" t="s">
        <v>4497</v>
      </c>
    </row>
    <row r="161" ht="21.0" customHeight="1">
      <c r="A161" s="20" t="s">
        <v>21</v>
      </c>
      <c r="B161" s="21" t="s">
        <v>691</v>
      </c>
      <c r="C161" s="22" t="s">
        <v>692</v>
      </c>
      <c r="D161" s="23">
        <v>44874.0</v>
      </c>
      <c r="E161" s="24">
        <v>2022.0</v>
      </c>
      <c r="F161" s="21" t="s">
        <v>41</v>
      </c>
      <c r="G161" s="21" t="s">
        <v>42</v>
      </c>
      <c r="H161" s="24">
        <v>10.0</v>
      </c>
      <c r="I161" s="24">
        <v>136.0</v>
      </c>
      <c r="J161" s="25" t="s">
        <v>694</v>
      </c>
      <c r="K161" s="21" t="s">
        <v>695</v>
      </c>
      <c r="L161" s="21" t="s">
        <v>696</v>
      </c>
      <c r="M161" s="26" t="s">
        <v>59</v>
      </c>
      <c r="N161" s="30" t="s">
        <v>697</v>
      </c>
      <c r="O161" s="21" t="s">
        <v>698</v>
      </c>
      <c r="P161" s="24">
        <v>40.0</v>
      </c>
      <c r="Q161" s="24"/>
      <c r="R161" s="24">
        <v>187.0</v>
      </c>
      <c r="S161" s="24"/>
      <c r="T161" s="21" t="s">
        <v>700</v>
      </c>
      <c r="U161" s="24">
        <v>10.8333333333333</v>
      </c>
      <c r="V161" s="24">
        <v>0.12903225806451613</v>
      </c>
      <c r="W161" s="24" t="s">
        <v>4495</v>
      </c>
      <c r="X161" s="24" t="s">
        <v>4495</v>
      </c>
      <c r="Y161" s="27" t="s">
        <v>4495</v>
      </c>
      <c r="Z161" s="27">
        <v>0.9662442714017269</v>
      </c>
      <c r="AA161" s="27" t="s">
        <v>4495</v>
      </c>
      <c r="AB161" s="27">
        <v>1.0</v>
      </c>
      <c r="AC161" s="27">
        <v>0.40718210382644554</v>
      </c>
      <c r="AD161" s="27">
        <v>0.43227927823307627</v>
      </c>
      <c r="AE161" s="28" t="s">
        <v>4498</v>
      </c>
    </row>
    <row r="162" ht="21.0" customHeight="1">
      <c r="A162" s="10" t="s">
        <v>21</v>
      </c>
      <c r="B162" s="15" t="s">
        <v>1587</v>
      </c>
      <c r="C162" s="12" t="s">
        <v>1588</v>
      </c>
      <c r="D162" s="13">
        <v>41214.0</v>
      </c>
      <c r="E162" s="14">
        <v>2012.0</v>
      </c>
      <c r="F162" s="15" t="s">
        <v>41</v>
      </c>
      <c r="G162" s="15" t="s">
        <v>42</v>
      </c>
      <c r="H162" s="14">
        <v>4.0</v>
      </c>
      <c r="I162" s="14">
        <v>43.0</v>
      </c>
      <c r="J162" s="16" t="s">
        <v>1590</v>
      </c>
      <c r="K162" s="15" t="s">
        <v>1591</v>
      </c>
      <c r="L162" s="15" t="s">
        <v>1592</v>
      </c>
      <c r="M162" s="17" t="s">
        <v>59</v>
      </c>
      <c r="N162" s="29" t="s">
        <v>1593</v>
      </c>
      <c r="P162" s="14"/>
      <c r="Q162" s="14"/>
      <c r="R162" s="14">
        <v>29.0</v>
      </c>
      <c r="S162" s="14">
        <v>2011.0</v>
      </c>
      <c r="T162" s="15" t="s">
        <v>1594</v>
      </c>
      <c r="U162" s="14">
        <v>17.0</v>
      </c>
      <c r="V162" s="14">
        <v>0.009121764955451845</v>
      </c>
      <c r="W162" s="14">
        <v>1.0</v>
      </c>
      <c r="X162" s="14" t="s">
        <v>4495</v>
      </c>
      <c r="Y162" s="18" t="s">
        <v>4495</v>
      </c>
      <c r="Z162" s="18">
        <v>0.3227870895109485</v>
      </c>
      <c r="AA162" s="18">
        <v>1.0</v>
      </c>
      <c r="AB162" s="18">
        <v>1.0</v>
      </c>
      <c r="AC162" s="18">
        <v>0.5838323782038936</v>
      </c>
      <c r="AD162" s="18">
        <v>0.4890800101981265</v>
      </c>
      <c r="AE162" s="19" t="s">
        <v>4499</v>
      </c>
    </row>
    <row r="163" ht="21.0" customHeight="1">
      <c r="A163" s="20" t="s">
        <v>21</v>
      </c>
      <c r="B163" s="21" t="s">
        <v>1595</v>
      </c>
      <c r="C163" s="22" t="s">
        <v>1596</v>
      </c>
      <c r="D163" s="23">
        <v>44984.0</v>
      </c>
      <c r="E163" s="24">
        <v>2023.0</v>
      </c>
      <c r="F163" s="21" t="s">
        <v>41</v>
      </c>
      <c r="G163" s="21" t="s">
        <v>42</v>
      </c>
      <c r="H163" s="24">
        <v>4.0</v>
      </c>
      <c r="I163" s="24">
        <v>103.0</v>
      </c>
      <c r="J163" s="25"/>
      <c r="K163" s="21" t="s">
        <v>1598</v>
      </c>
      <c r="L163" s="21" t="s">
        <v>1599</v>
      </c>
      <c r="M163" s="26" t="s">
        <v>31</v>
      </c>
      <c r="N163" s="25"/>
      <c r="O163" s="21" t="s">
        <v>1600</v>
      </c>
      <c r="P163" s="24">
        <v>79.0</v>
      </c>
      <c r="Q163" s="24"/>
      <c r="R163" s="24">
        <v>75.0</v>
      </c>
      <c r="S163" s="24"/>
      <c r="T163" s="21" t="s">
        <v>1602</v>
      </c>
      <c r="U163" s="24">
        <v>16.0</v>
      </c>
      <c r="V163" s="24">
        <v>0.10911016949152542</v>
      </c>
      <c r="W163" s="24" t="s">
        <v>4495</v>
      </c>
      <c r="X163" s="24" t="s">
        <v>4495</v>
      </c>
      <c r="Y163" s="27" t="s">
        <v>4495</v>
      </c>
      <c r="Z163" s="27">
        <v>0.6486927451058364</v>
      </c>
      <c r="AA163" s="27" t="s">
        <v>4495</v>
      </c>
      <c r="AB163" s="27">
        <v>1.0</v>
      </c>
      <c r="AC163" s="27">
        <v>0.5597603386555386</v>
      </c>
      <c r="AD163" s="27">
        <v>0.36814922014201296</v>
      </c>
      <c r="AE163" s="28" t="s">
        <v>4497</v>
      </c>
    </row>
    <row r="164" ht="21.0" customHeight="1">
      <c r="A164" s="10" t="s">
        <v>21</v>
      </c>
      <c r="B164" s="15" t="s">
        <v>1603</v>
      </c>
      <c r="C164" s="12" t="s">
        <v>1604</v>
      </c>
      <c r="D164" s="13">
        <v>40896.0</v>
      </c>
      <c r="E164" s="14">
        <v>2011.0</v>
      </c>
      <c r="F164" s="15" t="s">
        <v>41</v>
      </c>
      <c r="G164" s="15" t="s">
        <v>42</v>
      </c>
      <c r="H164" s="14">
        <v>4.0</v>
      </c>
      <c r="I164" s="14">
        <v>50.0</v>
      </c>
      <c r="J164" s="16" t="s">
        <v>1606</v>
      </c>
      <c r="K164" s="15" t="s">
        <v>1607</v>
      </c>
      <c r="L164" s="15" t="s">
        <v>1608</v>
      </c>
      <c r="M164" s="17" t="s">
        <v>31</v>
      </c>
      <c r="N164" s="16"/>
      <c r="P164" s="14"/>
      <c r="Q164" s="14"/>
      <c r="R164" s="14">
        <v>63.0</v>
      </c>
      <c r="S164" s="14">
        <v>2011.0</v>
      </c>
      <c r="T164" s="15" t="s">
        <v>86</v>
      </c>
      <c r="U164" s="14">
        <v>34.6666666666666</v>
      </c>
      <c r="V164" s="14">
        <v>0.009936406995230525</v>
      </c>
      <c r="W164" s="14">
        <v>0.0</v>
      </c>
      <c r="X164" s="14" t="s">
        <v>4495</v>
      </c>
      <c r="Y164" s="18" t="s">
        <v>4495</v>
      </c>
      <c r="Z164" s="18">
        <v>0.5884401318226129</v>
      </c>
      <c r="AA164" s="18">
        <v>1.0</v>
      </c>
      <c r="AB164" s="18">
        <v>1.0</v>
      </c>
      <c r="AC164" s="18">
        <v>0.87183090148872</v>
      </c>
      <c r="AD164" s="18">
        <v>0.5842931231045253</v>
      </c>
      <c r="AE164" s="19" t="s">
        <v>4497</v>
      </c>
    </row>
    <row r="165" ht="21.0" customHeight="1">
      <c r="A165" s="20" t="s">
        <v>21</v>
      </c>
      <c r="B165" s="21" t="s">
        <v>722</v>
      </c>
      <c r="C165" s="22" t="s">
        <v>723</v>
      </c>
      <c r="D165" s="23">
        <v>44804.0</v>
      </c>
      <c r="E165" s="24">
        <v>2022.0</v>
      </c>
      <c r="F165" s="21" t="s">
        <v>41</v>
      </c>
      <c r="G165" s="21" t="s">
        <v>42</v>
      </c>
      <c r="H165" s="24">
        <v>10.0</v>
      </c>
      <c r="I165" s="24">
        <v>191.0</v>
      </c>
      <c r="J165" s="25" t="s">
        <v>726</v>
      </c>
      <c r="K165" s="21" t="s">
        <v>727</v>
      </c>
      <c r="L165" s="21" t="s">
        <v>728</v>
      </c>
      <c r="M165" s="26" t="s">
        <v>59</v>
      </c>
      <c r="N165" s="30" t="s">
        <v>729</v>
      </c>
      <c r="O165" s="21" t="s">
        <v>730</v>
      </c>
      <c r="P165" s="24">
        <v>36.0</v>
      </c>
      <c r="Q165" s="24"/>
      <c r="R165" s="24">
        <v>279.0</v>
      </c>
      <c r="S165" s="24">
        <v>2022.0</v>
      </c>
      <c r="T165" s="21" t="s">
        <v>733</v>
      </c>
      <c r="U165" s="24">
        <v>16.2</v>
      </c>
      <c r="V165" s="24">
        <v>0.1699288256227758</v>
      </c>
      <c r="W165" s="24">
        <v>0.0</v>
      </c>
      <c r="X165" s="24" t="s">
        <v>4495</v>
      </c>
      <c r="Y165" s="27" t="s">
        <v>4495</v>
      </c>
      <c r="Z165" s="27">
        <v>1.0</v>
      </c>
      <c r="AA165" s="27">
        <v>1.0</v>
      </c>
      <c r="AB165" s="27">
        <v>1.0</v>
      </c>
      <c r="AC165" s="27">
        <v>0.5646860794664548</v>
      </c>
      <c r="AD165" s="27">
        <v>0.6564686079466454</v>
      </c>
      <c r="AE165" s="28" t="s">
        <v>4498</v>
      </c>
    </row>
    <row r="166" ht="21.0" customHeight="1">
      <c r="A166" s="10" t="s">
        <v>21</v>
      </c>
      <c r="B166" s="15" t="s">
        <v>1618</v>
      </c>
      <c r="C166" s="12" t="s">
        <v>1619</v>
      </c>
      <c r="D166" s="13">
        <v>42417.0</v>
      </c>
      <c r="E166" s="14">
        <v>2016.0</v>
      </c>
      <c r="F166" s="15" t="s">
        <v>26</v>
      </c>
      <c r="G166" s="15" t="s">
        <v>42</v>
      </c>
      <c r="H166" s="14">
        <v>4.0</v>
      </c>
      <c r="I166" s="14">
        <v>29.0</v>
      </c>
      <c r="J166" s="16"/>
      <c r="K166" s="15" t="s">
        <v>1621</v>
      </c>
      <c r="L166" s="15" t="s">
        <v>1622</v>
      </c>
      <c r="M166" s="17" t="s">
        <v>59</v>
      </c>
      <c r="N166" s="16" t="s">
        <v>1623</v>
      </c>
      <c r="O166" s="15" t="s">
        <v>1624</v>
      </c>
      <c r="P166" s="14">
        <v>4.0</v>
      </c>
      <c r="Q166" s="14"/>
      <c r="R166" s="14">
        <v>21.0</v>
      </c>
      <c r="S166" s="14"/>
      <c r="T166" s="15" t="s">
        <v>1625</v>
      </c>
      <c r="U166" s="14">
        <v>3.66666666666666</v>
      </c>
      <c r="V166" s="14">
        <v>0.008259755055539733</v>
      </c>
      <c r="W166" s="14" t="s">
        <v>4495</v>
      </c>
      <c r="X166" s="14" t="s">
        <v>4495</v>
      </c>
      <c r="Y166" s="18" t="s">
        <v>4495</v>
      </c>
      <c r="Z166" s="18">
        <v>0.21404331870033824</v>
      </c>
      <c r="AA166" s="18" t="s">
        <v>4495</v>
      </c>
      <c r="AB166" s="18">
        <v>1.0</v>
      </c>
      <c r="AC166" s="18">
        <v>0.015316089267507091</v>
      </c>
      <c r="AD166" s="18">
        <v>0.20504243860183527</v>
      </c>
      <c r="AE166" s="19" t="s">
        <v>4500</v>
      </c>
    </row>
    <row r="167" ht="21.0" customHeight="1">
      <c r="A167" s="20" t="s">
        <v>21</v>
      </c>
      <c r="B167" s="21" t="s">
        <v>1627</v>
      </c>
      <c r="C167" s="22" t="s">
        <v>1628</v>
      </c>
      <c r="D167" s="23">
        <v>44093.0</v>
      </c>
      <c r="E167" s="24">
        <v>2020.0</v>
      </c>
      <c r="F167" s="21" t="s">
        <v>41</v>
      </c>
      <c r="G167" s="21" t="s">
        <v>42</v>
      </c>
      <c r="H167" s="24">
        <v>4.0</v>
      </c>
      <c r="I167" s="24">
        <v>160.0</v>
      </c>
      <c r="J167" s="25" t="s">
        <v>1630</v>
      </c>
      <c r="K167" s="21" t="s">
        <v>1631</v>
      </c>
      <c r="L167" s="21" t="s">
        <v>1632</v>
      </c>
      <c r="M167" s="26" t="s">
        <v>31</v>
      </c>
      <c r="N167" s="25"/>
      <c r="O167" s="21" t="s">
        <v>1633</v>
      </c>
      <c r="P167" s="24">
        <v>50.0</v>
      </c>
      <c r="Q167" s="24"/>
      <c r="R167" s="24">
        <v>274.0</v>
      </c>
      <c r="S167" s="24"/>
      <c r="T167" s="21" t="s">
        <v>1635</v>
      </c>
      <c r="U167" s="24">
        <v>30.6666666666666</v>
      </c>
      <c r="V167" s="24">
        <v>0.08719346049046321</v>
      </c>
      <c r="W167" s="24" t="s">
        <v>4495</v>
      </c>
      <c r="X167" s="24" t="s">
        <v>4495</v>
      </c>
      <c r="Y167" s="27" t="s">
        <v>4495</v>
      </c>
      <c r="Z167" s="27">
        <v>1.0</v>
      </c>
      <c r="AA167" s="27" t="s">
        <v>4495</v>
      </c>
      <c r="AB167" s="27">
        <v>1.0</v>
      </c>
      <c r="AC167" s="27">
        <v>0.821734761995934</v>
      </c>
      <c r="AD167" s="27">
        <v>0.48217347619959344</v>
      </c>
      <c r="AE167" s="28" t="s">
        <v>4497</v>
      </c>
    </row>
    <row r="168" ht="21.0" customHeight="1">
      <c r="A168" s="10" t="s">
        <v>21</v>
      </c>
      <c r="B168" s="15" t="s">
        <v>1636</v>
      </c>
      <c r="C168" s="12" t="s">
        <v>1637</v>
      </c>
      <c r="D168" s="13">
        <v>41456.0</v>
      </c>
      <c r="E168" s="14">
        <v>2013.0</v>
      </c>
      <c r="F168" s="15" t="s">
        <v>26</v>
      </c>
      <c r="G168" s="15" t="s">
        <v>42</v>
      </c>
      <c r="H168" s="14">
        <v>4.0</v>
      </c>
      <c r="I168" s="14">
        <v>47.0</v>
      </c>
      <c r="J168" s="16"/>
      <c r="K168" s="15" t="s">
        <v>1639</v>
      </c>
      <c r="L168" s="15" t="s">
        <v>1640</v>
      </c>
      <c r="M168" s="17" t="s">
        <v>59</v>
      </c>
      <c r="N168" s="16" t="s">
        <v>1641</v>
      </c>
      <c r="O168" s="15" t="s">
        <v>1642</v>
      </c>
      <c r="P168" s="14">
        <v>16.0</v>
      </c>
      <c r="Q168" s="14"/>
      <c r="R168" s="14">
        <v>78.0</v>
      </c>
      <c r="S168" s="14"/>
      <c r="T168" s="15" t="s">
        <v>1643</v>
      </c>
      <c r="U168" s="14">
        <v>12.5</v>
      </c>
      <c r="V168" s="14">
        <v>0.01050983899821109</v>
      </c>
      <c r="W168" s="14" t="s">
        <v>4495</v>
      </c>
      <c r="X168" s="14" t="s">
        <v>4495</v>
      </c>
      <c r="Y168" s="18" t="s">
        <v>4495</v>
      </c>
      <c r="Z168" s="18">
        <v>0.6622664840841103</v>
      </c>
      <c r="AA168" s="18" t="s">
        <v>4495</v>
      </c>
      <c r="AB168" s="18">
        <v>1.0</v>
      </c>
      <c r="AC168" s="18">
        <v>0.4626762130800115</v>
      </c>
      <c r="AD168" s="18">
        <v>0.3618342423290287</v>
      </c>
      <c r="AE168" s="19" t="s">
        <v>4499</v>
      </c>
    </row>
    <row r="169" ht="21.0" customHeight="1">
      <c r="A169" s="20" t="s">
        <v>21</v>
      </c>
      <c r="B169" s="21" t="s">
        <v>1645</v>
      </c>
      <c r="C169" s="22" t="s">
        <v>1646</v>
      </c>
      <c r="D169" s="23">
        <v>42347.0</v>
      </c>
      <c r="E169" s="24">
        <v>2015.0</v>
      </c>
      <c r="F169" s="21" t="s">
        <v>41</v>
      </c>
      <c r="G169" s="21" t="s">
        <v>42</v>
      </c>
      <c r="H169" s="24">
        <v>4.0</v>
      </c>
      <c r="I169" s="24">
        <v>93.0</v>
      </c>
      <c r="J169" s="25"/>
      <c r="K169" s="21" t="s">
        <v>1648</v>
      </c>
      <c r="L169" s="21" t="s">
        <v>1649</v>
      </c>
      <c r="M169" s="26" t="s">
        <v>31</v>
      </c>
      <c r="N169" s="25"/>
      <c r="O169" s="21" t="s">
        <v>1650</v>
      </c>
      <c r="P169" s="24">
        <v>26.0</v>
      </c>
      <c r="Q169" s="24"/>
      <c r="R169" s="24">
        <v>63.0</v>
      </c>
      <c r="S169" s="24"/>
      <c r="T169" s="21" t="s">
        <v>1651</v>
      </c>
      <c r="U169" s="24">
        <v>20.0</v>
      </c>
      <c r="V169" s="24">
        <v>0.025970399329796147</v>
      </c>
      <c r="W169" s="24" t="s">
        <v>4495</v>
      </c>
      <c r="X169" s="24" t="s">
        <v>4495</v>
      </c>
      <c r="Y169" s="27" t="s">
        <v>4495</v>
      </c>
      <c r="Z169" s="27">
        <v>0.5884401318226129</v>
      </c>
      <c r="AA169" s="27" t="s">
        <v>4495</v>
      </c>
      <c r="AB169" s="27">
        <v>1.0</v>
      </c>
      <c r="AC169" s="27">
        <v>0.648752326325584</v>
      </c>
      <c r="AD169" s="27">
        <v>0.3619852655882116</v>
      </c>
      <c r="AE169" s="28" t="s">
        <v>4497</v>
      </c>
    </row>
    <row r="170" ht="21.0" customHeight="1">
      <c r="A170" s="10" t="s">
        <v>21</v>
      </c>
      <c r="B170" s="15" t="s">
        <v>702</v>
      </c>
      <c r="C170" s="12" t="s">
        <v>703</v>
      </c>
      <c r="D170" s="13">
        <v>44263.0</v>
      </c>
      <c r="E170" s="14">
        <v>2021.0</v>
      </c>
      <c r="F170" s="15" t="s">
        <v>41</v>
      </c>
      <c r="G170" s="15" t="s">
        <v>42</v>
      </c>
      <c r="H170" s="14">
        <v>10.0</v>
      </c>
      <c r="I170" s="14">
        <v>321.0</v>
      </c>
      <c r="J170" s="16" t="s">
        <v>706</v>
      </c>
      <c r="K170" s="15" t="s">
        <v>707</v>
      </c>
      <c r="L170" s="15" t="s">
        <v>708</v>
      </c>
      <c r="M170" s="17" t="s">
        <v>59</v>
      </c>
      <c r="N170" s="29" t="s">
        <v>709</v>
      </c>
      <c r="P170" s="14"/>
      <c r="Q170" s="14"/>
      <c r="R170" s="14">
        <v>103.0</v>
      </c>
      <c r="S170" s="14">
        <v>2020.0</v>
      </c>
      <c r="T170" s="15" t="s">
        <v>710</v>
      </c>
      <c r="U170" s="14">
        <v>15.0</v>
      </c>
      <c r="V170" s="14">
        <v>0.1927927927927928</v>
      </c>
      <c r="W170" s="14">
        <v>1.0</v>
      </c>
      <c r="X170" s="14" t="s">
        <v>4495</v>
      </c>
      <c r="Y170" s="18" t="s">
        <v>4495</v>
      </c>
      <c r="Z170" s="18">
        <v>0.7586645771823989</v>
      </c>
      <c r="AA170" s="18">
        <v>1.0</v>
      </c>
      <c r="AB170" s="18">
        <v>1.0</v>
      </c>
      <c r="AC170" s="18">
        <v>0.5342285193497109</v>
      </c>
      <c r="AD170" s="18">
        <v>0.5930889962305709</v>
      </c>
      <c r="AE170" s="19" t="s">
        <v>4498</v>
      </c>
    </row>
    <row r="171" ht="21.0" customHeight="1">
      <c r="A171" s="20" t="s">
        <v>21</v>
      </c>
      <c r="B171" s="21" t="s">
        <v>711</v>
      </c>
      <c r="C171" s="22" t="s">
        <v>712</v>
      </c>
      <c r="D171" s="23"/>
      <c r="E171" s="24"/>
      <c r="F171" s="21" t="s">
        <v>41</v>
      </c>
      <c r="G171" s="21" t="s">
        <v>42</v>
      </c>
      <c r="H171" s="24">
        <v>10.0</v>
      </c>
      <c r="I171" s="24">
        <v>297.0</v>
      </c>
      <c r="J171" s="25" t="s">
        <v>714</v>
      </c>
      <c r="K171" s="21" t="s">
        <v>715</v>
      </c>
      <c r="L171" s="21" t="s">
        <v>716</v>
      </c>
      <c r="M171" s="26" t="s">
        <v>59</v>
      </c>
      <c r="N171" s="25" t="s">
        <v>717</v>
      </c>
      <c r="O171" s="21" t="s">
        <v>718</v>
      </c>
      <c r="P171" s="24">
        <v>45.0</v>
      </c>
      <c r="Q171" s="24"/>
      <c r="R171" s="24">
        <v>629.0</v>
      </c>
      <c r="S171" s="24">
        <v>2022.0</v>
      </c>
      <c r="T171" s="21" t="s">
        <v>720</v>
      </c>
      <c r="U171" s="24">
        <v>33.6</v>
      </c>
      <c r="V171" s="24" t="s">
        <v>4495</v>
      </c>
      <c r="W171" s="24" t="s">
        <v>4495</v>
      </c>
      <c r="X171" s="24" t="s">
        <v>4495</v>
      </c>
      <c r="Y171" s="27" t="s">
        <v>4495</v>
      </c>
      <c r="Z171" s="27">
        <v>1.0</v>
      </c>
      <c r="AA171" s="27" t="s">
        <v>4495</v>
      </c>
      <c r="AB171" s="27" t="s">
        <v>4495</v>
      </c>
      <c r="AC171" s="27">
        <v>0.8590437017151352</v>
      </c>
      <c r="AD171" s="27">
        <v>0.33590437017151353</v>
      </c>
      <c r="AE171" s="28" t="s">
        <v>4498</v>
      </c>
    </row>
    <row r="172" ht="21.0" customHeight="1">
      <c r="A172" s="10" t="s">
        <v>21</v>
      </c>
      <c r="B172" s="15" t="s">
        <v>1672</v>
      </c>
      <c r="C172" s="12" t="s">
        <v>1673</v>
      </c>
      <c r="D172" s="13">
        <v>40888.0</v>
      </c>
      <c r="E172" s="14">
        <v>2011.0</v>
      </c>
      <c r="F172" s="15" t="s">
        <v>26</v>
      </c>
      <c r="G172" s="15" t="s">
        <v>42</v>
      </c>
      <c r="H172" s="14">
        <v>4.0</v>
      </c>
      <c r="I172" s="14">
        <v>31.0</v>
      </c>
      <c r="J172" s="16"/>
      <c r="K172" s="15" t="s">
        <v>1675</v>
      </c>
      <c r="M172" s="17" t="s">
        <v>31</v>
      </c>
      <c r="N172" s="16"/>
      <c r="P172" s="14"/>
      <c r="Q172" s="14"/>
      <c r="R172" s="14">
        <v>30.0</v>
      </c>
      <c r="S172" s="14"/>
      <c r="T172" s="15" t="s">
        <v>1676</v>
      </c>
      <c r="U172" s="14">
        <v>6.66666666666666</v>
      </c>
      <c r="V172" s="14">
        <v>0.006150793650793651</v>
      </c>
      <c r="W172" s="14" t="s">
        <v>4495</v>
      </c>
      <c r="X172" s="14" t="s">
        <v>4495</v>
      </c>
      <c r="Y172" s="18" t="s">
        <v>4495</v>
      </c>
      <c r="Z172" s="18">
        <v>0.33428356644099017</v>
      </c>
      <c r="AA172" s="18" t="s">
        <v>4495</v>
      </c>
      <c r="AB172" s="18">
        <v>1.0</v>
      </c>
      <c r="AC172" s="18">
        <v>0.22438851724062323</v>
      </c>
      <c r="AD172" s="18">
        <v>0.25600974333430987</v>
      </c>
      <c r="AE172" s="19" t="s">
        <v>4497</v>
      </c>
    </row>
    <row r="173" ht="21.0" customHeight="1">
      <c r="A173" s="20" t="s">
        <v>21</v>
      </c>
      <c r="B173" s="21" t="s">
        <v>1678</v>
      </c>
      <c r="C173" s="22" t="s">
        <v>1679</v>
      </c>
      <c r="D173" s="23">
        <v>43513.0</v>
      </c>
      <c r="E173" s="24">
        <v>2019.0</v>
      </c>
      <c r="F173" s="21" t="s">
        <v>41</v>
      </c>
      <c r="G173" s="21" t="s">
        <v>42</v>
      </c>
      <c r="H173" s="24">
        <v>4.0</v>
      </c>
      <c r="I173" s="24">
        <v>152.0</v>
      </c>
      <c r="J173" s="25" t="s">
        <v>1682</v>
      </c>
      <c r="K173" s="21" t="s">
        <v>1683</v>
      </c>
      <c r="L173" s="21" t="s">
        <v>1684</v>
      </c>
      <c r="M173" s="26" t="s">
        <v>31</v>
      </c>
      <c r="N173" s="25"/>
      <c r="P173" s="24"/>
      <c r="Q173" s="24"/>
      <c r="R173" s="24">
        <v>55.0</v>
      </c>
      <c r="S173" s="24"/>
      <c r="T173" s="21" t="s">
        <v>1685</v>
      </c>
      <c r="U173" s="24">
        <v>17.0</v>
      </c>
      <c r="V173" s="24">
        <v>0.0629399585921325</v>
      </c>
      <c r="W173" s="24" t="s">
        <v>4495</v>
      </c>
      <c r="X173" s="24" t="s">
        <v>4495</v>
      </c>
      <c r="Y173" s="27" t="s">
        <v>4495</v>
      </c>
      <c r="Z173" s="27">
        <v>0.5416225389667044</v>
      </c>
      <c r="AA173" s="27" t="s">
        <v>4495</v>
      </c>
      <c r="AB173" s="27">
        <v>1.0</v>
      </c>
      <c r="AC173" s="27">
        <v>0.5838323782038936</v>
      </c>
      <c r="AD173" s="27">
        <v>0.3437888725620655</v>
      </c>
      <c r="AE173" s="28" t="s">
        <v>4497</v>
      </c>
    </row>
    <row r="174" ht="21.0" customHeight="1">
      <c r="A174" s="10" t="s">
        <v>21</v>
      </c>
      <c r="B174" s="15" t="s">
        <v>656</v>
      </c>
      <c r="C174" s="12" t="s">
        <v>657</v>
      </c>
      <c r="D174" s="13">
        <v>44410.0</v>
      </c>
      <c r="E174" s="14">
        <v>2021.0</v>
      </c>
      <c r="F174" s="15" t="s">
        <v>41</v>
      </c>
      <c r="G174" s="15" t="s">
        <v>42</v>
      </c>
      <c r="H174" s="14">
        <v>11.0</v>
      </c>
      <c r="I174" s="14">
        <v>177.0</v>
      </c>
      <c r="J174" s="16"/>
      <c r="K174" s="15" t="s">
        <v>660</v>
      </c>
      <c r="L174" s="15" t="s">
        <v>661</v>
      </c>
      <c r="M174" s="17" t="s">
        <v>59</v>
      </c>
      <c r="N174" s="16" t="s">
        <v>662</v>
      </c>
      <c r="P174" s="14"/>
      <c r="Q174" s="14"/>
      <c r="R174" s="14">
        <v>103.0</v>
      </c>
      <c r="S174" s="14">
        <v>2021.0</v>
      </c>
      <c r="T174" s="15" t="s">
        <v>664</v>
      </c>
      <c r="U174" s="14">
        <v>22.0</v>
      </c>
      <c r="V174" s="14">
        <v>0.116600790513834</v>
      </c>
      <c r="W174" s="14">
        <v>0.0</v>
      </c>
      <c r="X174" s="14" t="s">
        <v>4495</v>
      </c>
      <c r="Y174" s="18" t="s">
        <v>4495</v>
      </c>
      <c r="Z174" s="18">
        <v>0.7586645771823989</v>
      </c>
      <c r="AA174" s="18">
        <v>1.0</v>
      </c>
      <c r="AB174" s="18">
        <v>1.0</v>
      </c>
      <c r="AC174" s="18">
        <v>0.6870647303206351</v>
      </c>
      <c r="AD174" s="18">
        <v>0.6083726173276633</v>
      </c>
      <c r="AE174" s="19" t="s">
        <v>4498</v>
      </c>
    </row>
    <row r="175" ht="21.0" customHeight="1">
      <c r="A175" s="20" t="s">
        <v>21</v>
      </c>
      <c r="B175" s="21" t="s">
        <v>1695</v>
      </c>
      <c r="C175" s="22" t="s">
        <v>1696</v>
      </c>
      <c r="D175" s="23"/>
      <c r="E175" s="24"/>
      <c r="F175" s="21" t="s">
        <v>26</v>
      </c>
      <c r="H175" s="24">
        <v>4.0</v>
      </c>
      <c r="I175" s="24">
        <v>49.0</v>
      </c>
      <c r="J175" s="25"/>
      <c r="K175" s="21" t="s">
        <v>1698</v>
      </c>
      <c r="M175" s="26" t="s">
        <v>31</v>
      </c>
      <c r="N175" s="30"/>
      <c r="P175" s="24"/>
      <c r="Q175" s="24"/>
      <c r="R175" s="24">
        <v>10.0</v>
      </c>
      <c r="S175" s="24"/>
      <c r="T175" s="21" t="s">
        <v>1699</v>
      </c>
      <c r="U175" s="24">
        <v>1.3076923076923</v>
      </c>
      <c r="V175" s="24" t="s">
        <v>4495</v>
      </c>
      <c r="W175" s="24" t="s">
        <v>4495</v>
      </c>
      <c r="X175" s="24" t="s">
        <v>4495</v>
      </c>
      <c r="Y175" s="27" t="s">
        <v>4495</v>
      </c>
      <c r="Z175" s="27">
        <v>0.0</v>
      </c>
      <c r="AA175" s="27" t="s">
        <v>4495</v>
      </c>
      <c r="AB175" s="27" t="s">
        <v>4495</v>
      </c>
      <c r="AC175" s="27">
        <v>0.0</v>
      </c>
      <c r="AD175" s="27">
        <v>0.0</v>
      </c>
      <c r="AE175" s="28" t="s">
        <v>4497</v>
      </c>
    </row>
    <row r="176" ht="21.0" customHeight="1">
      <c r="A176" s="10" t="s">
        <v>21</v>
      </c>
      <c r="B176" s="15" t="s">
        <v>1701</v>
      </c>
      <c r="C176" s="12" t="s">
        <v>1702</v>
      </c>
      <c r="D176" s="13">
        <v>43252.0</v>
      </c>
      <c r="E176" s="14">
        <v>2018.0</v>
      </c>
      <c r="F176" s="15" t="s">
        <v>622</v>
      </c>
      <c r="G176" s="15" t="s">
        <v>42</v>
      </c>
      <c r="H176" s="14">
        <v>4.0</v>
      </c>
      <c r="I176" s="14">
        <v>98.0</v>
      </c>
      <c r="J176" s="16" t="s">
        <v>1703</v>
      </c>
      <c r="K176" s="15" t="s">
        <v>1704</v>
      </c>
      <c r="L176" s="15" t="s">
        <v>1705</v>
      </c>
      <c r="M176" s="17" t="s">
        <v>31</v>
      </c>
      <c r="N176" s="29"/>
      <c r="O176" s="31" t="s">
        <v>1706</v>
      </c>
      <c r="P176" s="14">
        <v>7.0</v>
      </c>
      <c r="Q176" s="14"/>
      <c r="R176" s="14">
        <v>49.0</v>
      </c>
      <c r="S176" s="14"/>
      <c r="T176" s="15" t="s">
        <v>1707</v>
      </c>
      <c r="U176" s="14">
        <v>7.0</v>
      </c>
      <c r="V176" s="14">
        <v>0.03662182361733931</v>
      </c>
      <c r="W176" s="14" t="s">
        <v>4495</v>
      </c>
      <c r="X176" s="14" t="s">
        <v>4495</v>
      </c>
      <c r="Y176" s="18" t="s">
        <v>4495</v>
      </c>
      <c r="Z176" s="18">
        <v>0.5018882402125678</v>
      </c>
      <c r="AA176" s="18" t="s">
        <v>4495</v>
      </c>
      <c r="AB176" s="18">
        <v>1.0</v>
      </c>
      <c r="AC176" s="18">
        <v>0.24231233024776405</v>
      </c>
      <c r="AD176" s="18">
        <v>0.2997032930779184</v>
      </c>
      <c r="AE176" s="19" t="s">
        <v>4497</v>
      </c>
    </row>
    <row r="177" ht="21.0" customHeight="1">
      <c r="A177" s="20" t="s">
        <v>21</v>
      </c>
      <c r="B177" s="21" t="s">
        <v>665</v>
      </c>
      <c r="C177" s="22" t="s">
        <v>666</v>
      </c>
      <c r="D177" s="23"/>
      <c r="E177" s="24"/>
      <c r="F177" s="21" t="s">
        <v>26</v>
      </c>
      <c r="G177" s="21" t="s">
        <v>42</v>
      </c>
      <c r="H177" s="24">
        <v>11.0</v>
      </c>
      <c r="I177" s="24">
        <v>275.0</v>
      </c>
      <c r="J177" s="25"/>
      <c r="K177" s="21" t="s">
        <v>668</v>
      </c>
      <c r="L177" s="21" t="s">
        <v>669</v>
      </c>
      <c r="M177" s="26" t="s">
        <v>59</v>
      </c>
      <c r="N177" s="25" t="s">
        <v>670</v>
      </c>
      <c r="P177" s="24"/>
      <c r="Q177" s="24"/>
      <c r="R177" s="24">
        <v>15.0</v>
      </c>
      <c r="S177" s="24">
        <v>2019.0</v>
      </c>
      <c r="T177" s="21" t="s">
        <v>671</v>
      </c>
      <c r="U177" s="24">
        <v>6.8</v>
      </c>
      <c r="V177" s="24" t="s">
        <v>4495</v>
      </c>
      <c r="W177" s="24" t="s">
        <v>4495</v>
      </c>
      <c r="X177" s="24" t="s">
        <v>4495</v>
      </c>
      <c r="Y177" s="27" t="s">
        <v>4495</v>
      </c>
      <c r="Z177" s="27">
        <v>0.10238989523252559</v>
      </c>
      <c r="AA177" s="27" t="s">
        <v>4495</v>
      </c>
      <c r="AB177" s="27" t="s">
        <v>4495</v>
      </c>
      <c r="AC177" s="27">
        <v>0.23164983571490277</v>
      </c>
      <c r="AD177" s="27">
        <v>0.048762457379621676</v>
      </c>
      <c r="AE177" s="28" t="s">
        <v>4498</v>
      </c>
    </row>
    <row r="178" ht="21.0" customHeight="1">
      <c r="A178" s="10" t="s">
        <v>21</v>
      </c>
      <c r="B178" s="15" t="s">
        <v>1717</v>
      </c>
      <c r="C178" s="12" t="s">
        <v>1718</v>
      </c>
      <c r="D178" s="13"/>
      <c r="E178" s="14"/>
      <c r="F178" s="15" t="s">
        <v>26</v>
      </c>
      <c r="G178" s="15" t="s">
        <v>27</v>
      </c>
      <c r="H178" s="14">
        <v>4.0</v>
      </c>
      <c r="I178" s="14">
        <v>70.0</v>
      </c>
      <c r="J178" s="16"/>
      <c r="K178" s="15" t="s">
        <v>1719</v>
      </c>
      <c r="M178" s="17" t="s">
        <v>31</v>
      </c>
      <c r="N178" s="16"/>
      <c r="P178" s="14"/>
      <c r="Q178" s="14"/>
      <c r="R178" s="14">
        <v>12.0</v>
      </c>
      <c r="S178" s="14"/>
      <c r="T178" s="15" t="s">
        <v>1720</v>
      </c>
      <c r="U178" s="14">
        <v>4.66666666666666</v>
      </c>
      <c r="V178" s="14" t="s">
        <v>4495</v>
      </c>
      <c r="W178" s="14" t="s">
        <v>4495</v>
      </c>
      <c r="X178" s="14" t="s">
        <v>4495</v>
      </c>
      <c r="Y178" s="18" t="s">
        <v>4495</v>
      </c>
      <c r="Z178" s="18">
        <v>0.029589222297267914</v>
      </c>
      <c r="AA178" s="18" t="s">
        <v>4495</v>
      </c>
      <c r="AB178" s="18" t="s">
        <v>4495</v>
      </c>
      <c r="AC178" s="18">
        <v>0.09708412557552656</v>
      </c>
      <c r="AD178" s="18">
        <v>0.017105718131869636</v>
      </c>
      <c r="AE178" s="19" t="s">
        <v>4497</v>
      </c>
    </row>
    <row r="179" ht="21.0" customHeight="1">
      <c r="A179" s="20" t="s">
        <v>21</v>
      </c>
      <c r="B179" s="21" t="s">
        <v>1722</v>
      </c>
      <c r="C179" s="22" t="s">
        <v>1723</v>
      </c>
      <c r="D179" s="23">
        <v>42684.0</v>
      </c>
      <c r="E179" s="24">
        <v>2016.0</v>
      </c>
      <c r="F179" s="21" t="s">
        <v>41</v>
      </c>
      <c r="G179" s="21" t="s">
        <v>42</v>
      </c>
      <c r="H179" s="24">
        <v>4.0</v>
      </c>
      <c r="I179" s="24">
        <v>179.0</v>
      </c>
      <c r="J179" s="25"/>
      <c r="K179" s="21" t="s">
        <v>1726</v>
      </c>
      <c r="L179" s="21" t="s">
        <v>1727</v>
      </c>
      <c r="M179" s="26" t="s">
        <v>59</v>
      </c>
      <c r="N179" s="25" t="s">
        <v>1728</v>
      </c>
      <c r="O179" s="21" t="s">
        <v>1729</v>
      </c>
      <c r="P179" s="24">
        <v>10.0</v>
      </c>
      <c r="Q179" s="24"/>
      <c r="R179" s="24">
        <v>91.0</v>
      </c>
      <c r="S179" s="24"/>
      <c r="T179" s="21" t="s">
        <v>1730</v>
      </c>
      <c r="U179" s="24">
        <v>34.25</v>
      </c>
      <c r="V179" s="24">
        <v>0.05517879161528977</v>
      </c>
      <c r="W179" s="24" t="s">
        <v>4495</v>
      </c>
      <c r="X179" s="24" t="s">
        <v>4495</v>
      </c>
      <c r="Y179" s="27" t="s">
        <v>4495</v>
      </c>
      <c r="Z179" s="27">
        <v>0.715678838128153</v>
      </c>
      <c r="AA179" s="27" t="s">
        <v>4495</v>
      </c>
      <c r="AB179" s="27">
        <v>1.0</v>
      </c>
      <c r="AC179" s="27">
        <v>0.8668820074279364</v>
      </c>
      <c r="AD179" s="27">
        <v>0.4156079102748319</v>
      </c>
      <c r="AE179" s="28" t="s">
        <v>4499</v>
      </c>
    </row>
    <row r="180" ht="21.0" customHeight="1">
      <c r="A180" s="10" t="s">
        <v>21</v>
      </c>
      <c r="B180" s="15" t="s">
        <v>1732</v>
      </c>
      <c r="C180" s="12" t="s">
        <v>1733</v>
      </c>
      <c r="D180" s="13"/>
      <c r="E180" s="14"/>
      <c r="F180" s="15" t="s">
        <v>26</v>
      </c>
      <c r="H180" s="14">
        <v>4.0</v>
      </c>
      <c r="I180" s="14">
        <v>70.0</v>
      </c>
      <c r="J180" s="16"/>
      <c r="K180" s="15" t="s">
        <v>1734</v>
      </c>
      <c r="M180" s="17" t="s">
        <v>31</v>
      </c>
      <c r="N180" s="16"/>
      <c r="P180" s="14"/>
      <c r="Q180" s="14"/>
      <c r="R180" s="14">
        <v>18.0</v>
      </c>
      <c r="S180" s="14"/>
      <c r="T180" s="15" t="s">
        <v>1735</v>
      </c>
      <c r="U180" s="14">
        <v>5.75</v>
      </c>
      <c r="V180" s="14" t="s">
        <v>4495</v>
      </c>
      <c r="W180" s="14" t="s">
        <v>4495</v>
      </c>
      <c r="X180" s="14" t="s">
        <v>4495</v>
      </c>
      <c r="Y180" s="18" t="s">
        <v>4495</v>
      </c>
      <c r="Z180" s="18">
        <v>0.16264250851574893</v>
      </c>
      <c r="AA180" s="18" t="s">
        <v>4495</v>
      </c>
      <c r="AB180" s="18" t="s">
        <v>4495</v>
      </c>
      <c r="AC180" s="18">
        <v>0.17076002397806464</v>
      </c>
      <c r="AD180" s="18">
        <v>0.0577366295267437</v>
      </c>
      <c r="AE180" s="19" t="s">
        <v>4497</v>
      </c>
    </row>
    <row r="181" ht="21.0" customHeight="1">
      <c r="A181" s="20" t="s">
        <v>21</v>
      </c>
      <c r="B181" s="21" t="s">
        <v>639</v>
      </c>
      <c r="C181" s="22" t="s">
        <v>640</v>
      </c>
      <c r="D181" s="23"/>
      <c r="E181" s="24"/>
      <c r="F181" s="21" t="s">
        <v>41</v>
      </c>
      <c r="G181" s="21" t="s">
        <v>42</v>
      </c>
      <c r="H181" s="24">
        <v>11.0</v>
      </c>
      <c r="I181" s="24">
        <v>192.0</v>
      </c>
      <c r="J181" s="25"/>
      <c r="K181" s="21" t="s">
        <v>642</v>
      </c>
      <c r="L181" s="21" t="s">
        <v>643</v>
      </c>
      <c r="M181" s="26" t="s">
        <v>59</v>
      </c>
      <c r="N181" s="30" t="s">
        <v>644</v>
      </c>
      <c r="O181" s="21" t="s">
        <v>645</v>
      </c>
      <c r="P181" s="24">
        <v>22.0</v>
      </c>
      <c r="Q181" s="24"/>
      <c r="R181" s="24">
        <v>124.0</v>
      </c>
      <c r="S181" s="24"/>
      <c r="T181" s="21" t="s">
        <v>647</v>
      </c>
      <c r="U181" s="24">
        <v>8.0</v>
      </c>
      <c r="V181" s="24" t="s">
        <v>4495</v>
      </c>
      <c r="W181" s="24" t="s">
        <v>4495</v>
      </c>
      <c r="X181" s="24" t="s">
        <v>4495</v>
      </c>
      <c r="Y181" s="27" t="s">
        <v>4495</v>
      </c>
      <c r="Z181" s="27">
        <v>0.823149971850111</v>
      </c>
      <c r="AA181" s="27" t="s">
        <v>4495</v>
      </c>
      <c r="AB181" s="27" t="s">
        <v>4495</v>
      </c>
      <c r="AC181" s="27">
        <v>0.29191618910194683</v>
      </c>
      <c r="AD181" s="27">
        <v>0.2349791118727224</v>
      </c>
      <c r="AE181" s="28" t="s">
        <v>4498</v>
      </c>
    </row>
    <row r="182" ht="21.0" customHeight="1">
      <c r="A182" s="10" t="s">
        <v>21</v>
      </c>
      <c r="B182" s="15" t="s">
        <v>1745</v>
      </c>
      <c r="C182" s="12" t="s">
        <v>1746</v>
      </c>
      <c r="D182" s="13"/>
      <c r="E182" s="14"/>
      <c r="F182" s="15" t="s">
        <v>26</v>
      </c>
      <c r="H182" s="14">
        <v>4.0</v>
      </c>
      <c r="I182" s="14">
        <v>14.0</v>
      </c>
      <c r="J182" s="16"/>
      <c r="K182" s="15" t="s">
        <v>1747</v>
      </c>
      <c r="M182" s="17" t="s">
        <v>31</v>
      </c>
      <c r="N182" s="16"/>
      <c r="P182" s="14"/>
      <c r="Q182" s="14"/>
      <c r="R182" s="14">
        <v>16.0</v>
      </c>
      <c r="S182" s="14"/>
      <c r="T182" s="15" t="s">
        <v>1748</v>
      </c>
      <c r="U182" s="14">
        <v>4.0</v>
      </c>
      <c r="V182" s="14" t="s">
        <v>4495</v>
      </c>
      <c r="W182" s="14" t="s">
        <v>4495</v>
      </c>
      <c r="X182" s="14" t="s">
        <v>4495</v>
      </c>
      <c r="Y182" s="18" t="s">
        <v>4495</v>
      </c>
      <c r="Z182" s="18">
        <v>0.12364556257381001</v>
      </c>
      <c r="AA182" s="18" t="s">
        <v>4495</v>
      </c>
      <c r="AB182" s="18" t="s">
        <v>4495</v>
      </c>
      <c r="AC182" s="18">
        <v>0.044372163770186025</v>
      </c>
      <c r="AD182" s="18">
        <v>0.03534860702047111</v>
      </c>
      <c r="AE182" s="19" t="s">
        <v>4497</v>
      </c>
    </row>
    <row r="183" ht="21.0" customHeight="1">
      <c r="A183" s="20" t="s">
        <v>21</v>
      </c>
      <c r="B183" s="21" t="s">
        <v>1749</v>
      </c>
      <c r="C183" s="22" t="s">
        <v>1750</v>
      </c>
      <c r="D183" s="23">
        <v>44341.0</v>
      </c>
      <c r="E183" s="24">
        <v>2021.0</v>
      </c>
      <c r="F183" s="21" t="s">
        <v>41</v>
      </c>
      <c r="G183" s="21" t="s">
        <v>42</v>
      </c>
      <c r="H183" s="24">
        <v>4.0</v>
      </c>
      <c r="I183" s="24">
        <v>96.0</v>
      </c>
      <c r="J183" s="25" t="s">
        <v>1752</v>
      </c>
      <c r="K183" s="21" t="s">
        <v>1753</v>
      </c>
      <c r="L183" s="21" t="s">
        <v>1754</v>
      </c>
      <c r="M183" s="26" t="s">
        <v>31</v>
      </c>
      <c r="N183" s="25"/>
      <c r="O183" s="21" t="s">
        <v>1755</v>
      </c>
      <c r="P183" s="24">
        <v>19.0</v>
      </c>
      <c r="Q183" s="24"/>
      <c r="R183" s="24">
        <v>0.0</v>
      </c>
      <c r="S183" s="24"/>
      <c r="T183" s="21" t="s">
        <v>1756</v>
      </c>
      <c r="U183" s="24">
        <v>13.0</v>
      </c>
      <c r="V183" s="24">
        <v>0.06049149338374291</v>
      </c>
      <c r="W183" s="24" t="s">
        <v>4495</v>
      </c>
      <c r="X183" s="24" t="s">
        <v>4495</v>
      </c>
      <c r="Y183" s="27" t="s">
        <v>4495</v>
      </c>
      <c r="Z183" s="27">
        <v>0.0</v>
      </c>
      <c r="AA183" s="27" t="s">
        <v>4495</v>
      </c>
      <c r="AB183" s="27">
        <v>1.0</v>
      </c>
      <c r="AC183" s="27">
        <v>0.4779923023475191</v>
      </c>
      <c r="AD183" s="27">
        <v>0.1977992302347519</v>
      </c>
      <c r="AE183" s="28" t="s">
        <v>4497</v>
      </c>
    </row>
    <row r="184" ht="21.0" customHeight="1">
      <c r="A184" s="10" t="s">
        <v>21</v>
      </c>
      <c r="B184" s="15" t="s">
        <v>1757</v>
      </c>
      <c r="C184" s="12" t="s">
        <v>1758</v>
      </c>
      <c r="D184" s="13">
        <v>44348.0</v>
      </c>
      <c r="E184" s="14">
        <v>2021.0</v>
      </c>
      <c r="F184" s="15" t="s">
        <v>41</v>
      </c>
      <c r="G184" s="15" t="s">
        <v>42</v>
      </c>
      <c r="H184" s="14">
        <v>4.0</v>
      </c>
      <c r="I184" s="14">
        <v>173.0</v>
      </c>
      <c r="J184" s="16" t="s">
        <v>1761</v>
      </c>
      <c r="K184" s="15" t="s">
        <v>1762</v>
      </c>
      <c r="L184" s="15" t="s">
        <v>1763</v>
      </c>
      <c r="M184" s="17" t="s">
        <v>31</v>
      </c>
      <c r="N184" s="29"/>
      <c r="O184" s="15" t="s">
        <v>1764</v>
      </c>
      <c r="P184" s="14">
        <v>18.0</v>
      </c>
      <c r="Q184" s="14"/>
      <c r="R184" s="14">
        <v>98.0</v>
      </c>
      <c r="S184" s="14"/>
      <c r="T184" s="15" t="s">
        <v>1765</v>
      </c>
      <c r="U184" s="14">
        <v>15.5</v>
      </c>
      <c r="V184" s="14">
        <v>0.10949367088607595</v>
      </c>
      <c r="W184" s="14" t="s">
        <v>4495</v>
      </c>
      <c r="X184" s="14" t="s">
        <v>4495</v>
      </c>
      <c r="Y184" s="18" t="s">
        <v>4495</v>
      </c>
      <c r="Z184" s="18">
        <v>0.7413895988672289</v>
      </c>
      <c r="AA184" s="18" t="s">
        <v>4495</v>
      </c>
      <c r="AB184" s="18">
        <v>1.0</v>
      </c>
      <c r="AC184" s="18">
        <v>0.5471878814913675</v>
      </c>
      <c r="AD184" s="18">
        <v>0.390066187865944</v>
      </c>
      <c r="AE184" s="19" t="s">
        <v>4497</v>
      </c>
    </row>
    <row r="185" ht="21.0" customHeight="1">
      <c r="A185" s="20" t="s">
        <v>21</v>
      </c>
      <c r="B185" s="21" t="s">
        <v>1766</v>
      </c>
      <c r="C185" s="22" t="s">
        <v>1767</v>
      </c>
      <c r="D185" s="23">
        <v>43834.0</v>
      </c>
      <c r="E185" s="24">
        <v>2020.0</v>
      </c>
      <c r="F185" s="21" t="s">
        <v>41</v>
      </c>
      <c r="G185" s="21" t="s">
        <v>1119</v>
      </c>
      <c r="H185" s="24">
        <v>4.0</v>
      </c>
      <c r="I185" s="24">
        <v>125.0</v>
      </c>
      <c r="J185" s="25"/>
      <c r="K185" s="21" t="s">
        <v>1769</v>
      </c>
      <c r="L185" s="21" t="s">
        <v>1770</v>
      </c>
      <c r="M185" s="26" t="s">
        <v>31</v>
      </c>
      <c r="N185" s="30"/>
      <c r="O185" s="32" t="s">
        <v>1771</v>
      </c>
      <c r="P185" s="24">
        <v>24.0</v>
      </c>
      <c r="Q185" s="24"/>
      <c r="R185" s="24">
        <v>145.0</v>
      </c>
      <c r="S185" s="24"/>
      <c r="T185" s="21" t="s">
        <v>1772</v>
      </c>
      <c r="U185" s="24">
        <v>13.5</v>
      </c>
      <c r="V185" s="24">
        <v>0.059694364851957976</v>
      </c>
      <c r="W185" s="24" t="s">
        <v>4495</v>
      </c>
      <c r="X185" s="24" t="s">
        <v>4495</v>
      </c>
      <c r="Y185" s="27" t="s">
        <v>4495</v>
      </c>
      <c r="Z185" s="27">
        <v>0.8775973859947773</v>
      </c>
      <c r="AA185" s="27" t="s">
        <v>4495</v>
      </c>
      <c r="AB185" s="27">
        <v>1.0</v>
      </c>
      <c r="AC185" s="27">
        <v>0.49277087266730096</v>
      </c>
      <c r="AD185" s="27">
        <v>0.4186764337654244</v>
      </c>
      <c r="AE185" s="28" t="s">
        <v>4497</v>
      </c>
    </row>
    <row r="186" ht="21.0" customHeight="1">
      <c r="A186" s="10" t="s">
        <v>21</v>
      </c>
      <c r="B186" s="15" t="s">
        <v>1774</v>
      </c>
      <c r="C186" s="12" t="s">
        <v>1775</v>
      </c>
      <c r="D186" s="13">
        <v>41002.0</v>
      </c>
      <c r="E186" s="14">
        <v>2012.0</v>
      </c>
      <c r="F186" s="15" t="s">
        <v>622</v>
      </c>
      <c r="G186" s="15" t="s">
        <v>42</v>
      </c>
      <c r="H186" s="14">
        <v>4.0</v>
      </c>
      <c r="I186" s="14">
        <v>86.0</v>
      </c>
      <c r="J186" s="16"/>
      <c r="K186" s="15" t="s">
        <v>1777</v>
      </c>
      <c r="M186" s="17" t="s">
        <v>31</v>
      </c>
      <c r="N186" s="16"/>
      <c r="O186" s="15" t="s">
        <v>1778</v>
      </c>
      <c r="P186" s="14">
        <v>6.0</v>
      </c>
      <c r="Q186" s="14"/>
      <c r="R186" s="14">
        <v>18.0</v>
      </c>
      <c r="S186" s="14"/>
      <c r="T186" s="15" t="s">
        <v>1779</v>
      </c>
      <c r="U186" s="14">
        <v>16.3333333333333</v>
      </c>
      <c r="V186" s="14">
        <v>0.017458384084449857</v>
      </c>
      <c r="W186" s="14" t="s">
        <v>4495</v>
      </c>
      <c r="X186" s="14" t="s">
        <v>4495</v>
      </c>
      <c r="Y186" s="18" t="s">
        <v>4495</v>
      </c>
      <c r="Z186" s="18">
        <v>0.16264250851574893</v>
      </c>
      <c r="AA186" s="18" t="s">
        <v>4495</v>
      </c>
      <c r="AB186" s="18">
        <v>1.0</v>
      </c>
      <c r="AC186" s="18">
        <v>0.5679381885870348</v>
      </c>
      <c r="AD186" s="18">
        <v>0.24745444598764071</v>
      </c>
      <c r="AE186" s="19" t="s">
        <v>4497</v>
      </c>
    </row>
    <row r="187" ht="21.0" customHeight="1">
      <c r="A187" s="20" t="s">
        <v>21</v>
      </c>
      <c r="B187" s="21" t="s">
        <v>629</v>
      </c>
      <c r="C187" s="22" t="s">
        <v>630</v>
      </c>
      <c r="D187" s="23"/>
      <c r="E187" s="24"/>
      <c r="F187" s="21" t="s">
        <v>41</v>
      </c>
      <c r="G187" s="21" t="s">
        <v>42</v>
      </c>
      <c r="H187" s="24">
        <v>12.0</v>
      </c>
      <c r="I187" s="24">
        <v>138.0</v>
      </c>
      <c r="J187" s="25" t="s">
        <v>631</v>
      </c>
      <c r="K187" s="21" t="s">
        <v>632</v>
      </c>
      <c r="L187" s="21" t="s">
        <v>633</v>
      </c>
      <c r="M187" s="26" t="s">
        <v>59</v>
      </c>
      <c r="N187" s="30" t="s">
        <v>634</v>
      </c>
      <c r="O187" s="21" t="s">
        <v>635</v>
      </c>
      <c r="P187" s="24">
        <v>26.0</v>
      </c>
      <c r="Q187" s="24"/>
      <c r="R187" s="24">
        <v>235.0</v>
      </c>
      <c r="S187" s="24">
        <v>2022.0</v>
      </c>
      <c r="T187" s="21" t="s">
        <v>638</v>
      </c>
      <c r="U187" s="24">
        <v>11.0</v>
      </c>
      <c r="V187" s="24" t="s">
        <v>4495</v>
      </c>
      <c r="W187" s="24" t="s">
        <v>4495</v>
      </c>
      <c r="X187" s="24" t="s">
        <v>4495</v>
      </c>
      <c r="Y187" s="27" t="s">
        <v>4495</v>
      </c>
      <c r="Z187" s="27">
        <v>1.0</v>
      </c>
      <c r="AA187" s="27" t="s">
        <v>4495</v>
      </c>
      <c r="AB187" s="27" t="s">
        <v>4495</v>
      </c>
      <c r="AC187" s="27">
        <v>0.4130723542258289</v>
      </c>
      <c r="AD187" s="27">
        <v>0.2913072354225829</v>
      </c>
      <c r="AE187" s="28" t="s">
        <v>4498</v>
      </c>
    </row>
    <row r="188" ht="21.0" customHeight="1">
      <c r="A188" s="10" t="s">
        <v>21</v>
      </c>
      <c r="B188" s="15" t="s">
        <v>606</v>
      </c>
      <c r="C188" s="12" t="s">
        <v>607</v>
      </c>
      <c r="D188" s="13"/>
      <c r="E188" s="14"/>
      <c r="F188" s="15" t="s">
        <v>41</v>
      </c>
      <c r="G188" s="15" t="s">
        <v>42</v>
      </c>
      <c r="H188" s="14">
        <v>12.0</v>
      </c>
      <c r="I188" s="14">
        <v>199.0</v>
      </c>
      <c r="J188" s="16" t="s">
        <v>609</v>
      </c>
      <c r="K188" s="15" t="s">
        <v>610</v>
      </c>
      <c r="L188" s="15" t="s">
        <v>611</v>
      </c>
      <c r="M188" s="17" t="s">
        <v>59</v>
      </c>
      <c r="N188" s="16" t="s">
        <v>612</v>
      </c>
      <c r="O188" s="31" t="s">
        <v>613</v>
      </c>
      <c r="P188" s="14">
        <v>1.0</v>
      </c>
      <c r="Q188" s="14"/>
      <c r="R188" s="14">
        <v>164.0</v>
      </c>
      <c r="S188" s="14">
        <v>2023.0</v>
      </c>
      <c r="T188" s="15" t="s">
        <v>617</v>
      </c>
      <c r="U188" s="14">
        <v>30.75</v>
      </c>
      <c r="V188" s="14" t="s">
        <v>4495</v>
      </c>
      <c r="W188" s="14" t="s">
        <v>4495</v>
      </c>
      <c r="X188" s="14" t="s">
        <v>4495</v>
      </c>
      <c r="Y188" s="18" t="s">
        <v>4495</v>
      </c>
      <c r="Z188" s="18">
        <v>0.9204907495688482</v>
      </c>
      <c r="AA188" s="18" t="s">
        <v>4495</v>
      </c>
      <c r="AB188" s="18" t="s">
        <v>4495</v>
      </c>
      <c r="AC188" s="18">
        <v>0.8228415853356936</v>
      </c>
      <c r="AD188" s="18">
        <v>0.31240684592578144</v>
      </c>
      <c r="AE188" s="19" t="s">
        <v>4498</v>
      </c>
    </row>
    <row r="189" ht="21.0" customHeight="1">
      <c r="A189" s="20" t="s">
        <v>21</v>
      </c>
      <c r="B189" s="21" t="s">
        <v>1798</v>
      </c>
      <c r="C189" s="22" t="s">
        <v>1799</v>
      </c>
      <c r="D189" s="23">
        <v>41343.0</v>
      </c>
      <c r="E189" s="24">
        <v>2013.0</v>
      </c>
      <c r="F189" s="21" t="s">
        <v>41</v>
      </c>
      <c r="G189" s="21" t="s">
        <v>1801</v>
      </c>
      <c r="H189" s="24">
        <v>4.0</v>
      </c>
      <c r="I189" s="24">
        <v>59.0</v>
      </c>
      <c r="J189" s="25" t="s">
        <v>1802</v>
      </c>
      <c r="K189" s="21" t="s">
        <v>1803</v>
      </c>
      <c r="L189" s="21" t="s">
        <v>1804</v>
      </c>
      <c r="M189" s="26" t="s">
        <v>59</v>
      </c>
      <c r="N189" s="30" t="s">
        <v>1805</v>
      </c>
      <c r="P189" s="24"/>
      <c r="Q189" s="24"/>
      <c r="R189" s="24">
        <v>9.0</v>
      </c>
      <c r="S189" s="24">
        <v>2012.0</v>
      </c>
      <c r="T189" s="21" t="s">
        <v>1806</v>
      </c>
      <c r="U189" s="24">
        <v>11.3333333333333</v>
      </c>
      <c r="V189" s="24">
        <v>0.012868047982551799</v>
      </c>
      <c r="W189" s="24">
        <v>1.0</v>
      </c>
      <c r="X189" s="24" t="s">
        <v>4495</v>
      </c>
      <c r="Y189" s="27" t="s">
        <v>4495</v>
      </c>
      <c r="Z189" s="27">
        <v>0.0</v>
      </c>
      <c r="AA189" s="27">
        <v>1.0</v>
      </c>
      <c r="AB189" s="27">
        <v>1.0</v>
      </c>
      <c r="AC189" s="27">
        <v>0.4246113236606248</v>
      </c>
      <c r="AD189" s="27">
        <v>0.39246113236606245</v>
      </c>
      <c r="AE189" s="28" t="s">
        <v>4500</v>
      </c>
    </row>
    <row r="190" ht="21.0" customHeight="1">
      <c r="A190" s="10" t="s">
        <v>21</v>
      </c>
      <c r="B190" s="15" t="s">
        <v>548</v>
      </c>
      <c r="C190" s="12" t="s">
        <v>549</v>
      </c>
      <c r="D190" s="13">
        <v>43943.0</v>
      </c>
      <c r="E190" s="14">
        <v>2020.0</v>
      </c>
      <c r="F190" s="15" t="s">
        <v>41</v>
      </c>
      <c r="G190" s="15" t="s">
        <v>42</v>
      </c>
      <c r="H190" s="14">
        <v>13.0</v>
      </c>
      <c r="I190" s="14">
        <v>156.0</v>
      </c>
      <c r="J190" s="16" t="s">
        <v>552</v>
      </c>
      <c r="K190" s="15" t="s">
        <v>553</v>
      </c>
      <c r="L190" s="15" t="s">
        <v>554</v>
      </c>
      <c r="M190" s="17" t="s">
        <v>59</v>
      </c>
      <c r="N190" s="29" t="s">
        <v>555</v>
      </c>
      <c r="O190" s="15" t="s">
        <v>556</v>
      </c>
      <c r="P190" s="14">
        <v>37.0</v>
      </c>
      <c r="Q190" s="14"/>
      <c r="R190" s="14">
        <v>176.0</v>
      </c>
      <c r="S190" s="14">
        <v>2020.0</v>
      </c>
      <c r="T190" s="15" t="s">
        <v>558</v>
      </c>
      <c r="U190" s="14">
        <v>33.75</v>
      </c>
      <c r="V190" s="14">
        <v>0.07858942065491184</v>
      </c>
      <c r="W190" s="14">
        <v>0.0</v>
      </c>
      <c r="X190" s="14" t="s">
        <v>4495</v>
      </c>
      <c r="Y190" s="18" t="s">
        <v>4495</v>
      </c>
      <c r="Z190" s="18">
        <v>0.945105144241996</v>
      </c>
      <c r="AA190" s="18">
        <v>1.0</v>
      </c>
      <c r="AB190" s="18">
        <v>1.0</v>
      </c>
      <c r="AC190" s="18">
        <v>0.8608655331288015</v>
      </c>
      <c r="AD190" s="18">
        <v>0.6723628393733792</v>
      </c>
      <c r="AE190" s="19" t="s">
        <v>4498</v>
      </c>
    </row>
    <row r="191" ht="21.0" customHeight="1">
      <c r="A191" s="20" t="s">
        <v>21</v>
      </c>
      <c r="B191" s="21" t="s">
        <v>1816</v>
      </c>
      <c r="C191" s="22" t="s">
        <v>1817</v>
      </c>
      <c r="D191" s="23">
        <v>43640.0</v>
      </c>
      <c r="E191" s="24">
        <v>2019.0</v>
      </c>
      <c r="F191" s="21" t="s">
        <v>118</v>
      </c>
      <c r="G191" s="21" t="s">
        <v>42</v>
      </c>
      <c r="H191" s="24">
        <v>4.0</v>
      </c>
      <c r="I191" s="24">
        <v>43.0</v>
      </c>
      <c r="J191" s="25" t="s">
        <v>1819</v>
      </c>
      <c r="K191" s="21" t="s">
        <v>1820</v>
      </c>
      <c r="L191" s="21" t="s">
        <v>1821</v>
      </c>
      <c r="M191" s="26" t="s">
        <v>31</v>
      </c>
      <c r="N191" s="30"/>
      <c r="O191" s="21" t="s">
        <v>1822</v>
      </c>
      <c r="P191" s="24">
        <v>8.0</v>
      </c>
      <c r="Q191" s="24"/>
      <c r="R191" s="24">
        <v>53.0</v>
      </c>
      <c r="S191" s="24"/>
      <c r="T191" s="21" t="s">
        <v>1823</v>
      </c>
      <c r="U191" s="24">
        <v>49.6666666666666</v>
      </c>
      <c r="V191" s="24">
        <v>0.018793706293706292</v>
      </c>
      <c r="W191" s="24" t="s">
        <v>4495</v>
      </c>
      <c r="X191" s="24" t="s">
        <v>4495</v>
      </c>
      <c r="Y191" s="27" t="s">
        <v>4495</v>
      </c>
      <c r="Z191" s="27">
        <v>0.5288716380402964</v>
      </c>
      <c r="AA191" s="27" t="s">
        <v>4495</v>
      </c>
      <c r="AB191" s="27">
        <v>1.0</v>
      </c>
      <c r="AC191" s="27">
        <v>1.0</v>
      </c>
      <c r="AD191" s="27">
        <v>0.38221790951007406</v>
      </c>
      <c r="AE191" s="28" t="s">
        <v>4497</v>
      </c>
    </row>
    <row r="192" ht="21.0" customHeight="1">
      <c r="A192" s="10" t="s">
        <v>21</v>
      </c>
      <c r="B192" s="15" t="s">
        <v>587</v>
      </c>
      <c r="C192" s="12" t="s">
        <v>588</v>
      </c>
      <c r="D192" s="13">
        <v>40786.0</v>
      </c>
      <c r="E192" s="14">
        <v>2011.0</v>
      </c>
      <c r="F192" s="15" t="s">
        <v>26</v>
      </c>
      <c r="G192" s="15" t="s">
        <v>42</v>
      </c>
      <c r="H192" s="14">
        <v>13.0</v>
      </c>
      <c r="I192" s="14">
        <v>405.0</v>
      </c>
      <c r="J192" s="16"/>
      <c r="K192" s="15" t="s">
        <v>590</v>
      </c>
      <c r="L192" s="15" t="s">
        <v>591</v>
      </c>
      <c r="M192" s="17" t="s">
        <v>59</v>
      </c>
      <c r="N192" s="29" t="s">
        <v>592</v>
      </c>
      <c r="O192" s="15" t="s">
        <v>593</v>
      </c>
      <c r="P192" s="14">
        <v>10.0</v>
      </c>
      <c r="Q192" s="14"/>
      <c r="R192" s="14">
        <v>60.0</v>
      </c>
      <c r="S192" s="14"/>
      <c r="T192" s="15" t="s">
        <v>595</v>
      </c>
      <c r="U192" s="14">
        <v>2.18181818181818</v>
      </c>
      <c r="V192" s="14">
        <v>0.07876312718786464</v>
      </c>
      <c r="W192" s="14" t="s">
        <v>4495</v>
      </c>
      <c r="X192" s="14" t="s">
        <v>4495</v>
      </c>
      <c r="Y192" s="18" t="s">
        <v>4495</v>
      </c>
      <c r="Z192" s="18">
        <v>0.5716075650904038</v>
      </c>
      <c r="AA192" s="18" t="s">
        <v>4495</v>
      </c>
      <c r="AB192" s="18">
        <v>1.0</v>
      </c>
      <c r="AC192" s="18">
        <v>0.0</v>
      </c>
      <c r="AD192" s="18">
        <v>0.2929018912726009</v>
      </c>
      <c r="AE192" s="19" t="s">
        <v>4498</v>
      </c>
    </row>
    <row r="193" ht="21.0" customHeight="1">
      <c r="A193" s="20" t="s">
        <v>21</v>
      </c>
      <c r="B193" s="21" t="s">
        <v>1833</v>
      </c>
      <c r="C193" s="22" t="s">
        <v>1834</v>
      </c>
      <c r="D193" s="23">
        <v>44124.0</v>
      </c>
      <c r="E193" s="24">
        <v>2020.0</v>
      </c>
      <c r="F193" s="21" t="s">
        <v>26</v>
      </c>
      <c r="G193" s="21" t="s">
        <v>42</v>
      </c>
      <c r="H193" s="24">
        <v>4.0</v>
      </c>
      <c r="I193" s="24">
        <v>253.0</v>
      </c>
      <c r="J193" s="25"/>
      <c r="K193" s="21" t="s">
        <v>1837</v>
      </c>
      <c r="L193" s="21" t="s">
        <v>1838</v>
      </c>
      <c r="M193" s="26" t="s">
        <v>31</v>
      </c>
      <c r="N193" s="30"/>
      <c r="O193" s="21" t="s">
        <v>1839</v>
      </c>
      <c r="P193" s="24">
        <v>33.0</v>
      </c>
      <c r="Q193" s="24"/>
      <c r="R193" s="24">
        <v>206.0</v>
      </c>
      <c r="S193" s="24"/>
      <c r="T193" s="21" t="s">
        <v>1475</v>
      </c>
      <c r="U193" s="24">
        <v>19.0</v>
      </c>
      <c r="V193" s="24">
        <v>0.1402439024390244</v>
      </c>
      <c r="W193" s="24" t="s">
        <v>4495</v>
      </c>
      <c r="X193" s="24" t="s">
        <v>4495</v>
      </c>
      <c r="Y193" s="27" t="s">
        <v>4495</v>
      </c>
      <c r="Z193" s="27">
        <v>1.0</v>
      </c>
      <c r="AA193" s="27" t="s">
        <v>4495</v>
      </c>
      <c r="AB193" s="27">
        <v>1.0</v>
      </c>
      <c r="AC193" s="27">
        <v>0.6282045419740796</v>
      </c>
      <c r="AD193" s="27">
        <v>0.46282045419740797</v>
      </c>
      <c r="AE193" s="28" t="s">
        <v>4497</v>
      </c>
    </row>
    <row r="194" ht="21.0" customHeight="1">
      <c r="A194" s="10" t="s">
        <v>21</v>
      </c>
      <c r="B194" s="15" t="s">
        <v>1840</v>
      </c>
      <c r="C194" s="12" t="s">
        <v>1841</v>
      </c>
      <c r="D194" s="13">
        <v>41487.0</v>
      </c>
      <c r="E194" s="14">
        <v>2013.0</v>
      </c>
      <c r="F194" s="15" t="s">
        <v>41</v>
      </c>
      <c r="G194" s="15" t="s">
        <v>42</v>
      </c>
      <c r="H194" s="14">
        <v>4.0</v>
      </c>
      <c r="I194" s="14">
        <v>48.0</v>
      </c>
      <c r="J194" s="16"/>
      <c r="K194" s="15" t="s">
        <v>1842</v>
      </c>
      <c r="L194" s="15" t="s">
        <v>1843</v>
      </c>
      <c r="M194" s="17" t="s">
        <v>31</v>
      </c>
      <c r="N194" s="29"/>
      <c r="O194" s="15" t="s">
        <v>1844</v>
      </c>
      <c r="P194" s="14"/>
      <c r="Q194" s="14"/>
      <c r="R194" s="14">
        <v>118.0</v>
      </c>
      <c r="S194" s="14"/>
      <c r="T194" s="15" t="s">
        <v>1845</v>
      </c>
      <c r="U194" s="14">
        <v>29.0</v>
      </c>
      <c r="V194" s="14">
        <v>0.010808376491781131</v>
      </c>
      <c r="W194" s="14" t="s">
        <v>4495</v>
      </c>
      <c r="X194" s="14" t="s">
        <v>4495</v>
      </c>
      <c r="Y194" s="18" t="s">
        <v>4495</v>
      </c>
      <c r="Z194" s="18">
        <v>0.8059033246030324</v>
      </c>
      <c r="AA194" s="18" t="s">
        <v>4495</v>
      </c>
      <c r="AB194" s="18">
        <v>1.0</v>
      </c>
      <c r="AC194" s="18">
        <v>0.7989645659521445</v>
      </c>
      <c r="AD194" s="18">
        <v>0.4313722877459725</v>
      </c>
      <c r="AE194" s="19" t="s">
        <v>4497</v>
      </c>
    </row>
    <row r="195" ht="21.0" customHeight="1">
      <c r="A195" s="20" t="s">
        <v>21</v>
      </c>
      <c r="B195" s="21" t="s">
        <v>568</v>
      </c>
      <c r="C195" s="22" t="s">
        <v>569</v>
      </c>
      <c r="D195" s="23">
        <v>43435.0</v>
      </c>
      <c r="E195" s="24">
        <v>2018.0</v>
      </c>
      <c r="F195" s="21" t="s">
        <v>41</v>
      </c>
      <c r="G195" s="21" t="s">
        <v>42</v>
      </c>
      <c r="H195" s="24">
        <v>13.0</v>
      </c>
      <c r="I195" s="24">
        <v>350.0</v>
      </c>
      <c r="J195" s="25" t="s">
        <v>572</v>
      </c>
      <c r="K195" s="21" t="s">
        <v>573</v>
      </c>
      <c r="L195" s="21" t="s">
        <v>574</v>
      </c>
      <c r="M195" s="26" t="s">
        <v>59</v>
      </c>
      <c r="N195" s="25" t="s">
        <v>575</v>
      </c>
      <c r="P195" s="24"/>
      <c r="Q195" s="24"/>
      <c r="R195" s="24">
        <v>110.0</v>
      </c>
      <c r="S195" s="24">
        <v>2018.0</v>
      </c>
      <c r="T195" s="21" t="s">
        <v>576</v>
      </c>
      <c r="U195" s="24">
        <v>17.0</v>
      </c>
      <c r="V195" s="24">
        <v>0.14039310068190936</v>
      </c>
      <c r="W195" s="24">
        <v>0.0</v>
      </c>
      <c r="X195" s="24" t="s">
        <v>4495</v>
      </c>
      <c r="Y195" s="27" t="s">
        <v>4495</v>
      </c>
      <c r="Z195" s="27">
        <v>0.781503141717807</v>
      </c>
      <c r="AA195" s="27">
        <v>1.0</v>
      </c>
      <c r="AB195" s="27">
        <v>1.0</v>
      </c>
      <c r="AC195" s="27">
        <v>0.5838323782038936</v>
      </c>
      <c r="AD195" s="27">
        <v>0.6037590232498411</v>
      </c>
      <c r="AE195" s="28" t="s">
        <v>4498</v>
      </c>
    </row>
    <row r="196" ht="21.0" customHeight="1">
      <c r="A196" s="10" t="s">
        <v>21</v>
      </c>
      <c r="B196" s="15" t="s">
        <v>1855</v>
      </c>
      <c r="C196" s="12" t="s">
        <v>1856</v>
      </c>
      <c r="D196" s="13">
        <v>44348.0</v>
      </c>
      <c r="E196" s="14">
        <v>2021.0</v>
      </c>
      <c r="F196" s="15" t="s">
        <v>26</v>
      </c>
      <c r="G196" s="15" t="s">
        <v>42</v>
      </c>
      <c r="H196" s="14">
        <v>3.0</v>
      </c>
      <c r="I196" s="14">
        <v>42.0</v>
      </c>
      <c r="J196" s="16" t="s">
        <v>1858</v>
      </c>
      <c r="K196" s="15" t="s">
        <v>1859</v>
      </c>
      <c r="L196" s="15" t="s">
        <v>1860</v>
      </c>
      <c r="M196" s="17" t="s">
        <v>31</v>
      </c>
      <c r="N196" s="29"/>
      <c r="O196" s="15" t="s">
        <v>1861</v>
      </c>
      <c r="P196" s="14">
        <v>29.0</v>
      </c>
      <c r="Q196" s="14"/>
      <c r="R196" s="14">
        <v>118.0</v>
      </c>
      <c r="S196" s="14"/>
      <c r="T196" s="15" t="s">
        <v>1862</v>
      </c>
      <c r="U196" s="14">
        <v>21.75</v>
      </c>
      <c r="V196" s="14">
        <v>0.026582278481012658</v>
      </c>
      <c r="W196" s="14" t="s">
        <v>4495</v>
      </c>
      <c r="X196" s="14" t="s">
        <v>4495</v>
      </c>
      <c r="Y196" s="18" t="s">
        <v>4495</v>
      </c>
      <c r="Z196" s="18">
        <v>0.8059033246030324</v>
      </c>
      <c r="AA196" s="18" t="s">
        <v>4495</v>
      </c>
      <c r="AB196" s="18">
        <v>1.0</v>
      </c>
      <c r="AC196" s="18">
        <v>0.6824619955629085</v>
      </c>
      <c r="AD196" s="18">
        <v>0.41972203070704894</v>
      </c>
      <c r="AE196" s="19" t="s">
        <v>4497</v>
      </c>
    </row>
    <row r="197" ht="21.0" customHeight="1">
      <c r="A197" s="20" t="s">
        <v>21</v>
      </c>
      <c r="B197" s="21" t="s">
        <v>497</v>
      </c>
      <c r="C197" s="22" t="s">
        <v>498</v>
      </c>
      <c r="D197" s="23">
        <v>41395.0</v>
      </c>
      <c r="E197" s="24">
        <v>2013.0</v>
      </c>
      <c r="F197" s="21" t="s">
        <v>41</v>
      </c>
      <c r="G197" s="21" t="s">
        <v>42</v>
      </c>
      <c r="H197" s="24">
        <v>14.0</v>
      </c>
      <c r="I197" s="24">
        <v>189.0</v>
      </c>
      <c r="J197" s="25" t="s">
        <v>501</v>
      </c>
      <c r="K197" s="21" t="s">
        <v>502</v>
      </c>
      <c r="L197" s="21" t="s">
        <v>503</v>
      </c>
      <c r="M197" s="26" t="s">
        <v>59</v>
      </c>
      <c r="N197" s="30" t="s">
        <v>504</v>
      </c>
      <c r="P197" s="24"/>
      <c r="Q197" s="24"/>
      <c r="R197" s="24">
        <v>53.0</v>
      </c>
      <c r="S197" s="24">
        <v>2012.0</v>
      </c>
      <c r="T197" s="21" t="s">
        <v>506</v>
      </c>
      <c r="U197" s="24">
        <v>29.3333333333333</v>
      </c>
      <c r="V197" s="24">
        <v>0.04169424222369292</v>
      </c>
      <c r="W197" s="24">
        <v>1.0</v>
      </c>
      <c r="X197" s="24" t="s">
        <v>4495</v>
      </c>
      <c r="Y197" s="27" t="s">
        <v>4495</v>
      </c>
      <c r="Z197" s="27">
        <v>0.5288716380402964</v>
      </c>
      <c r="AA197" s="27">
        <v>1.0</v>
      </c>
      <c r="AB197" s="27">
        <v>1.0</v>
      </c>
      <c r="AC197" s="27">
        <v>0.8036181606867903</v>
      </c>
      <c r="AD197" s="27">
        <v>0.5625797255787532</v>
      </c>
      <c r="AE197" s="28" t="s">
        <v>4498</v>
      </c>
    </row>
    <row r="198" ht="21.0" customHeight="1">
      <c r="A198" s="10" t="s">
        <v>21</v>
      </c>
      <c r="B198" s="15" t="s">
        <v>1875</v>
      </c>
      <c r="C198" s="12" t="s">
        <v>1876</v>
      </c>
      <c r="D198" s="13">
        <v>43361.0</v>
      </c>
      <c r="E198" s="14">
        <v>2018.0</v>
      </c>
      <c r="F198" s="15" t="s">
        <v>26</v>
      </c>
      <c r="G198" s="15" t="s">
        <v>42</v>
      </c>
      <c r="H198" s="14">
        <v>3.0</v>
      </c>
      <c r="I198" s="14">
        <v>51.0</v>
      </c>
      <c r="J198" s="16"/>
      <c r="K198" s="15" t="s">
        <v>1878</v>
      </c>
      <c r="L198" s="15" t="s">
        <v>1879</v>
      </c>
      <c r="M198" s="17" t="s">
        <v>31</v>
      </c>
      <c r="N198" s="29"/>
      <c r="P198" s="14"/>
      <c r="Q198" s="14"/>
      <c r="R198" s="14">
        <v>95.0</v>
      </c>
      <c r="S198" s="14"/>
      <c r="T198" s="15" t="s">
        <v>1880</v>
      </c>
      <c r="U198" s="14">
        <v>22.3333333333333</v>
      </c>
      <c r="V198" s="14">
        <v>0.019867549668874173</v>
      </c>
      <c r="W198" s="14" t="s">
        <v>4495</v>
      </c>
      <c r="X198" s="14" t="s">
        <v>4495</v>
      </c>
      <c r="Y198" s="18" t="s">
        <v>4495</v>
      </c>
      <c r="Z198" s="18">
        <v>0.7306007127585364</v>
      </c>
      <c r="AA198" s="18" t="s">
        <v>4495</v>
      </c>
      <c r="AB198" s="18">
        <v>1.0</v>
      </c>
      <c r="AC198" s="18">
        <v>0.6931244900957695</v>
      </c>
      <c r="AD198" s="18">
        <v>0.40196262719921105</v>
      </c>
      <c r="AE198" s="19" t="s">
        <v>4497</v>
      </c>
    </row>
    <row r="199" ht="21.0" customHeight="1">
      <c r="A199" s="20" t="s">
        <v>21</v>
      </c>
      <c r="B199" s="21" t="s">
        <v>1882</v>
      </c>
      <c r="C199" s="22" t="s">
        <v>1883</v>
      </c>
      <c r="D199" s="23">
        <v>44198.0</v>
      </c>
      <c r="E199" s="24">
        <v>2021.0</v>
      </c>
      <c r="F199" s="21" t="s">
        <v>41</v>
      </c>
      <c r="G199" s="21" t="s">
        <v>42</v>
      </c>
      <c r="H199" s="24">
        <v>3.0</v>
      </c>
      <c r="I199" s="24">
        <v>44.0</v>
      </c>
      <c r="J199" s="25"/>
      <c r="K199" s="21" t="s">
        <v>1885</v>
      </c>
      <c r="L199" s="21" t="s">
        <v>1886</v>
      </c>
      <c r="M199" s="26" t="s">
        <v>31</v>
      </c>
      <c r="N199" s="30"/>
      <c r="O199" s="21" t="s">
        <v>1887</v>
      </c>
      <c r="P199" s="24">
        <v>17.0</v>
      </c>
      <c r="Q199" s="24"/>
      <c r="R199" s="24">
        <v>60.0</v>
      </c>
      <c r="S199" s="24"/>
      <c r="T199" s="21" t="s">
        <v>1888</v>
      </c>
      <c r="U199" s="24">
        <v>19.75</v>
      </c>
      <c r="V199" s="24">
        <v>0.025433526011560695</v>
      </c>
      <c r="W199" s="24" t="s">
        <v>4495</v>
      </c>
      <c r="X199" s="24" t="s">
        <v>4495</v>
      </c>
      <c r="Y199" s="27" t="s">
        <v>4495</v>
      </c>
      <c r="Z199" s="27">
        <v>0.5716075650904038</v>
      </c>
      <c r="AA199" s="27" t="s">
        <v>4495</v>
      </c>
      <c r="AB199" s="27">
        <v>1.0</v>
      </c>
      <c r="AC199" s="27">
        <v>0.6437086009114665</v>
      </c>
      <c r="AD199" s="27">
        <v>0.3572727513637476</v>
      </c>
      <c r="AE199" s="28" t="s">
        <v>4497</v>
      </c>
    </row>
    <row r="200" ht="21.0" customHeight="1">
      <c r="A200" s="10" t="s">
        <v>21</v>
      </c>
      <c r="B200" s="15" t="s">
        <v>1890</v>
      </c>
      <c r="C200" s="12" t="s">
        <v>1891</v>
      </c>
      <c r="D200" s="13"/>
      <c r="E200" s="14"/>
      <c r="F200" s="15" t="s">
        <v>26</v>
      </c>
      <c r="H200" s="14">
        <v>3.0</v>
      </c>
      <c r="I200" s="14">
        <v>114.0</v>
      </c>
      <c r="J200" s="16"/>
      <c r="K200" s="15" t="s">
        <v>1892</v>
      </c>
      <c r="M200" s="17" t="s">
        <v>31</v>
      </c>
      <c r="N200" s="16"/>
      <c r="P200" s="14"/>
      <c r="Q200" s="14"/>
      <c r="R200" s="14">
        <v>19.0</v>
      </c>
      <c r="S200" s="14"/>
      <c r="T200" s="15" t="s">
        <v>1744</v>
      </c>
      <c r="U200" s="14">
        <v>7.0</v>
      </c>
      <c r="V200" s="14" t="s">
        <v>4495</v>
      </c>
      <c r="W200" s="14" t="s">
        <v>4495</v>
      </c>
      <c r="X200" s="14" t="s">
        <v>4495</v>
      </c>
      <c r="Y200" s="18" t="s">
        <v>4495</v>
      </c>
      <c r="Z200" s="18">
        <v>0.18062650857502485</v>
      </c>
      <c r="AA200" s="18" t="s">
        <v>4495</v>
      </c>
      <c r="AB200" s="18" t="s">
        <v>4495</v>
      </c>
      <c r="AC200" s="18">
        <v>0.24231233024776405</v>
      </c>
      <c r="AD200" s="18">
        <v>0.06938786016853263</v>
      </c>
      <c r="AE200" s="19" t="s">
        <v>4497</v>
      </c>
    </row>
    <row r="201" ht="21.0" customHeight="1">
      <c r="A201" s="20" t="s">
        <v>21</v>
      </c>
      <c r="B201" s="21" t="s">
        <v>508</v>
      </c>
      <c r="C201" s="22" t="s">
        <v>509</v>
      </c>
      <c r="D201" s="23">
        <v>43130.0</v>
      </c>
      <c r="E201" s="24">
        <v>2018.0</v>
      </c>
      <c r="F201" s="21" t="s">
        <v>41</v>
      </c>
      <c r="G201" s="21" t="s">
        <v>42</v>
      </c>
      <c r="H201" s="24">
        <v>14.0</v>
      </c>
      <c r="I201" s="24">
        <v>405.0</v>
      </c>
      <c r="J201" s="25" t="s">
        <v>512</v>
      </c>
      <c r="K201" s="21" t="s">
        <v>513</v>
      </c>
      <c r="L201" s="21" t="s">
        <v>514</v>
      </c>
      <c r="M201" s="26" t="s">
        <v>59</v>
      </c>
      <c r="N201" s="25" t="s">
        <v>515</v>
      </c>
      <c r="O201" s="21" t="s">
        <v>516</v>
      </c>
      <c r="P201" s="24">
        <v>10.0</v>
      </c>
      <c r="Q201" s="24"/>
      <c r="R201" s="24">
        <v>37.0</v>
      </c>
      <c r="S201" s="24">
        <v>2018.0</v>
      </c>
      <c r="T201" s="21" t="s">
        <v>518</v>
      </c>
      <c r="U201" s="24">
        <v>20.8</v>
      </c>
      <c r="V201" s="24">
        <v>0.14474624731951394</v>
      </c>
      <c r="W201" s="24">
        <v>0.0</v>
      </c>
      <c r="X201" s="24" t="s">
        <v>4495</v>
      </c>
      <c r="Y201" s="27" t="s">
        <v>4495</v>
      </c>
      <c r="Z201" s="27">
        <v>0.40566762681079266</v>
      </c>
      <c r="AA201" s="27">
        <v>1.0</v>
      </c>
      <c r="AB201" s="27">
        <v>1.0</v>
      </c>
      <c r="AC201" s="27">
        <v>0.6644979373420747</v>
      </c>
      <c r="AD201" s="27">
        <v>0.5178667004369056</v>
      </c>
      <c r="AE201" s="28" t="s">
        <v>4498</v>
      </c>
    </row>
    <row r="202" ht="21.0" customHeight="1">
      <c r="A202" s="10" t="s">
        <v>21</v>
      </c>
      <c r="B202" s="15" t="s">
        <v>436</v>
      </c>
      <c r="C202" s="12" t="s">
        <v>437</v>
      </c>
      <c r="D202" s="13">
        <v>42062.0</v>
      </c>
      <c r="E202" s="14">
        <v>2015.0</v>
      </c>
      <c r="F202" s="15" t="s">
        <v>41</v>
      </c>
      <c r="G202" s="15" t="s">
        <v>42</v>
      </c>
      <c r="H202" s="14">
        <v>15.0</v>
      </c>
      <c r="I202" s="14">
        <v>294.0</v>
      </c>
      <c r="J202" s="16" t="s">
        <v>440</v>
      </c>
      <c r="K202" s="15" t="s">
        <v>441</v>
      </c>
      <c r="L202" s="15" t="s">
        <v>442</v>
      </c>
      <c r="M202" s="17" t="s">
        <v>59</v>
      </c>
      <c r="N202" s="29" t="s">
        <v>443</v>
      </c>
      <c r="O202" s="15" t="s">
        <v>444</v>
      </c>
      <c r="P202" s="14">
        <v>41.0</v>
      </c>
      <c r="Q202" s="14"/>
      <c r="R202" s="14">
        <v>86.0</v>
      </c>
      <c r="S202" s="14">
        <v>2015.0</v>
      </c>
      <c r="T202" s="15" t="s">
        <v>446</v>
      </c>
      <c r="U202" s="14">
        <v>36.6666666666666</v>
      </c>
      <c r="V202" s="14">
        <v>0.0760475944128298</v>
      </c>
      <c r="W202" s="14">
        <v>0.0</v>
      </c>
      <c r="X202" s="14" t="s">
        <v>4495</v>
      </c>
      <c r="Y202" s="18" t="s">
        <v>4495</v>
      </c>
      <c r="Z202" s="18">
        <v>0.6960865272992703</v>
      </c>
      <c r="AA202" s="18">
        <v>1.0</v>
      </c>
      <c r="AB202" s="18">
        <v>1.0</v>
      </c>
      <c r="AC202" s="18">
        <v>0.8948082015634227</v>
      </c>
      <c r="AD202" s="18">
        <v>0.6135024519811599</v>
      </c>
      <c r="AE202" s="19" t="s">
        <v>4498</v>
      </c>
    </row>
    <row r="203" ht="21.0" customHeight="1">
      <c r="A203" s="20" t="s">
        <v>21</v>
      </c>
      <c r="B203" s="21" t="s">
        <v>1910</v>
      </c>
      <c r="C203" s="22" t="s">
        <v>1911</v>
      </c>
      <c r="D203" s="23">
        <v>41370.0</v>
      </c>
      <c r="E203" s="24">
        <v>2013.0</v>
      </c>
      <c r="F203" s="21" t="s">
        <v>622</v>
      </c>
      <c r="G203" s="21" t="s">
        <v>42</v>
      </c>
      <c r="H203" s="24">
        <v>3.0</v>
      </c>
      <c r="I203" s="24">
        <v>36.0</v>
      </c>
      <c r="J203" s="25"/>
      <c r="K203" s="21" t="s">
        <v>1913</v>
      </c>
      <c r="L203" s="21" t="s">
        <v>1914</v>
      </c>
      <c r="M203" s="26" t="s">
        <v>31</v>
      </c>
      <c r="N203" s="30"/>
      <c r="O203" s="21" t="s">
        <v>1915</v>
      </c>
      <c r="P203" s="24">
        <v>4.0</v>
      </c>
      <c r="Q203" s="24"/>
      <c r="R203" s="24">
        <v>13.0</v>
      </c>
      <c r="S203" s="24"/>
      <c r="T203" s="21" t="s">
        <v>1916</v>
      </c>
      <c r="U203" s="24">
        <v>9.33333333333333</v>
      </c>
      <c r="V203" s="24">
        <v>0.007898200965335674</v>
      </c>
      <c r="W203" s="24" t="s">
        <v>4495</v>
      </c>
      <c r="X203" s="24" t="s">
        <v>4495</v>
      </c>
      <c r="Y203" s="27" t="s">
        <v>4495</v>
      </c>
      <c r="Z203" s="27">
        <v>0.055572302376616874</v>
      </c>
      <c r="AA203" s="27" t="s">
        <v>4495</v>
      </c>
      <c r="AB203" s="27">
        <v>1.0</v>
      </c>
      <c r="AC203" s="27">
        <v>0.3500976568529743</v>
      </c>
      <c r="AD203" s="27">
        <v>0.19890284127945165</v>
      </c>
      <c r="AE203" s="28" t="s">
        <v>4497</v>
      </c>
    </row>
    <row r="204" ht="21.0" customHeight="1">
      <c r="A204" s="10" t="s">
        <v>21</v>
      </c>
      <c r="B204" s="15" t="s">
        <v>1918</v>
      </c>
      <c r="C204" s="12" t="s">
        <v>1919</v>
      </c>
      <c r="D204" s="13"/>
      <c r="E204" s="14"/>
      <c r="F204" s="15" t="s">
        <v>26</v>
      </c>
      <c r="G204" s="15" t="s">
        <v>42</v>
      </c>
      <c r="H204" s="14">
        <v>3.0</v>
      </c>
      <c r="I204" s="14">
        <v>69.0</v>
      </c>
      <c r="J204" s="16"/>
      <c r="K204" s="15" t="s">
        <v>1920</v>
      </c>
      <c r="M204" s="17" t="s">
        <v>31</v>
      </c>
      <c r="N204" s="16"/>
      <c r="P204" s="14"/>
      <c r="Q204" s="14"/>
      <c r="R204" s="14">
        <v>56.0</v>
      </c>
      <c r="S204" s="14"/>
      <c r="T204" s="15" t="s">
        <v>191</v>
      </c>
      <c r="U204" s="14">
        <v>45.0</v>
      </c>
      <c r="V204" s="14" t="s">
        <v>4495</v>
      </c>
      <c r="W204" s="14" t="s">
        <v>4495</v>
      </c>
      <c r="X204" s="14" t="s">
        <v>4495</v>
      </c>
      <c r="Y204" s="18" t="s">
        <v>4495</v>
      </c>
      <c r="Z204" s="18">
        <v>0.5478282077467163</v>
      </c>
      <c r="AA204" s="18" t="s">
        <v>4495</v>
      </c>
      <c r="AB204" s="18" t="s">
        <v>4495</v>
      </c>
      <c r="AC204" s="18">
        <v>0.9789809194225819</v>
      </c>
      <c r="AD204" s="18">
        <v>0.23485514387893724</v>
      </c>
      <c r="AE204" s="19" t="s">
        <v>4497</v>
      </c>
    </row>
    <row r="205" ht="21.0" customHeight="1">
      <c r="A205" s="20" t="s">
        <v>21</v>
      </c>
      <c r="B205" s="21" t="s">
        <v>448</v>
      </c>
      <c r="C205" s="22" t="s">
        <v>449</v>
      </c>
      <c r="D205" s="23">
        <v>44032.0</v>
      </c>
      <c r="E205" s="24">
        <v>2020.0</v>
      </c>
      <c r="F205" s="21" t="s">
        <v>26</v>
      </c>
      <c r="G205" s="21" t="s">
        <v>42</v>
      </c>
      <c r="H205" s="24">
        <v>15.0</v>
      </c>
      <c r="I205" s="24">
        <v>237.0</v>
      </c>
      <c r="J205" s="25" t="s">
        <v>451</v>
      </c>
      <c r="K205" s="21" t="s">
        <v>452</v>
      </c>
      <c r="L205" s="21" t="s">
        <v>453</v>
      </c>
      <c r="M205" s="26" t="s">
        <v>59</v>
      </c>
      <c r="N205" s="30" t="s">
        <v>454</v>
      </c>
      <c r="P205" s="24"/>
      <c r="Q205" s="24"/>
      <c r="R205" s="24">
        <v>213.0</v>
      </c>
      <c r="S205" s="24">
        <v>2020.0</v>
      </c>
      <c r="T205" s="21" t="s">
        <v>456</v>
      </c>
      <c r="U205" s="24">
        <v>14.0</v>
      </c>
      <c r="V205" s="24">
        <v>0.125</v>
      </c>
      <c r="W205" s="24">
        <v>0.0</v>
      </c>
      <c r="X205" s="24" t="s">
        <v>4495</v>
      </c>
      <c r="Y205" s="27" t="s">
        <v>4495</v>
      </c>
      <c r="Z205" s="27">
        <v>1.0</v>
      </c>
      <c r="AA205" s="27">
        <v>1.0</v>
      </c>
      <c r="AB205" s="27">
        <v>1.0</v>
      </c>
      <c r="AC205" s="27">
        <v>0.5070483768501975</v>
      </c>
      <c r="AD205" s="27">
        <v>0.6507048376850197</v>
      </c>
      <c r="AE205" s="28" t="s">
        <v>4498</v>
      </c>
    </row>
    <row r="206" ht="21.0" customHeight="1">
      <c r="A206" s="10" t="s">
        <v>21</v>
      </c>
      <c r="B206" s="15" t="s">
        <v>1932</v>
      </c>
      <c r="C206" s="12" t="s">
        <v>1933</v>
      </c>
      <c r="D206" s="13"/>
      <c r="E206" s="14"/>
      <c r="F206" s="15" t="s">
        <v>41</v>
      </c>
      <c r="G206" s="15" t="s">
        <v>42</v>
      </c>
      <c r="H206" s="14">
        <v>3.0</v>
      </c>
      <c r="I206" s="14">
        <v>32.0</v>
      </c>
      <c r="J206" s="16" t="s">
        <v>1934</v>
      </c>
      <c r="K206" s="15" t="s">
        <v>1935</v>
      </c>
      <c r="L206" s="15" t="s">
        <v>1936</v>
      </c>
      <c r="M206" s="17" t="s">
        <v>31</v>
      </c>
      <c r="N206" s="16"/>
      <c r="O206" s="15" t="s">
        <v>1937</v>
      </c>
      <c r="P206" s="14">
        <v>20.0</v>
      </c>
      <c r="Q206" s="14"/>
      <c r="R206" s="14">
        <v>52.0</v>
      </c>
      <c r="S206" s="14"/>
      <c r="T206" s="15" t="s">
        <v>1938</v>
      </c>
      <c r="U206" s="14">
        <v>10.0</v>
      </c>
      <c r="V206" s="14" t="s">
        <v>4495</v>
      </c>
      <c r="W206" s="14" t="s">
        <v>4495</v>
      </c>
      <c r="X206" s="14" t="s">
        <v>4495</v>
      </c>
      <c r="Y206" s="18" t="s">
        <v>4495</v>
      </c>
      <c r="Z206" s="18">
        <v>0.5223179681071728</v>
      </c>
      <c r="AA206" s="18" t="s">
        <v>4495</v>
      </c>
      <c r="AB206" s="18" t="s">
        <v>4495</v>
      </c>
      <c r="AC206" s="18">
        <v>0.37642785751330293</v>
      </c>
      <c r="AD206" s="18">
        <v>0.16822227777812349</v>
      </c>
      <c r="AE206" s="19" t="s">
        <v>4497</v>
      </c>
    </row>
    <row r="207" ht="21.0" customHeight="1">
      <c r="A207" s="20" t="s">
        <v>21</v>
      </c>
      <c r="B207" s="21" t="s">
        <v>1939</v>
      </c>
      <c r="C207" s="22" t="s">
        <v>1940</v>
      </c>
      <c r="D207" s="23">
        <v>45433.0</v>
      </c>
      <c r="E207" s="24">
        <v>2024.0</v>
      </c>
      <c r="F207" s="21" t="s">
        <v>26</v>
      </c>
      <c r="G207" s="21" t="s">
        <v>42</v>
      </c>
      <c r="H207" s="24">
        <v>3.0</v>
      </c>
      <c r="I207" s="24">
        <v>31.0</v>
      </c>
      <c r="J207" s="25" t="s">
        <v>1942</v>
      </c>
      <c r="K207" s="21" t="s">
        <v>1943</v>
      </c>
      <c r="M207" s="26" t="s">
        <v>31</v>
      </c>
      <c r="N207" s="30"/>
      <c r="P207" s="24"/>
      <c r="Q207" s="24"/>
      <c r="R207" s="24">
        <v>0.0</v>
      </c>
      <c r="S207" s="24"/>
      <c r="T207" s="21" t="s">
        <v>1944</v>
      </c>
      <c r="U207" s="24">
        <v>13.25</v>
      </c>
      <c r="V207" s="24">
        <v>0.06262626262626263</v>
      </c>
      <c r="W207" s="24" t="s">
        <v>4495</v>
      </c>
      <c r="X207" s="24" t="s">
        <v>4495</v>
      </c>
      <c r="Y207" s="27" t="s">
        <v>4495</v>
      </c>
      <c r="Z207" s="27">
        <v>0.0</v>
      </c>
      <c r="AA207" s="27" t="s">
        <v>4495</v>
      </c>
      <c r="AB207" s="27">
        <v>1.0</v>
      </c>
      <c r="AC207" s="27">
        <v>0.485446409123802</v>
      </c>
      <c r="AD207" s="27">
        <v>0.1985446409123802</v>
      </c>
      <c r="AE207" s="28" t="s">
        <v>4497</v>
      </c>
    </row>
    <row r="208" ht="21.0" customHeight="1">
      <c r="A208" s="10" t="s">
        <v>21</v>
      </c>
      <c r="B208" s="15" t="s">
        <v>1945</v>
      </c>
      <c r="C208" s="12" t="s">
        <v>1946</v>
      </c>
      <c r="D208" s="13">
        <v>42961.0</v>
      </c>
      <c r="E208" s="14">
        <v>2017.0</v>
      </c>
      <c r="F208" s="15" t="s">
        <v>41</v>
      </c>
      <c r="G208" s="15" t="s">
        <v>42</v>
      </c>
      <c r="H208" s="14">
        <v>3.0</v>
      </c>
      <c r="I208" s="14">
        <v>28.0</v>
      </c>
      <c r="J208" s="16"/>
      <c r="K208" s="15" t="s">
        <v>1948</v>
      </c>
      <c r="L208" s="15" t="s">
        <v>1949</v>
      </c>
      <c r="M208" s="17" t="s">
        <v>31</v>
      </c>
      <c r="N208" s="29"/>
      <c r="O208" s="15" t="s">
        <v>1950</v>
      </c>
      <c r="P208" s="14">
        <v>13.0</v>
      </c>
      <c r="Q208" s="14"/>
      <c r="R208" s="14">
        <v>32.0</v>
      </c>
      <c r="S208" s="14"/>
      <c r="T208" s="15" t="s">
        <v>1951</v>
      </c>
      <c r="U208" s="14">
        <v>26.6666666666666</v>
      </c>
      <c r="V208" s="14">
        <v>0.009437141894169195</v>
      </c>
      <c r="W208" s="14" t="s">
        <v>4495</v>
      </c>
      <c r="X208" s="14" t="s">
        <v>4495</v>
      </c>
      <c r="Y208" s="18" t="s">
        <v>4495</v>
      </c>
      <c r="Z208" s="18">
        <v>0.35620389963626176</v>
      </c>
      <c r="AA208" s="18" t="s">
        <v>4495</v>
      </c>
      <c r="AB208" s="18">
        <v>1.0</v>
      </c>
      <c r="AC208" s="18">
        <v>0.7648647660353476</v>
      </c>
      <c r="AD208" s="18">
        <v>0.3155374515126002</v>
      </c>
      <c r="AE208" s="19" t="s">
        <v>4497</v>
      </c>
    </row>
    <row r="209" ht="21.0" customHeight="1">
      <c r="A209" s="20" t="s">
        <v>21</v>
      </c>
      <c r="B209" s="21" t="s">
        <v>1953</v>
      </c>
      <c r="C209" s="22" t="s">
        <v>1954</v>
      </c>
      <c r="D209" s="23">
        <v>43364.0</v>
      </c>
      <c r="E209" s="24">
        <v>2018.0</v>
      </c>
      <c r="F209" s="21" t="s">
        <v>26</v>
      </c>
      <c r="G209" s="21" t="s">
        <v>42</v>
      </c>
      <c r="H209" s="24">
        <v>3.0</v>
      </c>
      <c r="I209" s="24">
        <v>36.0</v>
      </c>
      <c r="J209" s="25" t="s">
        <v>1956</v>
      </c>
      <c r="K209" s="21" t="s">
        <v>1957</v>
      </c>
      <c r="L209" s="21" t="s">
        <v>1958</v>
      </c>
      <c r="M209" s="26" t="s">
        <v>59</v>
      </c>
      <c r="N209" s="30" t="s">
        <v>1959</v>
      </c>
      <c r="O209" s="21" t="s">
        <v>1960</v>
      </c>
      <c r="P209" s="24">
        <v>37.0</v>
      </c>
      <c r="Q209" s="24"/>
      <c r="R209" s="24">
        <v>33.0</v>
      </c>
      <c r="S209" s="24"/>
      <c r="T209" s="21" t="s">
        <v>1961</v>
      </c>
      <c r="U209" s="24">
        <v>5.0</v>
      </c>
      <c r="V209" s="24">
        <v>0.014040561622464899</v>
      </c>
      <c r="W209" s="24" t="s">
        <v>4495</v>
      </c>
      <c r="X209" s="24" t="s">
        <v>4495</v>
      </c>
      <c r="Y209" s="27" t="s">
        <v>4495</v>
      </c>
      <c r="Z209" s="27">
        <v>0.36667068086885374</v>
      </c>
      <c r="AA209" s="27" t="s">
        <v>4495</v>
      </c>
      <c r="AB209" s="27">
        <v>1.0</v>
      </c>
      <c r="AC209" s="27">
        <v>0.12115616512388203</v>
      </c>
      <c r="AD209" s="27">
        <v>0.2537832867296016</v>
      </c>
      <c r="AE209" s="28" t="s">
        <v>4500</v>
      </c>
    </row>
    <row r="210" ht="21.0" customHeight="1">
      <c r="A210" s="10" t="s">
        <v>21</v>
      </c>
      <c r="B210" s="15" t="s">
        <v>1962</v>
      </c>
      <c r="C210" s="12" t="s">
        <v>1963</v>
      </c>
      <c r="D210" s="13"/>
      <c r="E210" s="14"/>
      <c r="F210" s="15" t="s">
        <v>41</v>
      </c>
      <c r="G210" s="15" t="s">
        <v>42</v>
      </c>
      <c r="H210" s="14">
        <v>3.0</v>
      </c>
      <c r="I210" s="14">
        <v>42.0</v>
      </c>
      <c r="J210" s="16" t="s">
        <v>1964</v>
      </c>
      <c r="K210" s="15" t="s">
        <v>1965</v>
      </c>
      <c r="L210" s="15" t="s">
        <v>1966</v>
      </c>
      <c r="M210" s="17" t="s">
        <v>31</v>
      </c>
      <c r="N210" s="29"/>
      <c r="O210" s="15" t="s">
        <v>1967</v>
      </c>
      <c r="P210" s="14">
        <v>26.0</v>
      </c>
      <c r="Q210" s="14"/>
      <c r="R210" s="14">
        <v>208.0</v>
      </c>
      <c r="S210" s="14"/>
      <c r="T210" s="15" t="s">
        <v>1968</v>
      </c>
      <c r="U210" s="14">
        <v>30.6666666666666</v>
      </c>
      <c r="V210" s="14" t="s">
        <v>4495</v>
      </c>
      <c r="W210" s="14" t="s">
        <v>4495</v>
      </c>
      <c r="X210" s="14" t="s">
        <v>4495</v>
      </c>
      <c r="Y210" s="18" t="s">
        <v>4495</v>
      </c>
      <c r="Z210" s="18">
        <v>1.0</v>
      </c>
      <c r="AA210" s="18" t="s">
        <v>4495</v>
      </c>
      <c r="AB210" s="18" t="s">
        <v>4495</v>
      </c>
      <c r="AC210" s="18">
        <v>0.821734761995934</v>
      </c>
      <c r="AD210" s="18">
        <v>0.3321734761995934</v>
      </c>
      <c r="AE210" s="19" t="s">
        <v>4497</v>
      </c>
    </row>
    <row r="211" ht="21.0" customHeight="1">
      <c r="A211" s="20" t="s">
        <v>21</v>
      </c>
      <c r="B211" s="21" t="s">
        <v>1969</v>
      </c>
      <c r="C211" s="22" t="s">
        <v>1970</v>
      </c>
      <c r="D211" s="23">
        <v>42265.0</v>
      </c>
      <c r="E211" s="24">
        <v>2015.0</v>
      </c>
      <c r="F211" s="21" t="s">
        <v>41</v>
      </c>
      <c r="G211" s="21" t="s">
        <v>232</v>
      </c>
      <c r="H211" s="24">
        <v>3.0</v>
      </c>
      <c r="I211" s="24">
        <v>44.0</v>
      </c>
      <c r="J211" s="25"/>
      <c r="K211" s="21" t="s">
        <v>1972</v>
      </c>
      <c r="L211" s="21" t="s">
        <v>1973</v>
      </c>
      <c r="M211" s="26" t="s">
        <v>59</v>
      </c>
      <c r="N211" s="30" t="s">
        <v>1974</v>
      </c>
      <c r="O211" s="21" t="s">
        <v>1975</v>
      </c>
      <c r="P211" s="24">
        <v>23.0</v>
      </c>
      <c r="Q211" s="24"/>
      <c r="R211" s="24">
        <v>44.0</v>
      </c>
      <c r="S211" s="24"/>
      <c r="T211" s="21" t="s">
        <v>1976</v>
      </c>
      <c r="U211" s="24">
        <v>6.5</v>
      </c>
      <c r="V211" s="24">
        <v>0.012012012012012012</v>
      </c>
      <c r="W211" s="24" t="s">
        <v>4495</v>
      </c>
      <c r="X211" s="24" t="s">
        <v>4495</v>
      </c>
      <c r="Y211" s="27" t="s">
        <v>4495</v>
      </c>
      <c r="Z211" s="27">
        <v>0.46494767044687196</v>
      </c>
      <c r="AA211" s="27" t="s">
        <v>4495</v>
      </c>
      <c r="AB211" s="27">
        <v>1.0</v>
      </c>
      <c r="AC211" s="27">
        <v>0.21513218774825074</v>
      </c>
      <c r="AD211" s="27">
        <v>0.28775013638654307</v>
      </c>
      <c r="AE211" s="28" t="s">
        <v>4501</v>
      </c>
    </row>
    <row r="212" ht="21.0" customHeight="1">
      <c r="A212" s="10" t="s">
        <v>21</v>
      </c>
      <c r="B212" s="15" t="s">
        <v>1977</v>
      </c>
      <c r="C212" s="12" t="s">
        <v>1978</v>
      </c>
      <c r="D212" s="13">
        <v>42783.0</v>
      </c>
      <c r="E212" s="14">
        <v>2017.0</v>
      </c>
      <c r="F212" s="15" t="s">
        <v>41</v>
      </c>
      <c r="G212" s="15" t="s">
        <v>42</v>
      </c>
      <c r="H212" s="14">
        <v>3.0</v>
      </c>
      <c r="I212" s="14">
        <v>33.0</v>
      </c>
      <c r="J212" s="16"/>
      <c r="K212" s="15" t="s">
        <v>1980</v>
      </c>
      <c r="L212" s="15" t="s">
        <v>1981</v>
      </c>
      <c r="M212" s="17" t="s">
        <v>31</v>
      </c>
      <c r="N212" s="16"/>
      <c r="O212" s="15" t="s">
        <v>1982</v>
      </c>
      <c r="P212" s="14">
        <v>57.0</v>
      </c>
      <c r="Q212" s="14"/>
      <c r="R212" s="14">
        <v>328.0</v>
      </c>
      <c r="S212" s="14"/>
      <c r="T212" s="15" t="s">
        <v>1984</v>
      </c>
      <c r="U212" s="14">
        <v>17.5</v>
      </c>
      <c r="V212" s="14">
        <v>0.010492845786963434</v>
      </c>
      <c r="W212" s="14" t="s">
        <v>4495</v>
      </c>
      <c r="X212" s="14" t="s">
        <v>4495</v>
      </c>
      <c r="Y212" s="18" t="s">
        <v>4495</v>
      </c>
      <c r="Z212" s="18">
        <v>1.0</v>
      </c>
      <c r="AA212" s="18" t="s">
        <v>4495</v>
      </c>
      <c r="AB212" s="18">
        <v>1.0</v>
      </c>
      <c r="AC212" s="18">
        <v>0.5953713476386906</v>
      </c>
      <c r="AD212" s="18">
        <v>0.4595371347638691</v>
      </c>
      <c r="AE212" s="19" t="s">
        <v>4497</v>
      </c>
    </row>
    <row r="213" ht="21.0" customHeight="1">
      <c r="A213" s="20" t="s">
        <v>2383</v>
      </c>
      <c r="B213" s="21" t="s">
        <v>4279</v>
      </c>
      <c r="C213" s="22" t="s">
        <v>4280</v>
      </c>
      <c r="D213" s="23">
        <v>43557.0</v>
      </c>
      <c r="E213" s="24">
        <v>2019.0</v>
      </c>
      <c r="F213" s="21" t="s">
        <v>41</v>
      </c>
      <c r="G213" s="21" t="s">
        <v>42</v>
      </c>
      <c r="H213" s="24">
        <v>15.0</v>
      </c>
      <c r="I213" s="24">
        <v>449.0</v>
      </c>
      <c r="J213" s="25" t="s">
        <v>4282</v>
      </c>
      <c r="K213" s="21" t="s">
        <v>4283</v>
      </c>
      <c r="L213" s="21" t="s">
        <v>4284</v>
      </c>
      <c r="M213" s="26" t="s">
        <v>59</v>
      </c>
      <c r="N213" s="25" t="s">
        <v>4285</v>
      </c>
      <c r="O213" s="21" t="s">
        <v>1078</v>
      </c>
      <c r="P213" s="24"/>
      <c r="Q213" s="24"/>
      <c r="R213" s="24">
        <v>166.0</v>
      </c>
      <c r="S213" s="24">
        <v>2019.0</v>
      </c>
      <c r="T213" s="21" t="s">
        <v>4287</v>
      </c>
      <c r="U213" s="24">
        <v>10.75</v>
      </c>
      <c r="V213" s="24">
        <v>0.18937157317587516</v>
      </c>
      <c r="W213" s="24">
        <v>0.0</v>
      </c>
      <c r="X213" s="24" t="s">
        <v>4495</v>
      </c>
      <c r="Y213" s="27" t="s">
        <v>4495</v>
      </c>
      <c r="Z213" s="27">
        <v>0.9247150311864794</v>
      </c>
      <c r="AA213" s="27">
        <v>1.0</v>
      </c>
      <c r="AB213" s="27">
        <v>1.0</v>
      </c>
      <c r="AC213" s="27">
        <v>0.4042057943479249</v>
      </c>
      <c r="AD213" s="27">
        <v>0.6215993372314124</v>
      </c>
      <c r="AE213" s="28" t="s">
        <v>4498</v>
      </c>
    </row>
    <row r="214" ht="21.0" customHeight="1">
      <c r="A214" s="10" t="s">
        <v>21</v>
      </c>
      <c r="B214" s="15" t="s">
        <v>1992</v>
      </c>
      <c r="C214" s="12" t="s">
        <v>1993</v>
      </c>
      <c r="D214" s="13">
        <v>44287.0</v>
      </c>
      <c r="E214" s="14">
        <v>2021.0</v>
      </c>
      <c r="F214" s="15" t="s">
        <v>41</v>
      </c>
      <c r="G214" s="15" t="s">
        <v>42</v>
      </c>
      <c r="H214" s="14">
        <v>3.0</v>
      </c>
      <c r="I214" s="14">
        <v>63.0</v>
      </c>
      <c r="J214" s="16" t="s">
        <v>1995</v>
      </c>
      <c r="K214" s="15" t="s">
        <v>1996</v>
      </c>
      <c r="L214" s="15" t="s">
        <v>1997</v>
      </c>
      <c r="M214" s="17" t="s">
        <v>59</v>
      </c>
      <c r="N214" s="16" t="s">
        <v>1998</v>
      </c>
      <c r="P214" s="14"/>
      <c r="Q214" s="14"/>
      <c r="R214" s="14">
        <v>85.0</v>
      </c>
      <c r="S214" s="14">
        <v>2021.0</v>
      </c>
      <c r="T214" s="15" t="s">
        <v>1999</v>
      </c>
      <c r="U214" s="14">
        <v>11.0</v>
      </c>
      <c r="V214" s="14">
        <v>0.038391224862888484</v>
      </c>
      <c r="W214" s="14">
        <v>0.0</v>
      </c>
      <c r="X214" s="14" t="s">
        <v>4495</v>
      </c>
      <c r="Y214" s="18" t="s">
        <v>4495</v>
      </c>
      <c r="Z214" s="18">
        <v>0.6920331742590979</v>
      </c>
      <c r="AA214" s="18">
        <v>1.0</v>
      </c>
      <c r="AB214" s="18">
        <v>1.0</v>
      </c>
      <c r="AC214" s="18">
        <v>0.4130723542258289</v>
      </c>
      <c r="AD214" s="18">
        <v>0.5643155289873574</v>
      </c>
      <c r="AE214" s="19" t="s">
        <v>4500</v>
      </c>
    </row>
    <row r="215" ht="21.0" customHeight="1">
      <c r="A215" s="20" t="s">
        <v>21</v>
      </c>
      <c r="B215" s="21" t="s">
        <v>2000</v>
      </c>
      <c r="C215" s="22" t="s">
        <v>2001</v>
      </c>
      <c r="D215" s="23">
        <v>45035.0</v>
      </c>
      <c r="E215" s="24">
        <v>2023.0</v>
      </c>
      <c r="F215" s="21" t="s">
        <v>41</v>
      </c>
      <c r="G215" s="21" t="s">
        <v>232</v>
      </c>
      <c r="H215" s="24">
        <v>3.0</v>
      </c>
      <c r="I215" s="24">
        <v>78.0</v>
      </c>
      <c r="J215" s="25"/>
      <c r="K215" s="21" t="s">
        <v>2003</v>
      </c>
      <c r="L215" s="21" t="s">
        <v>2004</v>
      </c>
      <c r="M215" s="26" t="s">
        <v>31</v>
      </c>
      <c r="N215" s="25"/>
      <c r="O215" s="21" t="s">
        <v>2005</v>
      </c>
      <c r="P215" s="24"/>
      <c r="Q215" s="24"/>
      <c r="R215" s="24">
        <v>206.0</v>
      </c>
      <c r="S215" s="24">
        <v>2023.0</v>
      </c>
      <c r="T215" s="21" t="s">
        <v>2006</v>
      </c>
      <c r="U215" s="24">
        <v>25.6666666666666</v>
      </c>
      <c r="V215" s="24">
        <v>0.08734602463605823</v>
      </c>
      <c r="W215" s="24">
        <v>0.0</v>
      </c>
      <c r="X215" s="24" t="s">
        <v>4495</v>
      </c>
      <c r="Y215" s="27" t="s">
        <v>4495</v>
      </c>
      <c r="Z215" s="27">
        <v>1.0</v>
      </c>
      <c r="AA215" s="27">
        <v>1.0</v>
      </c>
      <c r="AB215" s="27">
        <v>1.0</v>
      </c>
      <c r="AC215" s="27">
        <v>0.7493607070979608</v>
      </c>
      <c r="AD215" s="27">
        <v>0.674936070709796</v>
      </c>
      <c r="AE215" s="28" t="s">
        <v>4497</v>
      </c>
    </row>
    <row r="216" ht="21.0" customHeight="1">
      <c r="A216" s="10" t="s">
        <v>21</v>
      </c>
      <c r="B216" s="15" t="s">
        <v>2008</v>
      </c>
      <c r="C216" s="12" t="s">
        <v>2009</v>
      </c>
      <c r="D216" s="13">
        <v>40620.0</v>
      </c>
      <c r="E216" s="14">
        <v>2011.0</v>
      </c>
      <c r="F216" s="15" t="s">
        <v>41</v>
      </c>
      <c r="G216" s="15" t="s">
        <v>42</v>
      </c>
      <c r="H216" s="14">
        <v>3.0</v>
      </c>
      <c r="I216" s="14">
        <v>70.0</v>
      </c>
      <c r="J216" s="16"/>
      <c r="K216" s="15" t="s">
        <v>2011</v>
      </c>
      <c r="L216" s="15" t="s">
        <v>2012</v>
      </c>
      <c r="M216" s="17" t="s">
        <v>31</v>
      </c>
      <c r="N216" s="29"/>
      <c r="O216" s="15" t="s">
        <v>2013</v>
      </c>
      <c r="P216" s="14">
        <v>12.0</v>
      </c>
      <c r="Q216" s="14"/>
      <c r="R216" s="14">
        <v>63.0</v>
      </c>
      <c r="S216" s="14"/>
      <c r="T216" s="15" t="s">
        <v>2014</v>
      </c>
      <c r="U216" s="14">
        <v>16.25</v>
      </c>
      <c r="V216" s="14">
        <v>0.013187641296156745</v>
      </c>
      <c r="W216" s="14" t="s">
        <v>4495</v>
      </c>
      <c r="X216" s="14" t="s">
        <v>4495</v>
      </c>
      <c r="Y216" s="18" t="s">
        <v>4495</v>
      </c>
      <c r="Z216" s="18">
        <v>0.5884401318226129</v>
      </c>
      <c r="AA216" s="18" t="s">
        <v>4495</v>
      </c>
      <c r="AB216" s="18">
        <v>1.0</v>
      </c>
      <c r="AC216" s="18">
        <v>0.565908565196753</v>
      </c>
      <c r="AD216" s="18">
        <v>0.3537008894753285</v>
      </c>
      <c r="AE216" s="19" t="s">
        <v>4497</v>
      </c>
    </row>
    <row r="217" ht="21.0" customHeight="1">
      <c r="A217" s="20" t="s">
        <v>21</v>
      </c>
      <c r="B217" s="21" t="s">
        <v>2016</v>
      </c>
      <c r="C217" s="22" t="s">
        <v>2017</v>
      </c>
      <c r="D217" s="23"/>
      <c r="E217" s="24"/>
      <c r="F217" s="21" t="s">
        <v>26</v>
      </c>
      <c r="H217" s="24">
        <v>3.0</v>
      </c>
      <c r="I217" s="24">
        <v>39.0</v>
      </c>
      <c r="J217" s="25"/>
      <c r="K217" s="21" t="s">
        <v>2018</v>
      </c>
      <c r="M217" s="26" t="s">
        <v>31</v>
      </c>
      <c r="N217" s="30"/>
      <c r="P217" s="24"/>
      <c r="Q217" s="24"/>
      <c r="R217" s="24">
        <v>14.0</v>
      </c>
      <c r="S217" s="24"/>
      <c r="T217" s="21" t="s">
        <v>2019</v>
      </c>
      <c r="U217" s="24">
        <v>12.0</v>
      </c>
      <c r="V217" s="24" t="s">
        <v>4495</v>
      </c>
      <c r="W217" s="24" t="s">
        <v>4495</v>
      </c>
      <c r="X217" s="24" t="s">
        <v>4495</v>
      </c>
      <c r="Y217" s="27" t="s">
        <v>4495</v>
      </c>
      <c r="Z217" s="27">
        <v>0.07976197121590477</v>
      </c>
      <c r="AA217" s="27" t="s">
        <v>4495</v>
      </c>
      <c r="AB217" s="27" t="s">
        <v>4495</v>
      </c>
      <c r="AC217" s="27">
        <v>0.4467820234631535</v>
      </c>
      <c r="AD217" s="27">
        <v>0.06461869515029155</v>
      </c>
      <c r="AE217" s="28" t="s">
        <v>4497</v>
      </c>
    </row>
    <row r="218" ht="21.0" customHeight="1">
      <c r="A218" s="10" t="s">
        <v>21</v>
      </c>
      <c r="B218" s="15" t="s">
        <v>2020</v>
      </c>
      <c r="C218" s="12" t="s">
        <v>2021</v>
      </c>
      <c r="D218" s="13">
        <v>43645.0</v>
      </c>
      <c r="E218" s="14">
        <v>2019.0</v>
      </c>
      <c r="F218" s="15" t="s">
        <v>26</v>
      </c>
      <c r="G218" s="15" t="s">
        <v>42</v>
      </c>
      <c r="H218" s="14">
        <v>3.0</v>
      </c>
      <c r="I218" s="14">
        <v>88.0</v>
      </c>
      <c r="J218" s="16" t="s">
        <v>2024</v>
      </c>
      <c r="K218" s="15" t="s">
        <v>2025</v>
      </c>
      <c r="L218" s="15" t="s">
        <v>2026</v>
      </c>
      <c r="M218" s="17" t="s">
        <v>59</v>
      </c>
      <c r="N218" s="16" t="s">
        <v>2027</v>
      </c>
      <c r="P218" s="14"/>
      <c r="Q218" s="14"/>
      <c r="R218" s="14">
        <v>8.0</v>
      </c>
      <c r="S218" s="14">
        <v>2011.0</v>
      </c>
      <c r="T218" s="15" t="s">
        <v>2028</v>
      </c>
      <c r="U218" s="14">
        <v>4.0</v>
      </c>
      <c r="V218" s="14">
        <v>0.038545773105562856</v>
      </c>
      <c r="W218" s="14">
        <v>8.0</v>
      </c>
      <c r="X218" s="14" t="s">
        <v>4495</v>
      </c>
      <c r="Y218" s="18" t="s">
        <v>4495</v>
      </c>
      <c r="Z218" s="18">
        <v>0.0</v>
      </c>
      <c r="AA218" s="18">
        <v>1.0</v>
      </c>
      <c r="AB218" s="18">
        <v>1.0</v>
      </c>
      <c r="AC218" s="18">
        <v>0.044372163770186025</v>
      </c>
      <c r="AD218" s="18">
        <v>0.3544372163770186</v>
      </c>
      <c r="AE218" s="19" t="s">
        <v>4501</v>
      </c>
    </row>
    <row r="219" ht="21.0" customHeight="1">
      <c r="A219" s="20" t="s">
        <v>21</v>
      </c>
      <c r="B219" s="21" t="s">
        <v>2029</v>
      </c>
      <c r="C219" s="22" t="s">
        <v>2030</v>
      </c>
      <c r="D219" s="23">
        <v>45012.0</v>
      </c>
      <c r="E219" s="24">
        <v>2023.0</v>
      </c>
      <c r="F219" s="21" t="s">
        <v>41</v>
      </c>
      <c r="G219" s="21" t="s">
        <v>42</v>
      </c>
      <c r="H219" s="24">
        <v>3.0</v>
      </c>
      <c r="I219" s="24">
        <v>130.0</v>
      </c>
      <c r="J219" s="25"/>
      <c r="K219" s="21" t="s">
        <v>2032</v>
      </c>
      <c r="L219" s="21" t="s">
        <v>2033</v>
      </c>
      <c r="M219" s="26" t="s">
        <v>31</v>
      </c>
      <c r="N219" s="30"/>
      <c r="O219" s="21" t="s">
        <v>2034</v>
      </c>
      <c r="P219" s="24">
        <v>38.0</v>
      </c>
      <c r="Q219" s="24"/>
      <c r="R219" s="24">
        <v>145.0</v>
      </c>
      <c r="S219" s="24"/>
      <c r="T219" s="21" t="s">
        <v>2035</v>
      </c>
      <c r="U219" s="24">
        <v>10.0</v>
      </c>
      <c r="V219" s="24">
        <v>0.14192139737991266</v>
      </c>
      <c r="W219" s="24" t="s">
        <v>4495</v>
      </c>
      <c r="X219" s="24" t="s">
        <v>4495</v>
      </c>
      <c r="Y219" s="27" t="s">
        <v>4495</v>
      </c>
      <c r="Z219" s="27">
        <v>0.8775973859947773</v>
      </c>
      <c r="AA219" s="27" t="s">
        <v>4495</v>
      </c>
      <c r="AB219" s="27">
        <v>1.0</v>
      </c>
      <c r="AC219" s="27">
        <v>0.37642785751330293</v>
      </c>
      <c r="AD219" s="27">
        <v>0.4070421322500246</v>
      </c>
      <c r="AE219" s="28" t="s">
        <v>4497</v>
      </c>
    </row>
    <row r="220" ht="21.0" customHeight="1">
      <c r="A220" s="10" t="s">
        <v>21</v>
      </c>
      <c r="B220" s="15" t="s">
        <v>2036</v>
      </c>
      <c r="C220" s="12" t="s">
        <v>2037</v>
      </c>
      <c r="D220" s="13"/>
      <c r="E220" s="14"/>
      <c r="F220" s="15" t="s">
        <v>41</v>
      </c>
      <c r="G220" s="15" t="s">
        <v>42</v>
      </c>
      <c r="H220" s="14">
        <v>3.0</v>
      </c>
      <c r="I220" s="14">
        <v>49.0</v>
      </c>
      <c r="J220" s="16"/>
      <c r="K220" s="15" t="s">
        <v>2038</v>
      </c>
      <c r="L220" s="15" t="s">
        <v>2039</v>
      </c>
      <c r="M220" s="17" t="s">
        <v>59</v>
      </c>
      <c r="N220" s="29" t="s">
        <v>2040</v>
      </c>
      <c r="O220" s="15" t="s">
        <v>2041</v>
      </c>
      <c r="P220" s="14">
        <v>7.0</v>
      </c>
      <c r="Q220" s="14"/>
      <c r="R220" s="14">
        <v>20.0</v>
      </c>
      <c r="S220" s="14">
        <v>2014.0</v>
      </c>
      <c r="T220" s="15" t="s">
        <v>2042</v>
      </c>
      <c r="U220" s="14">
        <v>15.25</v>
      </c>
      <c r="V220" s="14" t="s">
        <v>4495</v>
      </c>
      <c r="W220" s="14" t="s">
        <v>4495</v>
      </c>
      <c r="X220" s="14" t="s">
        <v>4495</v>
      </c>
      <c r="Y220" s="18" t="s">
        <v>4495</v>
      </c>
      <c r="Z220" s="18">
        <v>0.19773288331254052</v>
      </c>
      <c r="AA220" s="18" t="s">
        <v>4495</v>
      </c>
      <c r="AB220" s="18" t="s">
        <v>4495</v>
      </c>
      <c r="AC220" s="18">
        <v>0.5407580460875222</v>
      </c>
      <c r="AD220" s="18">
        <v>0.10350902543688735</v>
      </c>
      <c r="AE220" s="19" t="s">
        <v>4501</v>
      </c>
    </row>
    <row r="221" ht="21.0" customHeight="1">
      <c r="A221" s="20" t="s">
        <v>21</v>
      </c>
      <c r="B221" s="21" t="s">
        <v>2044</v>
      </c>
      <c r="C221" s="22" t="s">
        <v>2045</v>
      </c>
      <c r="D221" s="23"/>
      <c r="E221" s="24"/>
      <c r="F221" s="21" t="s">
        <v>26</v>
      </c>
      <c r="G221" s="21" t="s">
        <v>27</v>
      </c>
      <c r="H221" s="24">
        <v>3.0</v>
      </c>
      <c r="I221" s="24">
        <v>19.0</v>
      </c>
      <c r="J221" s="25"/>
      <c r="K221" s="21" t="s">
        <v>2046</v>
      </c>
      <c r="M221" s="26" t="s">
        <v>31</v>
      </c>
      <c r="N221" s="30"/>
      <c r="P221" s="24"/>
      <c r="Q221" s="24"/>
      <c r="R221" s="24">
        <v>40.0</v>
      </c>
      <c r="S221" s="24"/>
      <c r="T221" s="21" t="s">
        <v>2047</v>
      </c>
      <c r="U221" s="24">
        <v>19.6666666666666</v>
      </c>
      <c r="V221" s="24" t="s">
        <v>4495</v>
      </c>
      <c r="W221" s="24" t="s">
        <v>4495</v>
      </c>
      <c r="X221" s="24" t="s">
        <v>4495</v>
      </c>
      <c r="Y221" s="27" t="s">
        <v>4495</v>
      </c>
      <c r="Z221" s="27">
        <v>0.43230913174650915</v>
      </c>
      <c r="AA221" s="27" t="s">
        <v>4495</v>
      </c>
      <c r="AB221" s="27" t="s">
        <v>4495</v>
      </c>
      <c r="AC221" s="27">
        <v>0.6420138459549198</v>
      </c>
      <c r="AD221" s="27">
        <v>0.1722786675321193</v>
      </c>
      <c r="AE221" s="28" t="s">
        <v>4497</v>
      </c>
    </row>
    <row r="222" ht="21.0" customHeight="1">
      <c r="A222" s="10" t="s">
        <v>21</v>
      </c>
      <c r="B222" s="15" t="s">
        <v>2048</v>
      </c>
      <c r="C222" s="12" t="s">
        <v>2049</v>
      </c>
      <c r="D222" s="13">
        <v>44142.0</v>
      </c>
      <c r="E222" s="14">
        <v>2020.0</v>
      </c>
      <c r="F222" s="15" t="s">
        <v>41</v>
      </c>
      <c r="G222" s="15" t="s">
        <v>42</v>
      </c>
      <c r="H222" s="14">
        <v>3.0</v>
      </c>
      <c r="I222" s="14">
        <v>108.0</v>
      </c>
      <c r="J222" s="16"/>
      <c r="K222" s="15" t="s">
        <v>2052</v>
      </c>
      <c r="L222" s="15" t="s">
        <v>2053</v>
      </c>
      <c r="M222" s="17" t="s">
        <v>31</v>
      </c>
      <c r="N222" s="16"/>
      <c r="O222" s="15" t="s">
        <v>2054</v>
      </c>
      <c r="P222" s="14"/>
      <c r="Q222" s="14"/>
      <c r="R222" s="14">
        <v>49.0</v>
      </c>
      <c r="S222" s="14"/>
      <c r="T222" s="15" t="s">
        <v>34</v>
      </c>
      <c r="U222" s="14">
        <v>14.0</v>
      </c>
      <c r="V222" s="14">
        <v>0.060470324748040316</v>
      </c>
      <c r="W222" s="14" t="s">
        <v>4495</v>
      </c>
      <c r="X222" s="14" t="s">
        <v>4495</v>
      </c>
      <c r="Y222" s="18" t="s">
        <v>4495</v>
      </c>
      <c r="Z222" s="18">
        <v>0.5018882402125678</v>
      </c>
      <c r="AA222" s="18" t="s">
        <v>4495</v>
      </c>
      <c r="AB222" s="18">
        <v>1.0</v>
      </c>
      <c r="AC222" s="18">
        <v>0.5070483768501975</v>
      </c>
      <c r="AD222" s="18">
        <v>0.3261768977381617</v>
      </c>
      <c r="AE222" s="19" t="s">
        <v>4497</v>
      </c>
    </row>
    <row r="223" ht="21.0" customHeight="1">
      <c r="A223" s="20" t="s">
        <v>21</v>
      </c>
      <c r="B223" s="21" t="s">
        <v>414</v>
      </c>
      <c r="C223" s="22" t="s">
        <v>415</v>
      </c>
      <c r="D223" s="23">
        <v>43629.0</v>
      </c>
      <c r="E223" s="24">
        <v>2019.0</v>
      </c>
      <c r="F223" s="21" t="s">
        <v>41</v>
      </c>
      <c r="G223" s="21" t="s">
        <v>417</v>
      </c>
      <c r="H223" s="24">
        <v>16.0</v>
      </c>
      <c r="I223" s="24">
        <v>360.0</v>
      </c>
      <c r="J223" s="25" t="s">
        <v>419</v>
      </c>
      <c r="K223" s="21" t="s">
        <v>420</v>
      </c>
      <c r="L223" s="21" t="s">
        <v>421</v>
      </c>
      <c r="M223" s="26" t="s">
        <v>59</v>
      </c>
      <c r="N223" s="30" t="s">
        <v>422</v>
      </c>
      <c r="O223" s="21" t="s">
        <v>423</v>
      </c>
      <c r="P223" s="24">
        <v>17.0</v>
      </c>
      <c r="Q223" s="24"/>
      <c r="R223" s="24">
        <v>217.0</v>
      </c>
      <c r="S223" s="24">
        <v>2019.0</v>
      </c>
      <c r="T223" s="21" t="s">
        <v>425</v>
      </c>
      <c r="U223" s="24">
        <v>37.0</v>
      </c>
      <c r="V223" s="24">
        <v>0.156589821661592</v>
      </c>
      <c r="W223" s="24">
        <v>0.0</v>
      </c>
      <c r="X223" s="24" t="s">
        <v>4495</v>
      </c>
      <c r="Y223" s="27" t="s">
        <v>4495</v>
      </c>
      <c r="Z223" s="27">
        <v>1.0</v>
      </c>
      <c r="AA223" s="27">
        <v>1.0</v>
      </c>
      <c r="AB223" s="27">
        <v>1.0</v>
      </c>
      <c r="AC223" s="27">
        <v>0.8985187633496309</v>
      </c>
      <c r="AD223" s="27">
        <v>0.689851876334963</v>
      </c>
      <c r="AE223" s="28" t="s">
        <v>4498</v>
      </c>
    </row>
    <row r="224" ht="21.0" customHeight="1">
      <c r="A224" s="10" t="s">
        <v>21</v>
      </c>
      <c r="B224" s="15" t="s">
        <v>359</v>
      </c>
      <c r="C224" s="12" t="s">
        <v>360</v>
      </c>
      <c r="D224" s="13">
        <v>41361.0</v>
      </c>
      <c r="E224" s="14">
        <v>2013.0</v>
      </c>
      <c r="F224" s="15" t="s">
        <v>41</v>
      </c>
      <c r="G224" s="15" t="s">
        <v>42</v>
      </c>
      <c r="H224" s="14">
        <v>19.0</v>
      </c>
      <c r="I224" s="14">
        <v>263.0</v>
      </c>
      <c r="J224" s="16"/>
      <c r="K224" s="15" t="s">
        <v>363</v>
      </c>
      <c r="L224" s="15" t="s">
        <v>364</v>
      </c>
      <c r="M224" s="17" t="s">
        <v>59</v>
      </c>
      <c r="N224" s="16" t="s">
        <v>365</v>
      </c>
      <c r="O224" s="15" t="s">
        <v>366</v>
      </c>
      <c r="P224" s="14">
        <v>19.0</v>
      </c>
      <c r="Q224" s="14"/>
      <c r="R224" s="14">
        <v>98.0</v>
      </c>
      <c r="S224" s="14"/>
      <c r="T224" s="15" t="s">
        <v>368</v>
      </c>
      <c r="U224" s="14">
        <v>18.0</v>
      </c>
      <c r="V224" s="14">
        <v>0.05758703744252244</v>
      </c>
      <c r="W224" s="14" t="s">
        <v>4495</v>
      </c>
      <c r="X224" s="14" t="s">
        <v>4495</v>
      </c>
      <c r="Y224" s="18" t="s">
        <v>4495</v>
      </c>
      <c r="Z224" s="18">
        <v>0.7413895988672289</v>
      </c>
      <c r="AA224" s="18" t="s">
        <v>4495</v>
      </c>
      <c r="AB224" s="18">
        <v>1.0</v>
      </c>
      <c r="AC224" s="18">
        <v>0.606602574247684</v>
      </c>
      <c r="AD224" s="18">
        <v>0.3960076571415756</v>
      </c>
      <c r="AE224" s="19" t="s">
        <v>4498</v>
      </c>
    </row>
    <row r="225" ht="21.0" customHeight="1">
      <c r="A225" s="20" t="s">
        <v>21</v>
      </c>
      <c r="B225" s="21" t="s">
        <v>2072</v>
      </c>
      <c r="C225" s="22" t="s">
        <v>2073</v>
      </c>
      <c r="D225" s="23">
        <v>44853.0</v>
      </c>
      <c r="E225" s="24">
        <v>2022.0</v>
      </c>
      <c r="F225" s="21" t="s">
        <v>41</v>
      </c>
      <c r="G225" s="21" t="s">
        <v>42</v>
      </c>
      <c r="H225" s="24">
        <v>3.0</v>
      </c>
      <c r="I225" s="24">
        <v>201.0</v>
      </c>
      <c r="J225" s="25"/>
      <c r="K225" s="21" t="s">
        <v>2075</v>
      </c>
      <c r="L225" s="21" t="s">
        <v>2076</v>
      </c>
      <c r="M225" s="26" t="s">
        <v>31</v>
      </c>
      <c r="N225" s="30"/>
      <c r="O225" s="21" t="s">
        <v>2077</v>
      </c>
      <c r="P225" s="24">
        <v>28.0</v>
      </c>
      <c r="Q225" s="24"/>
      <c r="R225" s="24">
        <v>90.0</v>
      </c>
      <c r="S225" s="24"/>
      <c r="T225" s="21" t="s">
        <v>2078</v>
      </c>
      <c r="U225" s="24">
        <v>19.0</v>
      </c>
      <c r="V225" s="24">
        <v>0.1869767441860465</v>
      </c>
      <c r="W225" s="24" t="s">
        <v>4495</v>
      </c>
      <c r="X225" s="24" t="s">
        <v>4495</v>
      </c>
      <c r="Y225" s="27" t="s">
        <v>4495</v>
      </c>
      <c r="Z225" s="27">
        <v>0.7118469843264902</v>
      </c>
      <c r="AA225" s="27" t="s">
        <v>4495</v>
      </c>
      <c r="AB225" s="27">
        <v>1.0</v>
      </c>
      <c r="AC225" s="27">
        <v>0.6282045419740796</v>
      </c>
      <c r="AD225" s="27">
        <v>0.3907822002790305</v>
      </c>
      <c r="AE225" s="28" t="s">
        <v>4497</v>
      </c>
    </row>
    <row r="226" ht="21.0" customHeight="1">
      <c r="A226" s="10" t="s">
        <v>21</v>
      </c>
      <c r="B226" s="15" t="s">
        <v>2079</v>
      </c>
      <c r="C226" s="12" t="s">
        <v>2080</v>
      </c>
      <c r="D226" s="13">
        <v>42614.0</v>
      </c>
      <c r="E226" s="14">
        <v>2016.0</v>
      </c>
      <c r="F226" s="15" t="s">
        <v>41</v>
      </c>
      <c r="G226" s="15" t="s">
        <v>42</v>
      </c>
      <c r="H226" s="14">
        <v>3.0</v>
      </c>
      <c r="I226" s="14">
        <v>118.0</v>
      </c>
      <c r="J226" s="16"/>
      <c r="K226" s="15" t="s">
        <v>2082</v>
      </c>
      <c r="L226" s="15" t="s">
        <v>2083</v>
      </c>
      <c r="M226" s="17" t="s">
        <v>31</v>
      </c>
      <c r="N226" s="29"/>
      <c r="O226" s="15" t="s">
        <v>2084</v>
      </c>
      <c r="P226" s="14">
        <v>14.0</v>
      </c>
      <c r="Q226" s="14"/>
      <c r="R226" s="14">
        <v>102.0</v>
      </c>
      <c r="S226" s="14"/>
      <c r="T226" s="15" t="s">
        <v>2085</v>
      </c>
      <c r="U226" s="14">
        <v>42.6666666666666</v>
      </c>
      <c r="V226" s="14">
        <v>0.0356065178032589</v>
      </c>
      <c r="W226" s="14" t="s">
        <v>4495</v>
      </c>
      <c r="X226" s="14" t="s">
        <v>4495</v>
      </c>
      <c r="Y226" s="18" t="s">
        <v>4495</v>
      </c>
      <c r="Z226" s="18">
        <v>0.7552770036509245</v>
      </c>
      <c r="AA226" s="18" t="s">
        <v>4495</v>
      </c>
      <c r="AB226" s="18">
        <v>1.0</v>
      </c>
      <c r="AC226" s="18">
        <v>0.9570575888127002</v>
      </c>
      <c r="AD226" s="18">
        <v>0.43452500979400116</v>
      </c>
      <c r="AE226" s="19" t="s">
        <v>4497</v>
      </c>
    </row>
    <row r="227" ht="21.0" customHeight="1">
      <c r="A227" s="20" t="s">
        <v>21</v>
      </c>
      <c r="B227" s="21" t="s">
        <v>2087</v>
      </c>
      <c r="C227" s="22" t="s">
        <v>2088</v>
      </c>
      <c r="D227" s="23"/>
      <c r="E227" s="24"/>
      <c r="F227" s="21" t="s">
        <v>41</v>
      </c>
      <c r="G227" s="21" t="s">
        <v>42</v>
      </c>
      <c r="H227" s="24">
        <v>3.0</v>
      </c>
      <c r="I227" s="24">
        <v>40.0</v>
      </c>
      <c r="J227" s="25"/>
      <c r="K227" s="21" t="s">
        <v>2089</v>
      </c>
      <c r="L227" s="21" t="s">
        <v>2090</v>
      </c>
      <c r="M227" s="26" t="s">
        <v>31</v>
      </c>
      <c r="N227" s="25"/>
      <c r="O227" s="21" t="s">
        <v>2091</v>
      </c>
      <c r="P227" s="24">
        <v>10.0</v>
      </c>
      <c r="Q227" s="24"/>
      <c r="R227" s="24">
        <v>29.0</v>
      </c>
      <c r="S227" s="24"/>
      <c r="T227" s="21" t="s">
        <v>2092</v>
      </c>
      <c r="U227" s="24">
        <v>11.5</v>
      </c>
      <c r="V227" s="24" t="s">
        <v>4495</v>
      </c>
      <c r="W227" s="24" t="s">
        <v>4495</v>
      </c>
      <c r="X227" s="24" t="s">
        <v>4495</v>
      </c>
      <c r="Y227" s="27" t="s">
        <v>4495</v>
      </c>
      <c r="Z227" s="27">
        <v>0.3227870895109485</v>
      </c>
      <c r="AA227" s="27" t="s">
        <v>4495</v>
      </c>
      <c r="AB227" s="27" t="s">
        <v>4495</v>
      </c>
      <c r="AC227" s="27">
        <v>0.4302643754965017</v>
      </c>
      <c r="AD227" s="27">
        <v>0.12372320992738729</v>
      </c>
      <c r="AE227" s="28" t="s">
        <v>4497</v>
      </c>
    </row>
    <row r="228" ht="21.0" customHeight="1">
      <c r="A228" s="10" t="s">
        <v>21</v>
      </c>
      <c r="B228" s="15" t="s">
        <v>2094</v>
      </c>
      <c r="C228" s="12" t="s">
        <v>2095</v>
      </c>
      <c r="D228" s="13">
        <v>44727.0</v>
      </c>
      <c r="E228" s="14">
        <v>2022.0</v>
      </c>
      <c r="F228" s="15" t="s">
        <v>41</v>
      </c>
      <c r="G228" s="15" t="s">
        <v>42</v>
      </c>
      <c r="H228" s="14">
        <v>3.0</v>
      </c>
      <c r="I228" s="14">
        <v>72.0</v>
      </c>
      <c r="J228" s="16" t="s">
        <v>2097</v>
      </c>
      <c r="K228" s="15" t="s">
        <v>2098</v>
      </c>
      <c r="L228" s="15" t="s">
        <v>2099</v>
      </c>
      <c r="M228" s="17" t="s">
        <v>31</v>
      </c>
      <c r="N228" s="29"/>
      <c r="O228" s="15" t="s">
        <v>2100</v>
      </c>
      <c r="P228" s="14">
        <v>23.0</v>
      </c>
      <c r="Q228" s="14"/>
      <c r="R228" s="14">
        <v>0.0</v>
      </c>
      <c r="S228" s="14"/>
      <c r="T228" s="15" t="s">
        <v>2101</v>
      </c>
      <c r="U228" s="14">
        <v>28.5</v>
      </c>
      <c r="V228" s="14">
        <v>0.05995004163197336</v>
      </c>
      <c r="W228" s="14" t="s">
        <v>4495</v>
      </c>
      <c r="X228" s="14" t="s">
        <v>4495</v>
      </c>
      <c r="Y228" s="18" t="s">
        <v>4495</v>
      </c>
      <c r="Z228" s="18">
        <v>0.0</v>
      </c>
      <c r="AA228" s="18" t="s">
        <v>4495</v>
      </c>
      <c r="AB228" s="18">
        <v>1.0</v>
      </c>
      <c r="AC228" s="18">
        <v>0.7918863146567412</v>
      </c>
      <c r="AD228" s="18">
        <v>0.22918863146567411</v>
      </c>
      <c r="AE228" s="19" t="s">
        <v>4497</v>
      </c>
    </row>
    <row r="229" ht="21.0" customHeight="1">
      <c r="A229" s="20" t="s">
        <v>21</v>
      </c>
      <c r="B229" s="21" t="s">
        <v>381</v>
      </c>
      <c r="C229" s="22" t="s">
        <v>382</v>
      </c>
      <c r="D229" s="23">
        <v>44237.0</v>
      </c>
      <c r="E229" s="24">
        <v>2021.0</v>
      </c>
      <c r="F229" s="21" t="s">
        <v>41</v>
      </c>
      <c r="G229" s="21" t="s">
        <v>42</v>
      </c>
      <c r="H229" s="24">
        <v>19.0</v>
      </c>
      <c r="I229" s="24">
        <v>154.0</v>
      </c>
      <c r="J229" s="25" t="s">
        <v>386</v>
      </c>
      <c r="K229" s="21" t="s">
        <v>387</v>
      </c>
      <c r="L229" s="21" t="s">
        <v>388</v>
      </c>
      <c r="M229" s="26" t="s">
        <v>59</v>
      </c>
      <c r="N229" s="30" t="s">
        <v>389</v>
      </c>
      <c r="O229" s="21" t="s">
        <v>390</v>
      </c>
      <c r="P229" s="24">
        <v>47.0</v>
      </c>
      <c r="Q229" s="24"/>
      <c r="R229" s="24">
        <v>234.0</v>
      </c>
      <c r="S229" s="24">
        <v>2020.0</v>
      </c>
      <c r="T229" s="21" t="s">
        <v>392</v>
      </c>
      <c r="U229" s="24">
        <v>29.6666666666666</v>
      </c>
      <c r="V229" s="24">
        <v>0.09107037256061502</v>
      </c>
      <c r="W229" s="24">
        <v>1.0</v>
      </c>
      <c r="X229" s="24" t="s">
        <v>4495</v>
      </c>
      <c r="Y229" s="27" t="s">
        <v>4495</v>
      </c>
      <c r="Z229" s="27">
        <v>1.0</v>
      </c>
      <c r="AA229" s="27">
        <v>1.0</v>
      </c>
      <c r="AB229" s="27">
        <v>1.0</v>
      </c>
      <c r="AC229" s="27">
        <v>0.8082208954445161</v>
      </c>
      <c r="AD229" s="27">
        <v>0.6808220895444516</v>
      </c>
      <c r="AE229" s="28" t="s">
        <v>4498</v>
      </c>
    </row>
    <row r="230" ht="21.0" customHeight="1">
      <c r="A230" s="10" t="s">
        <v>21</v>
      </c>
      <c r="B230" s="15" t="s">
        <v>2112</v>
      </c>
      <c r="C230" s="12" t="s">
        <v>2113</v>
      </c>
      <c r="D230" s="13">
        <v>41371.0</v>
      </c>
      <c r="E230" s="14">
        <v>2013.0</v>
      </c>
      <c r="F230" s="15" t="s">
        <v>26</v>
      </c>
      <c r="G230" s="15" t="s">
        <v>27</v>
      </c>
      <c r="H230" s="14">
        <v>3.0</v>
      </c>
      <c r="I230" s="14">
        <v>36.0</v>
      </c>
      <c r="J230" s="16"/>
      <c r="K230" s="15" t="s">
        <v>2115</v>
      </c>
      <c r="L230" s="15" t="s">
        <v>2116</v>
      </c>
      <c r="M230" s="17" t="s">
        <v>31</v>
      </c>
      <c r="N230" s="29"/>
      <c r="O230" s="15" t="s">
        <v>2117</v>
      </c>
      <c r="P230" s="14">
        <v>5.0</v>
      </c>
      <c r="Q230" s="14"/>
      <c r="R230" s="14">
        <v>9.0</v>
      </c>
      <c r="S230" s="14"/>
      <c r="T230" s="15" t="s">
        <v>2118</v>
      </c>
      <c r="U230" s="14">
        <v>3.4</v>
      </c>
      <c r="V230" s="14">
        <v>0.007899934167215274</v>
      </c>
      <c r="W230" s="14" t="s">
        <v>4495</v>
      </c>
      <c r="X230" s="14" t="s">
        <v>4495</v>
      </c>
      <c r="Y230" s="18" t="s">
        <v>4495</v>
      </c>
      <c r="Z230" s="18">
        <v>0.0</v>
      </c>
      <c r="AA230" s="18" t="s">
        <v>4495</v>
      </c>
      <c r="AB230" s="18">
        <v>1.0</v>
      </c>
      <c r="AC230" s="18">
        <v>0.0</v>
      </c>
      <c r="AD230" s="18">
        <v>0.15</v>
      </c>
      <c r="AE230" s="19" t="s">
        <v>4497</v>
      </c>
    </row>
    <row r="231" ht="21.0" customHeight="1">
      <c r="A231" s="20" t="s">
        <v>2383</v>
      </c>
      <c r="B231" s="21" t="s">
        <v>3505</v>
      </c>
      <c r="C231" s="22" t="s">
        <v>3506</v>
      </c>
      <c r="D231" s="23">
        <v>41295.0</v>
      </c>
      <c r="E231" s="24">
        <v>2013.0</v>
      </c>
      <c r="F231" s="21" t="s">
        <v>41</v>
      </c>
      <c r="G231" s="21" t="s">
        <v>42</v>
      </c>
      <c r="H231" s="24">
        <v>22.0</v>
      </c>
      <c r="I231" s="24">
        <v>552.0</v>
      </c>
      <c r="J231" s="25"/>
      <c r="K231" s="21" t="s">
        <v>3507</v>
      </c>
      <c r="L231" s="21" t="s">
        <v>3508</v>
      </c>
      <c r="M231" s="26" t="s">
        <v>59</v>
      </c>
      <c r="N231" s="30" t="s">
        <v>3509</v>
      </c>
      <c r="O231" s="21" t="s">
        <v>3510</v>
      </c>
      <c r="P231" s="24">
        <v>26.0</v>
      </c>
      <c r="Q231" s="24"/>
      <c r="R231" s="24">
        <v>163.0</v>
      </c>
      <c r="S231" s="24"/>
      <c r="T231" s="21" t="s">
        <v>3511</v>
      </c>
      <c r="U231" s="24">
        <v>23.3333333333333</v>
      </c>
      <c r="V231" s="24">
        <v>0.11914526224908267</v>
      </c>
      <c r="W231" s="24" t="s">
        <v>4495</v>
      </c>
      <c r="X231" s="24" t="s">
        <v>4495</v>
      </c>
      <c r="Y231" s="27" t="s">
        <v>4495</v>
      </c>
      <c r="Z231" s="27">
        <v>0.9183593683365966</v>
      </c>
      <c r="AA231" s="27" t="s">
        <v>4495</v>
      </c>
      <c r="AB231" s="27">
        <v>1.0</v>
      </c>
      <c r="AC231" s="27">
        <v>0.7107975462998052</v>
      </c>
      <c r="AD231" s="27">
        <v>0.45066959671412965</v>
      </c>
      <c r="AE231" s="28" t="s">
        <v>4498</v>
      </c>
    </row>
    <row r="232" ht="21.0" customHeight="1">
      <c r="A232" s="10" t="s">
        <v>21</v>
      </c>
      <c r="B232" s="15" t="s">
        <v>2130</v>
      </c>
      <c r="C232" s="12" t="s">
        <v>2131</v>
      </c>
      <c r="D232" s="13">
        <v>44166.0</v>
      </c>
      <c r="E232" s="14">
        <v>2020.0</v>
      </c>
      <c r="F232" s="15" t="s">
        <v>41</v>
      </c>
      <c r="G232" s="15" t="s">
        <v>42</v>
      </c>
      <c r="H232" s="14">
        <v>3.0</v>
      </c>
      <c r="I232" s="14">
        <v>122.0</v>
      </c>
      <c r="J232" s="16"/>
      <c r="K232" s="15" t="s">
        <v>2133</v>
      </c>
      <c r="L232" s="15" t="s">
        <v>2134</v>
      </c>
      <c r="M232" s="17" t="s">
        <v>31</v>
      </c>
      <c r="N232" s="16"/>
      <c r="O232" s="31" t="s">
        <v>2135</v>
      </c>
      <c r="P232" s="14"/>
      <c r="Q232" s="14"/>
      <c r="R232" s="14">
        <v>185.0</v>
      </c>
      <c r="S232" s="14"/>
      <c r="T232" s="15" t="s">
        <v>2136</v>
      </c>
      <c r="U232" s="14">
        <v>28.3333333333333</v>
      </c>
      <c r="V232" s="14">
        <v>0.06923950056753689</v>
      </c>
      <c r="W232" s="14" t="s">
        <v>4495</v>
      </c>
      <c r="X232" s="14" t="s">
        <v>4495</v>
      </c>
      <c r="Y232" s="18" t="s">
        <v>4495</v>
      </c>
      <c r="Z232" s="18">
        <v>0.9624943839670013</v>
      </c>
      <c r="AA232" s="18" t="s">
        <v>4495</v>
      </c>
      <c r="AB232" s="18">
        <v>1.0</v>
      </c>
      <c r="AC232" s="18">
        <v>0.7895002117391313</v>
      </c>
      <c r="AD232" s="18">
        <v>0.4695736171656635</v>
      </c>
      <c r="AE232" s="19" t="s">
        <v>4497</v>
      </c>
    </row>
    <row r="233" ht="21.0" customHeight="1">
      <c r="A233" s="20" t="s">
        <v>21</v>
      </c>
      <c r="B233" s="21" t="s">
        <v>2138</v>
      </c>
      <c r="C233" s="22" t="s">
        <v>2139</v>
      </c>
      <c r="D233" s="23">
        <v>40878.0</v>
      </c>
      <c r="E233" s="24">
        <v>2011.0</v>
      </c>
      <c r="F233" s="21" t="s">
        <v>118</v>
      </c>
      <c r="G233" s="21" t="s">
        <v>232</v>
      </c>
      <c r="H233" s="24">
        <v>3.0</v>
      </c>
      <c r="I233" s="24">
        <v>88.0</v>
      </c>
      <c r="J233" s="25"/>
      <c r="K233" s="21" t="s">
        <v>2141</v>
      </c>
      <c r="L233" s="21" t="s">
        <v>2142</v>
      </c>
      <c r="M233" s="26" t="s">
        <v>31</v>
      </c>
      <c r="N233" s="25"/>
      <c r="O233" s="21" t="s">
        <v>1706</v>
      </c>
      <c r="P233" s="24">
        <v>7.0</v>
      </c>
      <c r="Q233" s="24"/>
      <c r="R233" s="24">
        <v>35.0</v>
      </c>
      <c r="S233" s="24"/>
      <c r="T233" s="21" t="s">
        <v>2143</v>
      </c>
      <c r="U233" s="24">
        <v>17.6</v>
      </c>
      <c r="V233" s="24">
        <v>0.017425742574257427</v>
      </c>
      <c r="W233" s="24" t="s">
        <v>4495</v>
      </c>
      <c r="X233" s="24" t="s">
        <v>4495</v>
      </c>
      <c r="Y233" s="27" t="s">
        <v>4495</v>
      </c>
      <c r="Z233" s="27">
        <v>0.3867110571043727</v>
      </c>
      <c r="AA233" s="27" t="s">
        <v>4495</v>
      </c>
      <c r="AB233" s="27">
        <v>1.0</v>
      </c>
      <c r="AC233" s="27">
        <v>0.5976416821847352</v>
      </c>
      <c r="AD233" s="27">
        <v>0.3064419324945667</v>
      </c>
      <c r="AE233" s="28" t="s">
        <v>4497</v>
      </c>
    </row>
    <row r="234" ht="21.0" customHeight="1">
      <c r="A234" s="10" t="s">
        <v>21</v>
      </c>
      <c r="B234" s="15" t="s">
        <v>307</v>
      </c>
      <c r="C234" s="12" t="s">
        <v>308</v>
      </c>
      <c r="D234" s="13">
        <v>43144.0</v>
      </c>
      <c r="E234" s="14">
        <v>2018.0</v>
      </c>
      <c r="F234" s="15" t="s">
        <v>41</v>
      </c>
      <c r="G234" s="15" t="s">
        <v>42</v>
      </c>
      <c r="H234" s="14">
        <v>23.0</v>
      </c>
      <c r="I234" s="14">
        <v>357.0</v>
      </c>
      <c r="J234" s="16" t="s">
        <v>311</v>
      </c>
      <c r="K234" s="15" t="s">
        <v>312</v>
      </c>
      <c r="L234" s="15" t="s">
        <v>313</v>
      </c>
      <c r="M234" s="17" t="s">
        <v>59</v>
      </c>
      <c r="N234" s="16" t="s">
        <v>314</v>
      </c>
      <c r="O234" s="15" t="s">
        <v>315</v>
      </c>
      <c r="P234" s="14">
        <v>15.0</v>
      </c>
      <c r="Q234" s="14"/>
      <c r="R234" s="14">
        <v>106.0</v>
      </c>
      <c r="S234" s="14">
        <v>2018.0</v>
      </c>
      <c r="T234" s="15" t="s">
        <v>316</v>
      </c>
      <c r="U234" s="14">
        <v>35.6666666666666</v>
      </c>
      <c r="V234" s="14">
        <v>0.12823275862068967</v>
      </c>
      <c r="W234" s="14">
        <v>0.0</v>
      </c>
      <c r="X234" s="14" t="s">
        <v>4495</v>
      </c>
      <c r="Y234" s="18" t="s">
        <v>4495</v>
      </c>
      <c r="Z234" s="18">
        <v>0.7686352339046211</v>
      </c>
      <c r="AA234" s="18">
        <v>1.0</v>
      </c>
      <c r="AB234" s="18">
        <v>1.0</v>
      </c>
      <c r="AC234" s="18">
        <v>0.8834762343634998</v>
      </c>
      <c r="AD234" s="18">
        <v>0.6305064319125052</v>
      </c>
      <c r="AE234" s="19" t="s">
        <v>4498</v>
      </c>
    </row>
    <row r="235" ht="21.0" customHeight="1">
      <c r="A235" s="20" t="s">
        <v>21</v>
      </c>
      <c r="B235" s="21" t="s">
        <v>2153</v>
      </c>
      <c r="C235" s="22" t="s">
        <v>2154</v>
      </c>
      <c r="D235" s="23">
        <v>43929.0</v>
      </c>
      <c r="E235" s="24">
        <v>2020.0</v>
      </c>
      <c r="F235" s="21" t="s">
        <v>41</v>
      </c>
      <c r="G235" s="21" t="s">
        <v>42</v>
      </c>
      <c r="H235" s="24">
        <v>3.0</v>
      </c>
      <c r="I235" s="24">
        <v>87.0</v>
      </c>
      <c r="J235" s="25"/>
      <c r="K235" s="21" t="s">
        <v>2156</v>
      </c>
      <c r="L235" s="21" t="s">
        <v>2157</v>
      </c>
      <c r="M235" s="26" t="s">
        <v>31</v>
      </c>
      <c r="N235" s="30"/>
      <c r="O235" s="21" t="s">
        <v>2158</v>
      </c>
      <c r="P235" s="24">
        <v>8.0</v>
      </c>
      <c r="Q235" s="24"/>
      <c r="R235" s="24">
        <v>50.0</v>
      </c>
      <c r="S235" s="24"/>
      <c r="T235" s="21" t="s">
        <v>2159</v>
      </c>
      <c r="U235" s="24">
        <v>44.75</v>
      </c>
      <c r="V235" s="24">
        <v>0.04352176088044022</v>
      </c>
      <c r="W235" s="24" t="s">
        <v>4495</v>
      </c>
      <c r="X235" s="24" t="s">
        <v>4495</v>
      </c>
      <c r="Y235" s="27" t="s">
        <v>4495</v>
      </c>
      <c r="Z235" s="27">
        <v>0.5088312618047772</v>
      </c>
      <c r="AA235" s="27" t="s">
        <v>4495</v>
      </c>
      <c r="AB235" s="27">
        <v>1.0</v>
      </c>
      <c r="AC235" s="27">
        <v>0.9766858399640258</v>
      </c>
      <c r="AD235" s="27">
        <v>0.37487639944759693</v>
      </c>
      <c r="AE235" s="28" t="s">
        <v>4497</v>
      </c>
    </row>
    <row r="236" ht="21.0" customHeight="1">
      <c r="A236" s="10" t="s">
        <v>21</v>
      </c>
      <c r="B236" s="15" t="s">
        <v>2161</v>
      </c>
      <c r="C236" s="12" t="s">
        <v>2162</v>
      </c>
      <c r="D236" s="13">
        <v>44477.0</v>
      </c>
      <c r="E236" s="14">
        <v>2021.0</v>
      </c>
      <c r="F236" s="15" t="s">
        <v>41</v>
      </c>
      <c r="G236" s="15" t="s">
        <v>42</v>
      </c>
      <c r="H236" s="14">
        <v>3.0</v>
      </c>
      <c r="I236" s="14">
        <v>129.0</v>
      </c>
      <c r="J236" s="16"/>
      <c r="K236" s="15" t="s">
        <v>2164</v>
      </c>
      <c r="L236" s="15" t="s">
        <v>2165</v>
      </c>
      <c r="M236" s="17" t="s">
        <v>31</v>
      </c>
      <c r="N236" s="16"/>
      <c r="P236" s="14"/>
      <c r="Q236" s="14"/>
      <c r="R236" s="14">
        <v>128.0</v>
      </c>
      <c r="S236" s="14"/>
      <c r="T236" s="15" t="s">
        <v>2167</v>
      </c>
      <c r="U236" s="14">
        <v>15.0</v>
      </c>
      <c r="V236" s="14">
        <v>0.08890420399724328</v>
      </c>
      <c r="W236" s="14" t="s">
        <v>4495</v>
      </c>
      <c r="X236" s="14" t="s">
        <v>4495</v>
      </c>
      <c r="Y236" s="18" t="s">
        <v>4495</v>
      </c>
      <c r="Z236" s="18">
        <v>0.8341937551950216</v>
      </c>
      <c r="AA236" s="18" t="s">
        <v>4495</v>
      </c>
      <c r="AB236" s="18">
        <v>1.0</v>
      </c>
      <c r="AC236" s="18">
        <v>0.5342285193497109</v>
      </c>
      <c r="AD236" s="18">
        <v>0.4119712907337265</v>
      </c>
      <c r="AE236" s="19" t="s">
        <v>4497</v>
      </c>
    </row>
    <row r="237" ht="21.0" customHeight="1">
      <c r="A237" s="20" t="s">
        <v>21</v>
      </c>
      <c r="B237" s="21" t="s">
        <v>2168</v>
      </c>
      <c r="C237" s="22" t="s">
        <v>2169</v>
      </c>
      <c r="D237" s="23">
        <v>42699.0</v>
      </c>
      <c r="E237" s="24">
        <v>2016.0</v>
      </c>
      <c r="F237" s="21" t="s">
        <v>41</v>
      </c>
      <c r="G237" s="21" t="s">
        <v>42</v>
      </c>
      <c r="H237" s="24">
        <v>3.0</v>
      </c>
      <c r="I237" s="24">
        <v>27.0</v>
      </c>
      <c r="J237" s="25"/>
      <c r="K237" s="21" t="s">
        <v>2171</v>
      </c>
      <c r="L237" s="21" t="s">
        <v>2172</v>
      </c>
      <c r="M237" s="26" t="s">
        <v>59</v>
      </c>
      <c r="N237" s="25" t="s">
        <v>2173</v>
      </c>
      <c r="O237" s="21" t="s">
        <v>2174</v>
      </c>
      <c r="P237" s="24">
        <v>26.0</v>
      </c>
      <c r="Q237" s="24"/>
      <c r="R237" s="24">
        <v>52.0</v>
      </c>
      <c r="S237" s="24"/>
      <c r="T237" s="21" t="s">
        <v>2175</v>
      </c>
      <c r="U237" s="24">
        <v>12.5</v>
      </c>
      <c r="V237" s="24">
        <v>0.00836172189532363</v>
      </c>
      <c r="W237" s="24" t="s">
        <v>4495</v>
      </c>
      <c r="X237" s="24" t="s">
        <v>4495</v>
      </c>
      <c r="Y237" s="27" t="s">
        <v>4495</v>
      </c>
      <c r="Z237" s="27">
        <v>0.5223179681071728</v>
      </c>
      <c r="AA237" s="27" t="s">
        <v>4495</v>
      </c>
      <c r="AB237" s="27">
        <v>1.0</v>
      </c>
      <c r="AC237" s="27">
        <v>0.4626762130800115</v>
      </c>
      <c r="AD237" s="27">
        <v>0.3268471133347944</v>
      </c>
      <c r="AE237" s="28" t="s">
        <v>4500</v>
      </c>
    </row>
    <row r="238" ht="21.0" customHeight="1">
      <c r="A238" s="10" t="s">
        <v>21</v>
      </c>
      <c r="B238" s="15" t="s">
        <v>2176</v>
      </c>
      <c r="C238" s="12" t="s">
        <v>2177</v>
      </c>
      <c r="D238" s="13">
        <v>42149.0</v>
      </c>
      <c r="E238" s="14">
        <v>2015.0</v>
      </c>
      <c r="F238" s="15" t="s">
        <v>41</v>
      </c>
      <c r="G238" s="15" t="s">
        <v>42</v>
      </c>
      <c r="H238" s="14">
        <v>3.0</v>
      </c>
      <c r="I238" s="14">
        <v>37.0</v>
      </c>
      <c r="J238" s="16"/>
      <c r="K238" s="15" t="s">
        <v>2179</v>
      </c>
      <c r="L238" s="15" t="s">
        <v>2180</v>
      </c>
      <c r="M238" s="17" t="s">
        <v>31</v>
      </c>
      <c r="N238" s="16"/>
      <c r="O238" s="15" t="s">
        <v>2181</v>
      </c>
      <c r="P238" s="14">
        <v>6.0</v>
      </c>
      <c r="Q238" s="14"/>
      <c r="R238" s="14">
        <v>54.0</v>
      </c>
      <c r="S238" s="14"/>
      <c r="T238" s="15" t="s">
        <v>2182</v>
      </c>
      <c r="U238" s="14">
        <v>8.0</v>
      </c>
      <c r="V238" s="14">
        <v>0.009790949986768986</v>
      </c>
      <c r="W238" s="14" t="s">
        <v>4495</v>
      </c>
      <c r="X238" s="14" t="s">
        <v>4495</v>
      </c>
      <c r="Y238" s="18" t="s">
        <v>4495</v>
      </c>
      <c r="Z238" s="18">
        <v>0.5353050503378812</v>
      </c>
      <c r="AA238" s="18" t="s">
        <v>4495</v>
      </c>
      <c r="AB238" s="18">
        <v>1.0</v>
      </c>
      <c r="AC238" s="18">
        <v>0.29191618910194683</v>
      </c>
      <c r="AD238" s="18">
        <v>0.313017881494665</v>
      </c>
      <c r="AE238" s="19" t="s">
        <v>4497</v>
      </c>
    </row>
    <row r="239" ht="21.0" customHeight="1">
      <c r="A239" s="20" t="s">
        <v>21</v>
      </c>
      <c r="B239" s="21" t="s">
        <v>274</v>
      </c>
      <c r="C239" s="22" t="s">
        <v>275</v>
      </c>
      <c r="D239" s="23">
        <v>43566.0</v>
      </c>
      <c r="E239" s="24">
        <v>2019.0</v>
      </c>
      <c r="F239" s="21" t="s">
        <v>41</v>
      </c>
      <c r="G239" s="21" t="s">
        <v>42</v>
      </c>
      <c r="H239" s="24">
        <v>26.0</v>
      </c>
      <c r="I239" s="24">
        <v>592.0</v>
      </c>
      <c r="J239" s="25" t="s">
        <v>278</v>
      </c>
      <c r="K239" s="21" t="s">
        <v>279</v>
      </c>
      <c r="L239" s="21" t="s">
        <v>280</v>
      </c>
      <c r="M239" s="26" t="s">
        <v>59</v>
      </c>
      <c r="N239" s="25" t="s">
        <v>281</v>
      </c>
      <c r="O239" s="21" t="s">
        <v>282</v>
      </c>
      <c r="P239" s="24">
        <v>32.0</v>
      </c>
      <c r="Q239" s="24"/>
      <c r="R239" s="24">
        <v>206.0</v>
      </c>
      <c r="S239" s="24"/>
      <c r="T239" s="21" t="s">
        <v>285</v>
      </c>
      <c r="U239" s="24">
        <v>28.4</v>
      </c>
      <c r="V239" s="24">
        <v>0.2506350550381033</v>
      </c>
      <c r="W239" s="24" t="s">
        <v>4495</v>
      </c>
      <c r="X239" s="24" t="s">
        <v>4495</v>
      </c>
      <c r="Y239" s="27" t="s">
        <v>4495</v>
      </c>
      <c r="Z239" s="27">
        <v>1.0</v>
      </c>
      <c r="AA239" s="27" t="s">
        <v>4495</v>
      </c>
      <c r="AB239" s="27">
        <v>1.0</v>
      </c>
      <c r="AC239" s="27">
        <v>0.7904562758009703</v>
      </c>
      <c r="AD239" s="27">
        <v>0.47904562758009706</v>
      </c>
      <c r="AE239" s="28" t="s">
        <v>4498</v>
      </c>
    </row>
    <row r="240" ht="21.0" customHeight="1">
      <c r="A240" s="10" t="s">
        <v>21</v>
      </c>
      <c r="B240" s="15" t="s">
        <v>262</v>
      </c>
      <c r="C240" s="12" t="s">
        <v>263</v>
      </c>
      <c r="D240" s="13">
        <v>43235.0</v>
      </c>
      <c r="E240" s="14">
        <v>2018.0</v>
      </c>
      <c r="F240" s="15" t="s">
        <v>41</v>
      </c>
      <c r="G240" s="15" t="s">
        <v>42</v>
      </c>
      <c r="H240" s="14">
        <v>26.0</v>
      </c>
      <c r="I240" s="14">
        <v>826.0</v>
      </c>
      <c r="J240" s="16" t="s">
        <v>266</v>
      </c>
      <c r="K240" s="15" t="s">
        <v>267</v>
      </c>
      <c r="L240" s="15" t="s">
        <v>268</v>
      </c>
      <c r="M240" s="17" t="s">
        <v>59</v>
      </c>
      <c r="N240" s="16" t="s">
        <v>269</v>
      </c>
      <c r="O240" s="15" t="s">
        <v>270</v>
      </c>
      <c r="P240" s="14">
        <v>17.0</v>
      </c>
      <c r="Q240" s="14"/>
      <c r="R240" s="14">
        <v>76.0</v>
      </c>
      <c r="S240" s="14">
        <v>2018.0</v>
      </c>
      <c r="T240" s="15" t="s">
        <v>272</v>
      </c>
      <c r="U240" s="14">
        <v>8.11111111111111</v>
      </c>
      <c r="V240" s="14">
        <v>0.30672112885258074</v>
      </c>
      <c r="W240" s="14">
        <v>0.0</v>
      </c>
      <c r="X240" s="14" t="s">
        <v>4495</v>
      </c>
      <c r="Y240" s="18" t="s">
        <v>4495</v>
      </c>
      <c r="Z240" s="18">
        <v>0.6532759624345169</v>
      </c>
      <c r="AA240" s="18">
        <v>1.0</v>
      </c>
      <c r="AB240" s="18">
        <v>1.0</v>
      </c>
      <c r="AC240" s="18">
        <v>0.2970836899874542</v>
      </c>
      <c r="AD240" s="18">
        <v>0.5430273596073747</v>
      </c>
      <c r="AE240" s="19" t="s">
        <v>4498</v>
      </c>
    </row>
    <row r="241" ht="21.0" customHeight="1">
      <c r="A241" s="20" t="s">
        <v>21</v>
      </c>
      <c r="B241" s="21" t="s">
        <v>2200</v>
      </c>
      <c r="C241" s="22" t="s">
        <v>2201</v>
      </c>
      <c r="D241" s="23">
        <v>44278.0</v>
      </c>
      <c r="E241" s="24">
        <v>2021.0</v>
      </c>
      <c r="F241" s="21" t="s">
        <v>26</v>
      </c>
      <c r="G241" s="21" t="s">
        <v>42</v>
      </c>
      <c r="H241" s="24">
        <v>3.0</v>
      </c>
      <c r="I241" s="24">
        <v>79.0</v>
      </c>
      <c r="J241" s="25" t="s">
        <v>2203</v>
      </c>
      <c r="K241" s="21" t="s">
        <v>2204</v>
      </c>
      <c r="L241" s="21" t="s">
        <v>2205</v>
      </c>
      <c r="M241" s="26" t="s">
        <v>59</v>
      </c>
      <c r="N241" s="30" t="s">
        <v>2206</v>
      </c>
      <c r="O241" s="21" t="s">
        <v>2207</v>
      </c>
      <c r="P241" s="24"/>
      <c r="Q241" s="24"/>
      <c r="R241" s="24">
        <v>123.0</v>
      </c>
      <c r="S241" s="24">
        <v>2020.0</v>
      </c>
      <c r="T241" s="21" t="s">
        <v>2209</v>
      </c>
      <c r="U241" s="24">
        <v>16.2857142857142</v>
      </c>
      <c r="V241" s="24">
        <v>0.04787878787878788</v>
      </c>
      <c r="W241" s="24">
        <v>1.0</v>
      </c>
      <c r="X241" s="24" t="s">
        <v>4495</v>
      </c>
      <c r="Y241" s="27" t="s">
        <v>4495</v>
      </c>
      <c r="Z241" s="27">
        <v>0.8203338030310776</v>
      </c>
      <c r="AA241" s="27">
        <v>1.0</v>
      </c>
      <c r="AB241" s="27">
        <v>1.0</v>
      </c>
      <c r="AC241" s="27">
        <v>0.5667796017810314</v>
      </c>
      <c r="AD241" s="27">
        <v>0.6117614109358726</v>
      </c>
      <c r="AE241" s="28" t="s">
        <v>4501</v>
      </c>
    </row>
    <row r="242" ht="21.0" customHeight="1">
      <c r="A242" s="10" t="s">
        <v>21</v>
      </c>
      <c r="B242" s="15" t="s">
        <v>206</v>
      </c>
      <c r="C242" s="12" t="s">
        <v>207</v>
      </c>
      <c r="D242" s="13">
        <v>41699.0</v>
      </c>
      <c r="E242" s="14">
        <v>2014.0</v>
      </c>
      <c r="F242" s="15" t="s">
        <v>41</v>
      </c>
      <c r="G242" s="15" t="s">
        <v>42</v>
      </c>
      <c r="H242" s="14">
        <v>30.0</v>
      </c>
      <c r="I242" s="14">
        <v>645.0</v>
      </c>
      <c r="J242" s="16"/>
      <c r="K242" s="15" t="s">
        <v>211</v>
      </c>
      <c r="L242" s="15" t="s">
        <v>212</v>
      </c>
      <c r="M242" s="17" t="s">
        <v>59</v>
      </c>
      <c r="N242" s="16" t="s">
        <v>213</v>
      </c>
      <c r="O242" s="15" t="s">
        <v>214</v>
      </c>
      <c r="P242" s="14">
        <v>29.0</v>
      </c>
      <c r="Q242" s="14"/>
      <c r="R242" s="14">
        <v>95.0</v>
      </c>
      <c r="S242" s="14"/>
      <c r="T242" s="15" t="s">
        <v>217</v>
      </c>
      <c r="U242" s="14">
        <v>29.0</v>
      </c>
      <c r="V242" s="14">
        <v>0.15251832584535352</v>
      </c>
      <c r="W242" s="14" t="s">
        <v>4495</v>
      </c>
      <c r="X242" s="14" t="s">
        <v>4495</v>
      </c>
      <c r="Y242" s="18" t="s">
        <v>4495</v>
      </c>
      <c r="Z242" s="18">
        <v>0.7306007127585364</v>
      </c>
      <c r="AA242" s="18" t="s">
        <v>4495</v>
      </c>
      <c r="AB242" s="18">
        <v>1.0</v>
      </c>
      <c r="AC242" s="18">
        <v>0.7989645659521445</v>
      </c>
      <c r="AD242" s="18">
        <v>0.41254663478484854</v>
      </c>
      <c r="AE242" s="19" t="s">
        <v>4498</v>
      </c>
    </row>
    <row r="243" ht="21.0" customHeight="1">
      <c r="A243" s="20" t="s">
        <v>21</v>
      </c>
      <c r="B243" s="21" t="s">
        <v>2221</v>
      </c>
      <c r="C243" s="22" t="s">
        <v>2222</v>
      </c>
      <c r="D243" s="23">
        <v>42084.0</v>
      </c>
      <c r="E243" s="24">
        <v>2015.0</v>
      </c>
      <c r="F243" s="21" t="s">
        <v>26</v>
      </c>
      <c r="G243" s="21" t="s">
        <v>42</v>
      </c>
      <c r="H243" s="24">
        <v>3.0</v>
      </c>
      <c r="I243" s="24">
        <v>77.0</v>
      </c>
      <c r="J243" s="25"/>
      <c r="K243" s="21" t="s">
        <v>2224</v>
      </c>
      <c r="L243" s="21" t="s">
        <v>2225</v>
      </c>
      <c r="M243" s="26" t="s">
        <v>31</v>
      </c>
      <c r="N243" s="30"/>
      <c r="O243" s="21" t="s">
        <v>2226</v>
      </c>
      <c r="P243" s="24">
        <v>6.0</v>
      </c>
      <c r="Q243" s="24"/>
      <c r="R243" s="24">
        <v>32.0</v>
      </c>
      <c r="S243" s="24"/>
      <c r="T243" s="21" t="s">
        <v>2227</v>
      </c>
      <c r="U243" s="24">
        <v>3.5</v>
      </c>
      <c r="V243" s="24">
        <v>0.020031217481789803</v>
      </c>
      <c r="W243" s="24" t="s">
        <v>4495</v>
      </c>
      <c r="X243" s="24" t="s">
        <v>4495</v>
      </c>
      <c r="Y243" s="27" t="s">
        <v>4495</v>
      </c>
      <c r="Z243" s="27">
        <v>0.35620389963626176</v>
      </c>
      <c r="AA243" s="27" t="s">
        <v>4495</v>
      </c>
      <c r="AB243" s="27">
        <v>1.0</v>
      </c>
      <c r="AC243" s="27">
        <v>0.0</v>
      </c>
      <c r="AD243" s="27">
        <v>0.23905097490906543</v>
      </c>
      <c r="AE243" s="28" t="s">
        <v>4497</v>
      </c>
    </row>
    <row r="244" ht="21.0" customHeight="1">
      <c r="A244" s="10" t="s">
        <v>21</v>
      </c>
      <c r="B244" s="15" t="s">
        <v>2228</v>
      </c>
      <c r="C244" s="12" t="s">
        <v>2229</v>
      </c>
      <c r="D244" s="13">
        <v>42707.0</v>
      </c>
      <c r="E244" s="14">
        <v>2016.0</v>
      </c>
      <c r="F244" s="15" t="s">
        <v>26</v>
      </c>
      <c r="G244" s="15" t="s">
        <v>27</v>
      </c>
      <c r="H244" s="14">
        <v>3.0</v>
      </c>
      <c r="I244" s="14">
        <v>62.0</v>
      </c>
      <c r="J244" s="16"/>
      <c r="K244" s="15" t="s">
        <v>2231</v>
      </c>
      <c r="L244" s="15" t="s">
        <v>2232</v>
      </c>
      <c r="M244" s="17" t="s">
        <v>31</v>
      </c>
      <c r="N244" s="29"/>
      <c r="O244" s="15" t="s">
        <v>2233</v>
      </c>
      <c r="P244" s="14">
        <v>20.0</v>
      </c>
      <c r="Q244" s="14"/>
      <c r="R244" s="14">
        <v>83.0</v>
      </c>
      <c r="S244" s="14"/>
      <c r="T244" s="15" t="s">
        <v>614</v>
      </c>
      <c r="U244" s="14">
        <v>1.0</v>
      </c>
      <c r="V244" s="14">
        <v>0.019248680533995654</v>
      </c>
      <c r="W244" s="14" t="s">
        <v>4495</v>
      </c>
      <c r="X244" s="14" t="s">
        <v>4495</v>
      </c>
      <c r="Y244" s="18" t="s">
        <v>4495</v>
      </c>
      <c r="Z244" s="18">
        <v>0.6837831199026277</v>
      </c>
      <c r="AA244" s="18" t="s">
        <v>4495</v>
      </c>
      <c r="AB244" s="18">
        <v>1.0</v>
      </c>
      <c r="AC244" s="18">
        <v>0.0</v>
      </c>
      <c r="AD244" s="18">
        <v>0.32094577997565693</v>
      </c>
      <c r="AE244" s="19" t="s">
        <v>4497</v>
      </c>
    </row>
    <row r="245" ht="21.0" customHeight="1">
      <c r="A245" s="20" t="s">
        <v>21</v>
      </c>
      <c r="B245" s="21" t="s">
        <v>2235</v>
      </c>
      <c r="C245" s="22" t="s">
        <v>2236</v>
      </c>
      <c r="D245" s="23">
        <v>41703.0</v>
      </c>
      <c r="E245" s="24">
        <v>2014.0</v>
      </c>
      <c r="F245" s="21" t="s">
        <v>622</v>
      </c>
      <c r="G245" s="21" t="s">
        <v>42</v>
      </c>
      <c r="H245" s="24">
        <v>3.0</v>
      </c>
      <c r="I245" s="24">
        <v>36.0</v>
      </c>
      <c r="J245" s="25"/>
      <c r="K245" s="21" t="s">
        <v>2238</v>
      </c>
      <c r="L245" s="21" t="s">
        <v>2239</v>
      </c>
      <c r="M245" s="26" t="s">
        <v>31</v>
      </c>
      <c r="N245" s="30"/>
      <c r="O245" s="21" t="s">
        <v>2240</v>
      </c>
      <c r="P245" s="24">
        <v>4.0</v>
      </c>
      <c r="Q245" s="24"/>
      <c r="R245" s="24">
        <v>20.0</v>
      </c>
      <c r="S245" s="24"/>
      <c r="T245" s="21" t="s">
        <v>2241</v>
      </c>
      <c r="U245" s="24">
        <v>4.0</v>
      </c>
      <c r="V245" s="24">
        <v>0.008520710059171597</v>
      </c>
      <c r="W245" s="24" t="s">
        <v>4495</v>
      </c>
      <c r="X245" s="24" t="s">
        <v>4495</v>
      </c>
      <c r="Y245" s="27" t="s">
        <v>4495</v>
      </c>
      <c r="Z245" s="27">
        <v>0.19773288331254052</v>
      </c>
      <c r="AA245" s="27" t="s">
        <v>4495</v>
      </c>
      <c r="AB245" s="27">
        <v>1.0</v>
      </c>
      <c r="AC245" s="27">
        <v>0.044372163770186025</v>
      </c>
      <c r="AD245" s="27">
        <v>0.20387043720515374</v>
      </c>
      <c r="AE245" s="28" t="s">
        <v>4497</v>
      </c>
    </row>
    <row r="246" ht="21.0" customHeight="1">
      <c r="A246" s="10" t="s">
        <v>21</v>
      </c>
      <c r="B246" s="15" t="s">
        <v>2242</v>
      </c>
      <c r="C246" s="12" t="s">
        <v>2243</v>
      </c>
      <c r="D246" s="13"/>
      <c r="E246" s="14"/>
      <c r="F246" s="15" t="s">
        <v>41</v>
      </c>
      <c r="G246" s="15" t="s">
        <v>42</v>
      </c>
      <c r="H246" s="14">
        <v>3.0</v>
      </c>
      <c r="I246" s="14">
        <v>112.0</v>
      </c>
      <c r="J246" s="16" t="s">
        <v>2245</v>
      </c>
      <c r="K246" s="15" t="s">
        <v>2246</v>
      </c>
      <c r="L246" s="15" t="s">
        <v>2247</v>
      </c>
      <c r="M246" s="17" t="s">
        <v>31</v>
      </c>
      <c r="N246" s="16"/>
      <c r="O246" s="15" t="s">
        <v>2248</v>
      </c>
      <c r="P246" s="14">
        <v>33.0</v>
      </c>
      <c r="Q246" s="14"/>
      <c r="R246" s="14">
        <v>221.0</v>
      </c>
      <c r="S246" s="14"/>
      <c r="T246" s="15" t="s">
        <v>2249</v>
      </c>
      <c r="U246" s="14">
        <v>41.2</v>
      </c>
      <c r="V246" s="14" t="s">
        <v>4495</v>
      </c>
      <c r="W246" s="14" t="s">
        <v>4495</v>
      </c>
      <c r="X246" s="14" t="s">
        <v>4495</v>
      </c>
      <c r="Y246" s="18" t="s">
        <v>4495</v>
      </c>
      <c r="Z246" s="18">
        <v>1.0</v>
      </c>
      <c r="AA246" s="18" t="s">
        <v>4495</v>
      </c>
      <c r="AB246" s="18" t="s">
        <v>4495</v>
      </c>
      <c r="AC246" s="18">
        <v>0.9426692129591961</v>
      </c>
      <c r="AD246" s="18">
        <v>0.3442669212959196</v>
      </c>
      <c r="AE246" s="19" t="s">
        <v>4497</v>
      </c>
    </row>
    <row r="247" ht="21.0" customHeight="1">
      <c r="A247" s="20" t="s">
        <v>21</v>
      </c>
      <c r="B247" s="21" t="s">
        <v>218</v>
      </c>
      <c r="C247" s="22" t="s">
        <v>219</v>
      </c>
      <c r="D247" s="23">
        <v>43755.0</v>
      </c>
      <c r="E247" s="24">
        <v>2019.0</v>
      </c>
      <c r="F247" s="21" t="s">
        <v>26</v>
      </c>
      <c r="G247" s="21" t="s">
        <v>27</v>
      </c>
      <c r="H247" s="24">
        <v>30.0</v>
      </c>
      <c r="I247" s="24">
        <v>776.0</v>
      </c>
      <c r="J247" s="25" t="s">
        <v>222</v>
      </c>
      <c r="K247" s="21" t="s">
        <v>223</v>
      </c>
      <c r="L247" s="21" t="s">
        <v>224</v>
      </c>
      <c r="M247" s="26" t="s">
        <v>59</v>
      </c>
      <c r="N247" s="25" t="s">
        <v>225</v>
      </c>
      <c r="P247" s="24"/>
      <c r="Q247" s="24"/>
      <c r="R247" s="24">
        <v>91.0</v>
      </c>
      <c r="S247" s="24">
        <v>2019.0</v>
      </c>
      <c r="T247" s="21" t="s">
        <v>227</v>
      </c>
      <c r="U247" s="24">
        <v>8.0</v>
      </c>
      <c r="V247" s="24">
        <v>0.3571099861942016</v>
      </c>
      <c r="W247" s="24">
        <v>0.0</v>
      </c>
      <c r="X247" s="24" t="s">
        <v>4495</v>
      </c>
      <c r="Y247" s="27" t="s">
        <v>4495</v>
      </c>
      <c r="Z247" s="27">
        <v>0.715678838128153</v>
      </c>
      <c r="AA247" s="27">
        <v>1.0</v>
      </c>
      <c r="AB247" s="27">
        <v>1.0</v>
      </c>
      <c r="AC247" s="27">
        <v>0.29191618910194683</v>
      </c>
      <c r="AD247" s="27">
        <v>0.558111328442233</v>
      </c>
      <c r="AE247" s="28" t="s">
        <v>4498</v>
      </c>
    </row>
    <row r="248" ht="21.0" customHeight="1">
      <c r="A248" s="10" t="s">
        <v>21</v>
      </c>
      <c r="B248" s="15" t="s">
        <v>2260</v>
      </c>
      <c r="C248" s="12" t="s">
        <v>2261</v>
      </c>
      <c r="D248" s="13">
        <v>43423.0</v>
      </c>
      <c r="E248" s="14">
        <v>2018.0</v>
      </c>
      <c r="F248" s="15" t="s">
        <v>41</v>
      </c>
      <c r="G248" s="15" t="s">
        <v>42</v>
      </c>
      <c r="H248" s="14">
        <v>3.0</v>
      </c>
      <c r="I248" s="14">
        <v>101.0</v>
      </c>
      <c r="J248" s="16" t="s">
        <v>2263</v>
      </c>
      <c r="K248" s="15" t="s">
        <v>2264</v>
      </c>
      <c r="L248" s="15" t="s">
        <v>2265</v>
      </c>
      <c r="M248" s="17" t="s">
        <v>31</v>
      </c>
      <c r="N248" s="16"/>
      <c r="O248" s="15" t="s">
        <v>1105</v>
      </c>
      <c r="P248" s="14">
        <v>36.0</v>
      </c>
      <c r="Q248" s="14"/>
      <c r="R248" s="14">
        <v>141.0</v>
      </c>
      <c r="S248" s="14"/>
      <c r="T248" s="15" t="s">
        <v>2266</v>
      </c>
      <c r="U248" s="14">
        <v>6.6</v>
      </c>
      <c r="V248" s="14">
        <v>0.04031936127744511</v>
      </c>
      <c r="W248" s="14" t="s">
        <v>4495</v>
      </c>
      <c r="X248" s="14" t="s">
        <v>4495</v>
      </c>
      <c r="Y248" s="18" t="s">
        <v>4495</v>
      </c>
      <c r="Z248" s="18">
        <v>0.8678575615496241</v>
      </c>
      <c r="AA248" s="18" t="s">
        <v>4495</v>
      </c>
      <c r="AB248" s="18">
        <v>1.0</v>
      </c>
      <c r="AC248" s="18">
        <v>0.22071036252136844</v>
      </c>
      <c r="AD248" s="18">
        <v>0.3890354266395429</v>
      </c>
      <c r="AE248" s="19" t="s">
        <v>4497</v>
      </c>
    </row>
    <row r="249" ht="21.0" customHeight="1">
      <c r="A249" s="20" t="s">
        <v>21</v>
      </c>
      <c r="B249" s="21" t="s">
        <v>2268</v>
      </c>
      <c r="C249" s="22" t="s">
        <v>2269</v>
      </c>
      <c r="D249" s="23">
        <v>43556.0</v>
      </c>
      <c r="E249" s="24">
        <v>2019.0</v>
      </c>
      <c r="F249" s="21" t="s">
        <v>118</v>
      </c>
      <c r="G249" s="21" t="s">
        <v>42</v>
      </c>
      <c r="H249" s="24">
        <v>3.0</v>
      </c>
      <c r="I249" s="24">
        <v>20.0</v>
      </c>
      <c r="J249" s="25" t="s">
        <v>2271</v>
      </c>
      <c r="K249" s="21" t="s">
        <v>2272</v>
      </c>
      <c r="L249" s="21" t="s">
        <v>2273</v>
      </c>
      <c r="M249" s="26" t="s">
        <v>31</v>
      </c>
      <c r="N249" s="30"/>
      <c r="O249" s="21" t="s">
        <v>2274</v>
      </c>
      <c r="P249" s="24">
        <v>6.0</v>
      </c>
      <c r="Q249" s="24"/>
      <c r="R249" s="24">
        <v>34.0</v>
      </c>
      <c r="S249" s="24"/>
      <c r="T249" s="21" t="s">
        <v>2275</v>
      </c>
      <c r="U249" s="24">
        <v>15.5</v>
      </c>
      <c r="V249" s="24">
        <v>0.008431703204047217</v>
      </c>
      <c r="W249" s="24" t="s">
        <v>4495</v>
      </c>
      <c r="X249" s="24" t="s">
        <v>4495</v>
      </c>
      <c r="Y249" s="27" t="s">
        <v>4495</v>
      </c>
      <c r="Z249" s="27">
        <v>0.3768340340141598</v>
      </c>
      <c r="AA249" s="27" t="s">
        <v>4495</v>
      </c>
      <c r="AB249" s="27">
        <v>1.0</v>
      </c>
      <c r="AC249" s="27">
        <v>0.5471878814913675</v>
      </c>
      <c r="AD249" s="27">
        <v>0.2989272966526767</v>
      </c>
      <c r="AE249" s="28" t="s">
        <v>4497</v>
      </c>
    </row>
    <row r="250" ht="21.0" customHeight="1">
      <c r="A250" s="10" t="s">
        <v>21</v>
      </c>
      <c r="B250" s="15" t="s">
        <v>2276</v>
      </c>
      <c r="C250" s="12" t="s">
        <v>2277</v>
      </c>
      <c r="D250" s="13">
        <v>43356.0</v>
      </c>
      <c r="E250" s="14">
        <v>2018.0</v>
      </c>
      <c r="F250" s="15" t="s">
        <v>26</v>
      </c>
      <c r="G250" s="15" t="s">
        <v>42</v>
      </c>
      <c r="H250" s="14">
        <v>3.0</v>
      </c>
      <c r="I250" s="14">
        <v>42.0</v>
      </c>
      <c r="J250" s="16"/>
      <c r="K250" s="15" t="s">
        <v>2279</v>
      </c>
      <c r="L250" s="15" t="s">
        <v>2280</v>
      </c>
      <c r="M250" s="17" t="s">
        <v>31</v>
      </c>
      <c r="N250" s="29"/>
      <c r="P250" s="14"/>
      <c r="Q250" s="14"/>
      <c r="R250" s="14">
        <v>41.0</v>
      </c>
      <c r="S250" s="14"/>
      <c r="T250" s="15" t="s">
        <v>2281</v>
      </c>
      <c r="U250" s="14">
        <v>15.3333333333333</v>
      </c>
      <c r="V250" s="14">
        <v>0.016329704510108865</v>
      </c>
      <c r="W250" s="14" t="s">
        <v>4495</v>
      </c>
      <c r="X250" s="14" t="s">
        <v>4495</v>
      </c>
      <c r="Y250" s="18" t="s">
        <v>4495</v>
      </c>
      <c r="Z250" s="18">
        <v>0.4407580016075842</v>
      </c>
      <c r="AA250" s="18" t="s">
        <v>4495</v>
      </c>
      <c r="AB250" s="18">
        <v>1.0</v>
      </c>
      <c r="AC250" s="18">
        <v>0.5429122504692087</v>
      </c>
      <c r="AD250" s="18">
        <v>0.3144807254488169</v>
      </c>
      <c r="AE250" s="19" t="s">
        <v>4497</v>
      </c>
    </row>
    <row r="251" ht="21.0" customHeight="1">
      <c r="A251" s="20" t="s">
        <v>21</v>
      </c>
      <c r="B251" s="21" t="s">
        <v>2283</v>
      </c>
      <c r="C251" s="22" t="s">
        <v>2284</v>
      </c>
      <c r="D251" s="23">
        <v>44565.0</v>
      </c>
      <c r="E251" s="24">
        <v>2022.0</v>
      </c>
      <c r="F251" s="21" t="s">
        <v>41</v>
      </c>
      <c r="G251" s="21" t="s">
        <v>42</v>
      </c>
      <c r="H251" s="24">
        <v>3.0</v>
      </c>
      <c r="I251" s="24">
        <v>189.0</v>
      </c>
      <c r="J251" s="25" t="s">
        <v>2286</v>
      </c>
      <c r="K251" s="21" t="s">
        <v>2287</v>
      </c>
      <c r="L251" s="21" t="s">
        <v>2288</v>
      </c>
      <c r="M251" s="26" t="s">
        <v>59</v>
      </c>
      <c r="N251" s="25" t="s">
        <v>2289</v>
      </c>
      <c r="P251" s="24"/>
      <c r="Q251" s="24"/>
      <c r="R251" s="24">
        <v>67.0</v>
      </c>
      <c r="S251" s="24">
        <v>2021.0</v>
      </c>
      <c r="T251" s="21" t="s">
        <v>2290</v>
      </c>
      <c r="U251" s="24">
        <v>9.0</v>
      </c>
      <c r="V251" s="24">
        <v>0.13866471019809246</v>
      </c>
      <c r="W251" s="24">
        <v>1.0</v>
      </c>
      <c r="X251" s="24" t="s">
        <v>4495</v>
      </c>
      <c r="Y251" s="27" t="s">
        <v>4495</v>
      </c>
      <c r="Z251" s="27">
        <v>0.6096957991638974</v>
      </c>
      <c r="AA251" s="27">
        <v>1.0</v>
      </c>
      <c r="AB251" s="27">
        <v>1.0</v>
      </c>
      <c r="AC251" s="27">
        <v>0.336288352872133</v>
      </c>
      <c r="AD251" s="27">
        <v>0.5360527850781877</v>
      </c>
      <c r="AE251" s="28" t="s">
        <v>4501</v>
      </c>
    </row>
    <row r="252" ht="21.0" customHeight="1">
      <c r="A252" s="10" t="s">
        <v>21</v>
      </c>
      <c r="B252" s="15" t="s">
        <v>193</v>
      </c>
      <c r="C252" s="12" t="s">
        <v>194</v>
      </c>
      <c r="D252" s="13">
        <v>43530.0</v>
      </c>
      <c r="E252" s="14">
        <v>2019.0</v>
      </c>
      <c r="F252" s="15" t="s">
        <v>41</v>
      </c>
      <c r="G252" s="15" t="s">
        <v>42</v>
      </c>
      <c r="H252" s="14">
        <v>33.0</v>
      </c>
      <c r="I252" s="14">
        <v>586.0</v>
      </c>
      <c r="J252" s="16"/>
      <c r="K252" s="15" t="s">
        <v>198</v>
      </c>
      <c r="L252" s="15" t="s">
        <v>199</v>
      </c>
      <c r="M252" s="17" t="s">
        <v>59</v>
      </c>
      <c r="N252" s="29" t="s">
        <v>200</v>
      </c>
      <c r="O252" s="15" t="s">
        <v>201</v>
      </c>
      <c r="P252" s="14">
        <v>21.0</v>
      </c>
      <c r="Q252" s="14"/>
      <c r="R252" s="14">
        <v>101.0</v>
      </c>
      <c r="S252" s="14">
        <v>2019.0</v>
      </c>
      <c r="T252" s="15" t="s">
        <v>204</v>
      </c>
      <c r="U252" s="14">
        <v>17.8</v>
      </c>
      <c r="V252" s="14">
        <v>0.24437030859049208</v>
      </c>
      <c r="W252" s="14">
        <v>0.0</v>
      </c>
      <c r="X252" s="14" t="s">
        <v>4495</v>
      </c>
      <c r="Y252" s="18" t="s">
        <v>4495</v>
      </c>
      <c r="Z252" s="18">
        <v>0.7518563800998207</v>
      </c>
      <c r="AA252" s="18">
        <v>1.0</v>
      </c>
      <c r="AB252" s="18">
        <v>1.0</v>
      </c>
      <c r="AC252" s="18">
        <v>0.6021459608255029</v>
      </c>
      <c r="AD252" s="18">
        <v>0.5981786911075055</v>
      </c>
      <c r="AE252" s="19" t="s">
        <v>4498</v>
      </c>
    </row>
    <row r="253" ht="21.0" customHeight="1">
      <c r="A253" s="20" t="s">
        <v>21</v>
      </c>
      <c r="B253" s="21" t="s">
        <v>2299</v>
      </c>
      <c r="C253" s="22" t="s">
        <v>2300</v>
      </c>
      <c r="D253" s="23">
        <v>44953.0</v>
      </c>
      <c r="E253" s="24">
        <v>2023.0</v>
      </c>
      <c r="F253" s="21" t="s">
        <v>26</v>
      </c>
      <c r="H253" s="24">
        <v>3.0</v>
      </c>
      <c r="I253" s="24">
        <v>102.0</v>
      </c>
      <c r="J253" s="25" t="s">
        <v>2302</v>
      </c>
      <c r="K253" s="21" t="s">
        <v>2303</v>
      </c>
      <c r="L253" s="21" t="s">
        <v>2304</v>
      </c>
      <c r="M253" s="26" t="s">
        <v>59</v>
      </c>
      <c r="N253" s="25" t="s">
        <v>2305</v>
      </c>
      <c r="P253" s="24"/>
      <c r="Q253" s="24"/>
      <c r="R253" s="24">
        <v>120.0</v>
      </c>
      <c r="S253" s="24">
        <v>2022.0</v>
      </c>
      <c r="T253" s="21" t="s">
        <v>2306</v>
      </c>
      <c r="U253" s="24">
        <v>6.33333333333333</v>
      </c>
      <c r="V253" s="24">
        <v>0.10461538461538461</v>
      </c>
      <c r="W253" s="24">
        <v>1.0</v>
      </c>
      <c r="X253" s="24" t="s">
        <v>4495</v>
      </c>
      <c r="Y253" s="27" t="s">
        <v>4495</v>
      </c>
      <c r="Z253" s="27">
        <v>0.8117469787582382</v>
      </c>
      <c r="AA253" s="27">
        <v>1.0</v>
      </c>
      <c r="AB253" s="27">
        <v>1.0</v>
      </c>
      <c r="AC253" s="27">
        <v>0.20566783353523804</v>
      </c>
      <c r="AD253" s="27">
        <v>0.5735035280430834</v>
      </c>
      <c r="AE253" s="28" t="s">
        <v>4501</v>
      </c>
    </row>
    <row r="254" ht="21.0" customHeight="1">
      <c r="A254" s="10" t="s">
        <v>21</v>
      </c>
      <c r="B254" s="15" t="s">
        <v>2307</v>
      </c>
      <c r="C254" s="12" t="s">
        <v>2308</v>
      </c>
      <c r="D254" s="13"/>
      <c r="E254" s="14"/>
      <c r="F254" s="15" t="s">
        <v>622</v>
      </c>
      <c r="G254" s="15" t="s">
        <v>42</v>
      </c>
      <c r="H254" s="14">
        <v>3.0</v>
      </c>
      <c r="I254" s="14">
        <v>38.0</v>
      </c>
      <c r="J254" s="16"/>
      <c r="K254" s="15" t="s">
        <v>2309</v>
      </c>
      <c r="L254" s="15" t="s">
        <v>2310</v>
      </c>
      <c r="M254" s="17" t="s">
        <v>31</v>
      </c>
      <c r="N254" s="16"/>
      <c r="O254" s="15" t="s">
        <v>2311</v>
      </c>
      <c r="P254" s="14">
        <v>7.0</v>
      </c>
      <c r="Q254" s="14"/>
      <c r="R254" s="14">
        <v>36.0</v>
      </c>
      <c r="S254" s="14"/>
      <c r="T254" s="15" t="s">
        <v>2312</v>
      </c>
      <c r="U254" s="14">
        <v>1.0</v>
      </c>
      <c r="V254" s="14" t="s">
        <v>4495</v>
      </c>
      <c r="W254" s="14" t="s">
        <v>4495</v>
      </c>
      <c r="X254" s="14" t="s">
        <v>4495</v>
      </c>
      <c r="Y254" s="18" t="s">
        <v>4495</v>
      </c>
      <c r="Z254" s="18">
        <v>0.3963174424868398</v>
      </c>
      <c r="AA254" s="18" t="s">
        <v>4495</v>
      </c>
      <c r="AB254" s="18" t="s">
        <v>4495</v>
      </c>
      <c r="AC254" s="18">
        <v>0.0</v>
      </c>
      <c r="AD254" s="18">
        <v>0.09907936062170995</v>
      </c>
      <c r="AE254" s="19" t="s">
        <v>4497</v>
      </c>
    </row>
    <row r="255" ht="21.0" customHeight="1">
      <c r="A255" s="20" t="s">
        <v>21</v>
      </c>
      <c r="B255" s="21" t="s">
        <v>171</v>
      </c>
      <c r="C255" s="22" t="s">
        <v>172</v>
      </c>
      <c r="D255" s="23">
        <v>44120.0</v>
      </c>
      <c r="E255" s="24">
        <v>2020.0</v>
      </c>
      <c r="F255" s="21" t="s">
        <v>41</v>
      </c>
      <c r="G255" s="21" t="s">
        <v>42</v>
      </c>
      <c r="H255" s="24">
        <v>37.0</v>
      </c>
      <c r="I255" s="24">
        <v>832.0</v>
      </c>
      <c r="J255" s="25" t="s">
        <v>176</v>
      </c>
      <c r="K255" s="21" t="s">
        <v>177</v>
      </c>
      <c r="L255" s="21" t="s">
        <v>178</v>
      </c>
      <c r="M255" s="26" t="s">
        <v>59</v>
      </c>
      <c r="N255" s="25" t="s">
        <v>179</v>
      </c>
      <c r="P255" s="24"/>
      <c r="Q255" s="24"/>
      <c r="R255" s="24">
        <v>150.0</v>
      </c>
      <c r="S255" s="24">
        <v>2020.0</v>
      </c>
      <c r="T255" s="21" t="s">
        <v>181</v>
      </c>
      <c r="U255" s="24">
        <v>11.0</v>
      </c>
      <c r="V255" s="24">
        <v>0.46017699115044247</v>
      </c>
      <c r="W255" s="24">
        <v>0.0</v>
      </c>
      <c r="X255" s="24" t="s">
        <v>4495</v>
      </c>
      <c r="Y255" s="27" t="s">
        <v>4495</v>
      </c>
      <c r="Z255" s="27">
        <v>0.889403590094233</v>
      </c>
      <c r="AA255" s="27">
        <v>1.0</v>
      </c>
      <c r="AB255" s="27">
        <v>1.0</v>
      </c>
      <c r="AC255" s="27">
        <v>0.4130723542258289</v>
      </c>
      <c r="AD255" s="27">
        <v>0.6136581329461411</v>
      </c>
      <c r="AE255" s="28" t="s">
        <v>4498</v>
      </c>
    </row>
    <row r="256" ht="21.0" customHeight="1">
      <c r="A256" s="10" t="s">
        <v>21</v>
      </c>
      <c r="B256" s="15" t="s">
        <v>2322</v>
      </c>
      <c r="C256" s="12" t="s">
        <v>2323</v>
      </c>
      <c r="D256" s="13">
        <v>42795.0</v>
      </c>
      <c r="E256" s="14">
        <v>2017.0</v>
      </c>
      <c r="F256" s="15" t="s">
        <v>41</v>
      </c>
      <c r="G256" s="15" t="s">
        <v>42</v>
      </c>
      <c r="H256" s="14">
        <v>3.0</v>
      </c>
      <c r="I256" s="14">
        <v>77.0</v>
      </c>
      <c r="J256" s="16"/>
      <c r="K256" s="15" t="s">
        <v>2324</v>
      </c>
      <c r="L256" s="15" t="s">
        <v>2325</v>
      </c>
      <c r="M256" s="17" t="s">
        <v>31</v>
      </c>
      <c r="N256" s="29"/>
      <c r="O256" s="15" t="s">
        <v>2326</v>
      </c>
      <c r="P256" s="14">
        <v>43.0</v>
      </c>
      <c r="Q256" s="14"/>
      <c r="R256" s="14">
        <v>72.0</v>
      </c>
      <c r="S256" s="14"/>
      <c r="T256" s="15" t="s">
        <v>2327</v>
      </c>
      <c r="U256" s="14">
        <v>12.0</v>
      </c>
      <c r="V256" s="14">
        <v>0.024577082668368975</v>
      </c>
      <c r="W256" s="14" t="s">
        <v>4495</v>
      </c>
      <c r="X256" s="14" t="s">
        <v>4495</v>
      </c>
      <c r="Y256" s="18" t="s">
        <v>4495</v>
      </c>
      <c r="Z256" s="18">
        <v>0.6345722676997336</v>
      </c>
      <c r="AA256" s="18" t="s">
        <v>4495</v>
      </c>
      <c r="AB256" s="18">
        <v>1.0</v>
      </c>
      <c r="AC256" s="18">
        <v>0.4467820234631535</v>
      </c>
      <c r="AD256" s="18">
        <v>0.35332126927124874</v>
      </c>
      <c r="AE256" s="19" t="s">
        <v>4497</v>
      </c>
    </row>
    <row r="257" ht="21.0" customHeight="1">
      <c r="A257" s="20" t="s">
        <v>21</v>
      </c>
      <c r="B257" s="21" t="s">
        <v>2328</v>
      </c>
      <c r="C257" s="22" t="s">
        <v>2329</v>
      </c>
      <c r="D257" s="23">
        <v>43275.0</v>
      </c>
      <c r="E257" s="24">
        <v>2018.0</v>
      </c>
      <c r="F257" s="21" t="s">
        <v>41</v>
      </c>
      <c r="G257" s="21" t="s">
        <v>42</v>
      </c>
      <c r="H257" s="24">
        <v>3.0</v>
      </c>
      <c r="I257" s="24">
        <v>60.0</v>
      </c>
      <c r="J257" s="25" t="s">
        <v>2331</v>
      </c>
      <c r="K257" s="21" t="s">
        <v>2332</v>
      </c>
      <c r="L257" s="21" t="s">
        <v>2333</v>
      </c>
      <c r="M257" s="26" t="s">
        <v>59</v>
      </c>
      <c r="N257" s="25" t="s">
        <v>2334</v>
      </c>
      <c r="O257" s="21" t="s">
        <v>2335</v>
      </c>
      <c r="P257" s="24">
        <v>12.0</v>
      </c>
      <c r="Q257" s="24"/>
      <c r="R257" s="24">
        <v>52.0</v>
      </c>
      <c r="S257" s="24">
        <v>2018.0</v>
      </c>
      <c r="T257" s="21" t="s">
        <v>2336</v>
      </c>
      <c r="U257" s="24">
        <v>47.0</v>
      </c>
      <c r="V257" s="24">
        <v>0.022615906520919715</v>
      </c>
      <c r="W257" s="24">
        <v>0.0</v>
      </c>
      <c r="X257" s="24" t="s">
        <v>4495</v>
      </c>
      <c r="Y257" s="27" t="s">
        <v>4495</v>
      </c>
      <c r="Z257" s="27">
        <v>0.5223179681071728</v>
      </c>
      <c r="AA257" s="27">
        <v>1.0</v>
      </c>
      <c r="AB257" s="27">
        <v>1.0</v>
      </c>
      <c r="AC257" s="27">
        <v>0.9969047324297223</v>
      </c>
      <c r="AD257" s="27">
        <v>0.5802699652697654</v>
      </c>
      <c r="AE257" s="28" t="s">
        <v>4499</v>
      </c>
    </row>
    <row r="258" ht="21.0" customHeight="1">
      <c r="A258" s="10" t="s">
        <v>21</v>
      </c>
      <c r="B258" s="15" t="s">
        <v>2337</v>
      </c>
      <c r="C258" s="12" t="s">
        <v>2338</v>
      </c>
      <c r="D258" s="13">
        <v>43098.0</v>
      </c>
      <c r="E258" s="14">
        <v>2017.0</v>
      </c>
      <c r="F258" s="15" t="s">
        <v>41</v>
      </c>
      <c r="G258" s="15" t="s">
        <v>42</v>
      </c>
      <c r="H258" s="14">
        <v>3.0</v>
      </c>
      <c r="I258" s="14">
        <v>68.0</v>
      </c>
      <c r="J258" s="16"/>
      <c r="K258" s="15" t="s">
        <v>2340</v>
      </c>
      <c r="L258" s="15" t="s">
        <v>2341</v>
      </c>
      <c r="M258" s="17" t="s">
        <v>59</v>
      </c>
      <c r="N258" s="29" t="s">
        <v>2342</v>
      </c>
      <c r="O258" s="15" t="s">
        <v>2343</v>
      </c>
      <c r="P258" s="14">
        <v>13.0</v>
      </c>
      <c r="Q258" s="14"/>
      <c r="R258" s="14">
        <v>71.0</v>
      </c>
      <c r="S258" s="14"/>
      <c r="T258" s="15" t="s">
        <v>2344</v>
      </c>
      <c r="U258" s="14">
        <v>10.6666666666666</v>
      </c>
      <c r="V258" s="14">
        <v>0.02402826855123675</v>
      </c>
      <c r="W258" s="14" t="s">
        <v>4495</v>
      </c>
      <c r="X258" s="14" t="s">
        <v>4495</v>
      </c>
      <c r="Y258" s="18" t="s">
        <v>4495</v>
      </c>
      <c r="Z258" s="18">
        <v>0.6297361753994164</v>
      </c>
      <c r="AA258" s="18" t="s">
        <v>4495</v>
      </c>
      <c r="AB258" s="18">
        <v>1.0</v>
      </c>
      <c r="AC258" s="18">
        <v>0.40120830099382077</v>
      </c>
      <c r="AD258" s="18">
        <v>0.3475548739492361</v>
      </c>
      <c r="AE258" s="19" t="s">
        <v>4499</v>
      </c>
    </row>
    <row r="259" ht="21.0" customHeight="1">
      <c r="A259" s="20" t="s">
        <v>21</v>
      </c>
      <c r="B259" s="21" t="s">
        <v>149</v>
      </c>
      <c r="C259" s="22" t="s">
        <v>150</v>
      </c>
      <c r="D259" s="23"/>
      <c r="E259" s="24"/>
      <c r="F259" s="21" t="s">
        <v>41</v>
      </c>
      <c r="G259" s="21" t="s">
        <v>42</v>
      </c>
      <c r="H259" s="24">
        <v>38.0</v>
      </c>
      <c r="I259" s="24">
        <v>918.0</v>
      </c>
      <c r="J259" s="25"/>
      <c r="K259" s="21" t="s">
        <v>152</v>
      </c>
      <c r="L259" s="21" t="s">
        <v>153</v>
      </c>
      <c r="M259" s="26" t="s">
        <v>59</v>
      </c>
      <c r="N259" s="25" t="s">
        <v>154</v>
      </c>
      <c r="O259" s="21" t="s">
        <v>155</v>
      </c>
      <c r="P259" s="24">
        <v>16.0</v>
      </c>
      <c r="Q259" s="24"/>
      <c r="R259" s="24">
        <v>75.0</v>
      </c>
      <c r="S259" s="24"/>
      <c r="T259" s="21" t="s">
        <v>158</v>
      </c>
      <c r="U259" s="24">
        <v>17.5</v>
      </c>
      <c r="V259" s="24" t="s">
        <v>4495</v>
      </c>
      <c r="W259" s="24" t="s">
        <v>4495</v>
      </c>
      <c r="X259" s="24" t="s">
        <v>4495</v>
      </c>
      <c r="Y259" s="27" t="s">
        <v>4495</v>
      </c>
      <c r="Z259" s="27">
        <v>0.6486927451058364</v>
      </c>
      <c r="AA259" s="27" t="s">
        <v>4495</v>
      </c>
      <c r="AB259" s="27" t="s">
        <v>4495</v>
      </c>
      <c r="AC259" s="27">
        <v>0.5953713476386906</v>
      </c>
      <c r="AD259" s="27">
        <v>0.22171032104032817</v>
      </c>
      <c r="AE259" s="28" t="s">
        <v>4498</v>
      </c>
    </row>
    <row r="260" ht="21.0" customHeight="1">
      <c r="A260" s="10" t="s">
        <v>21</v>
      </c>
      <c r="B260" s="15" t="s">
        <v>2354</v>
      </c>
      <c r="C260" s="12" t="s">
        <v>2355</v>
      </c>
      <c r="D260" s="13">
        <v>41937.0</v>
      </c>
      <c r="E260" s="14">
        <v>2014.0</v>
      </c>
      <c r="F260" s="15" t="s">
        <v>41</v>
      </c>
      <c r="G260" s="15" t="s">
        <v>42</v>
      </c>
      <c r="H260" s="14">
        <v>3.0</v>
      </c>
      <c r="I260" s="14">
        <v>35.0</v>
      </c>
      <c r="J260" s="16" t="s">
        <v>2357</v>
      </c>
      <c r="K260" s="15" t="s">
        <v>2358</v>
      </c>
      <c r="L260" s="15" t="s">
        <v>2359</v>
      </c>
      <c r="M260" s="17" t="s">
        <v>59</v>
      </c>
      <c r="N260" s="16" t="s">
        <v>2360</v>
      </c>
      <c r="P260" s="14"/>
      <c r="Q260" s="14"/>
      <c r="R260" s="14">
        <v>40.0</v>
      </c>
      <c r="S260" s="14">
        <v>2014.0</v>
      </c>
      <c r="T260" s="15" t="s">
        <v>1772</v>
      </c>
      <c r="U260" s="14">
        <v>13.5</v>
      </c>
      <c r="V260" s="14">
        <v>0.008769731896767727</v>
      </c>
      <c r="W260" s="14">
        <v>0.0</v>
      </c>
      <c r="X260" s="14" t="s">
        <v>4495</v>
      </c>
      <c r="Y260" s="18" t="s">
        <v>4495</v>
      </c>
      <c r="Z260" s="18">
        <v>0.43230913174650915</v>
      </c>
      <c r="AA260" s="18">
        <v>1.0</v>
      </c>
      <c r="AB260" s="18">
        <v>1.0</v>
      </c>
      <c r="AC260" s="18">
        <v>0.49277087266730096</v>
      </c>
      <c r="AD260" s="18">
        <v>0.5073543702033574</v>
      </c>
      <c r="AE260" s="19" t="s">
        <v>4500</v>
      </c>
    </row>
    <row r="261" ht="21.0" customHeight="1">
      <c r="A261" s="20" t="s">
        <v>21</v>
      </c>
      <c r="B261" s="21" t="s">
        <v>2361</v>
      </c>
      <c r="C261" s="22" t="s">
        <v>2362</v>
      </c>
      <c r="D261" s="23">
        <v>41541.0</v>
      </c>
      <c r="E261" s="24">
        <v>2013.0</v>
      </c>
      <c r="F261" s="21" t="s">
        <v>41</v>
      </c>
      <c r="G261" s="21" t="s">
        <v>232</v>
      </c>
      <c r="H261" s="24">
        <v>3.0</v>
      </c>
      <c r="I261" s="24">
        <v>27.0</v>
      </c>
      <c r="J261" s="25"/>
      <c r="K261" s="21" t="s">
        <v>2364</v>
      </c>
      <c r="M261" s="26" t="s">
        <v>31</v>
      </c>
      <c r="N261" s="30"/>
      <c r="P261" s="24"/>
      <c r="Q261" s="24"/>
      <c r="R261" s="24">
        <v>21.0</v>
      </c>
      <c r="S261" s="24"/>
      <c r="T261" s="21" t="s">
        <v>2365</v>
      </c>
      <c r="U261" s="24">
        <v>17.5</v>
      </c>
      <c r="V261" s="24">
        <v>0.006154547526783679</v>
      </c>
      <c r="W261" s="24" t="s">
        <v>4495</v>
      </c>
      <c r="X261" s="24" t="s">
        <v>4495</v>
      </c>
      <c r="Y261" s="27" t="s">
        <v>4495</v>
      </c>
      <c r="Z261" s="27">
        <v>0.21404331870033824</v>
      </c>
      <c r="AA261" s="27" t="s">
        <v>4495</v>
      </c>
      <c r="AB261" s="27">
        <v>1.0</v>
      </c>
      <c r="AC261" s="27">
        <v>0.5953713476386906</v>
      </c>
      <c r="AD261" s="27">
        <v>0.2630479644389536</v>
      </c>
      <c r="AE261" s="28" t="s">
        <v>4497</v>
      </c>
    </row>
    <row r="262" ht="21.0" customHeight="1">
      <c r="A262" s="10" t="s">
        <v>21</v>
      </c>
      <c r="B262" s="15" t="s">
        <v>2366</v>
      </c>
      <c r="C262" s="12" t="s">
        <v>2367</v>
      </c>
      <c r="D262" s="13"/>
      <c r="E262" s="14"/>
      <c r="F262" s="15" t="s">
        <v>26</v>
      </c>
      <c r="G262" s="15" t="s">
        <v>27</v>
      </c>
      <c r="H262" s="14">
        <v>3.0</v>
      </c>
      <c r="I262" s="14">
        <v>60.0</v>
      </c>
      <c r="J262" s="16"/>
      <c r="K262" s="15" t="s">
        <v>2368</v>
      </c>
      <c r="M262" s="17" t="s">
        <v>31</v>
      </c>
      <c r="N262" s="16"/>
      <c r="P262" s="14"/>
      <c r="Q262" s="14"/>
      <c r="R262" s="14">
        <v>13.0</v>
      </c>
      <c r="S262" s="14"/>
      <c r="T262" s="15" t="s">
        <v>2369</v>
      </c>
      <c r="U262" s="14">
        <v>6.0</v>
      </c>
      <c r="V262" s="14" t="s">
        <v>4495</v>
      </c>
      <c r="W262" s="14" t="s">
        <v>4495</v>
      </c>
      <c r="X262" s="14" t="s">
        <v>4495</v>
      </c>
      <c r="Y262" s="18" t="s">
        <v>4495</v>
      </c>
      <c r="Z262" s="18">
        <v>0.055572302376616874</v>
      </c>
      <c r="AA262" s="18" t="s">
        <v>4495</v>
      </c>
      <c r="AB262" s="18" t="s">
        <v>4495</v>
      </c>
      <c r="AC262" s="18">
        <v>0.18607611324557238</v>
      </c>
      <c r="AD262" s="18">
        <v>0.032500686918711455</v>
      </c>
      <c r="AE262" s="19" t="s">
        <v>4497</v>
      </c>
    </row>
    <row r="263" ht="21.0" customHeight="1">
      <c r="A263" s="20" t="s">
        <v>21</v>
      </c>
      <c r="B263" s="21" t="s">
        <v>2370</v>
      </c>
      <c r="C263" s="22" t="s">
        <v>2371</v>
      </c>
      <c r="D263" s="23"/>
      <c r="E263" s="24"/>
      <c r="F263" s="21" t="s">
        <v>26</v>
      </c>
      <c r="G263" s="21" t="s">
        <v>27</v>
      </c>
      <c r="H263" s="24">
        <v>3.0</v>
      </c>
      <c r="I263" s="24">
        <v>21.0</v>
      </c>
      <c r="J263" s="25"/>
      <c r="K263" s="21" t="s">
        <v>2372</v>
      </c>
      <c r="M263" s="26" t="s">
        <v>31</v>
      </c>
      <c r="N263" s="25"/>
      <c r="P263" s="24"/>
      <c r="Q263" s="24"/>
      <c r="R263" s="24">
        <v>20.0</v>
      </c>
      <c r="S263" s="24"/>
      <c r="T263" s="21" t="s">
        <v>190</v>
      </c>
      <c r="U263" s="24">
        <v>2.0</v>
      </c>
      <c r="V263" s="24" t="s">
        <v>4495</v>
      </c>
      <c r="W263" s="24" t="s">
        <v>4495</v>
      </c>
      <c r="X263" s="24" t="s">
        <v>4495</v>
      </c>
      <c r="Y263" s="27" t="s">
        <v>4495</v>
      </c>
      <c r="Z263" s="27">
        <v>0.19773288331254052</v>
      </c>
      <c r="AA263" s="27" t="s">
        <v>4495</v>
      </c>
      <c r="AB263" s="27" t="s">
        <v>4495</v>
      </c>
      <c r="AC263" s="27">
        <v>0.0</v>
      </c>
      <c r="AD263" s="27">
        <v>0.04943322082813513</v>
      </c>
      <c r="AE263" s="28" t="s">
        <v>4497</v>
      </c>
    </row>
    <row r="264" ht="21.0" customHeight="1">
      <c r="A264" s="10" t="s">
        <v>21</v>
      </c>
      <c r="B264" s="15" t="s">
        <v>2373</v>
      </c>
      <c r="C264" s="12" t="s">
        <v>2374</v>
      </c>
      <c r="D264" s="13">
        <v>43628.0</v>
      </c>
      <c r="E264" s="14">
        <v>2019.0</v>
      </c>
      <c r="F264" s="15" t="s">
        <v>41</v>
      </c>
      <c r="G264" s="15" t="s">
        <v>42</v>
      </c>
      <c r="H264" s="14">
        <v>3.0</v>
      </c>
      <c r="I264" s="14">
        <v>97.0</v>
      </c>
      <c r="J264" s="16" t="s">
        <v>2377</v>
      </c>
      <c r="K264" s="15" t="s">
        <v>2378</v>
      </c>
      <c r="L264" s="15" t="s">
        <v>2379</v>
      </c>
      <c r="M264" s="17" t="s">
        <v>31</v>
      </c>
      <c r="N264" s="29"/>
      <c r="O264" s="15" t="s">
        <v>2380</v>
      </c>
      <c r="P264" s="14">
        <v>43.0</v>
      </c>
      <c r="Q264" s="14"/>
      <c r="R264" s="14">
        <v>310.0</v>
      </c>
      <c r="S264" s="14"/>
      <c r="T264" s="15" t="s">
        <v>2382</v>
      </c>
      <c r="U264" s="14">
        <v>13.0</v>
      </c>
      <c r="V264" s="14">
        <v>0.04217391304347826</v>
      </c>
      <c r="W264" s="14" t="s">
        <v>4495</v>
      </c>
      <c r="X264" s="14" t="s">
        <v>4495</v>
      </c>
      <c r="Y264" s="18" t="s">
        <v>4495</v>
      </c>
      <c r="Z264" s="18">
        <v>1.0</v>
      </c>
      <c r="AA264" s="18" t="s">
        <v>4495</v>
      </c>
      <c r="AB264" s="18">
        <v>1.0</v>
      </c>
      <c r="AC264" s="18">
        <v>0.4779923023475191</v>
      </c>
      <c r="AD264" s="18">
        <v>0.44779923023475193</v>
      </c>
      <c r="AE264" s="19" t="s">
        <v>4497</v>
      </c>
    </row>
    <row r="265" ht="21.0" customHeight="1">
      <c r="A265" s="20" t="s">
        <v>2383</v>
      </c>
      <c r="B265" s="21" t="s">
        <v>2384</v>
      </c>
      <c r="C265" s="22" t="s">
        <v>2385</v>
      </c>
      <c r="D265" s="23"/>
      <c r="E265" s="24"/>
      <c r="F265" s="21" t="s">
        <v>2386</v>
      </c>
      <c r="G265" s="21" t="s">
        <v>42</v>
      </c>
      <c r="H265" s="24">
        <v>406.0</v>
      </c>
      <c r="I265" s="24">
        <v>3508.0</v>
      </c>
      <c r="J265" s="25" t="s">
        <v>2389</v>
      </c>
      <c r="K265" s="21" t="s">
        <v>2390</v>
      </c>
      <c r="L265" s="21" t="s">
        <v>2391</v>
      </c>
      <c r="M265" s="26" t="s">
        <v>59</v>
      </c>
      <c r="N265" s="30" t="s">
        <v>2392</v>
      </c>
      <c r="O265" s="32" t="s">
        <v>2393</v>
      </c>
      <c r="P265" s="24">
        <v>9.0</v>
      </c>
      <c r="Q265" s="24"/>
      <c r="R265" s="24">
        <v>27.0</v>
      </c>
      <c r="S265" s="24">
        <v>2017.0</v>
      </c>
      <c r="T265" s="21" t="s">
        <v>2394</v>
      </c>
      <c r="U265" s="24">
        <v>30.6666666666666</v>
      </c>
      <c r="V265" s="24" t="s">
        <v>4495</v>
      </c>
      <c r="W265" s="24" t="s">
        <v>4495</v>
      </c>
      <c r="X265" s="24" t="s">
        <v>4495</v>
      </c>
      <c r="Y265" s="27" t="s">
        <v>4495</v>
      </c>
      <c r="Z265" s="27">
        <v>0.29859742067166056</v>
      </c>
      <c r="AA265" s="27" t="s">
        <v>4495</v>
      </c>
      <c r="AB265" s="27" t="s">
        <v>4495</v>
      </c>
      <c r="AC265" s="27">
        <v>0.821734761995934</v>
      </c>
      <c r="AD265" s="27">
        <v>0.15682283136750855</v>
      </c>
      <c r="AE265" s="28" t="s">
        <v>4501</v>
      </c>
    </row>
    <row r="266" ht="21.0" customHeight="1">
      <c r="A266" s="10" t="s">
        <v>2383</v>
      </c>
      <c r="B266" s="15" t="s">
        <v>2395</v>
      </c>
      <c r="C266" s="12" t="s">
        <v>2396</v>
      </c>
      <c r="D266" s="13">
        <v>42348.0</v>
      </c>
      <c r="E266" s="14">
        <v>2015.0</v>
      </c>
      <c r="F266" s="15" t="s">
        <v>2398</v>
      </c>
      <c r="G266" s="15" t="s">
        <v>42</v>
      </c>
      <c r="H266" s="14">
        <v>296.0</v>
      </c>
      <c r="I266" s="14">
        <v>2740.0</v>
      </c>
      <c r="J266" s="16"/>
      <c r="K266" s="15" t="s">
        <v>2401</v>
      </c>
      <c r="L266" s="15" t="s">
        <v>2402</v>
      </c>
      <c r="M266" s="17" t="s">
        <v>31</v>
      </c>
      <c r="N266" s="29"/>
      <c r="O266" s="15" t="s">
        <v>2226</v>
      </c>
      <c r="P266" s="14">
        <v>6.0</v>
      </c>
      <c r="Q266" s="14"/>
      <c r="R266" s="14">
        <v>11.0</v>
      </c>
      <c r="S266" s="14"/>
      <c r="T266" s="15" t="s">
        <v>2403</v>
      </c>
      <c r="U266" s="14">
        <v>36.5</v>
      </c>
      <c r="V266" s="14">
        <v>0.7653631284916201</v>
      </c>
      <c r="W266" s="14" t="s">
        <v>4495</v>
      </c>
      <c r="X266" s="14" t="s">
        <v>4495</v>
      </c>
      <c r="Y266" s="18" t="s">
        <v>4495</v>
      </c>
      <c r="Z266" s="18">
        <v>0.0015253578734055093</v>
      </c>
      <c r="AA266" s="18" t="s">
        <v>4495</v>
      </c>
      <c r="AB266" s="18">
        <v>1.0</v>
      </c>
      <c r="AC266" s="18">
        <v>0.8929405885765132</v>
      </c>
      <c r="AD266" s="18">
        <v>0.23967539832600268</v>
      </c>
      <c r="AE266" s="19" t="s">
        <v>4497</v>
      </c>
    </row>
    <row r="267" ht="21.0" customHeight="1">
      <c r="A267" s="20" t="s">
        <v>2383</v>
      </c>
      <c r="B267" s="21" t="s">
        <v>2405</v>
      </c>
      <c r="C267" s="22" t="s">
        <v>2406</v>
      </c>
      <c r="D267" s="23">
        <v>42651.0</v>
      </c>
      <c r="E267" s="24">
        <v>2016.0</v>
      </c>
      <c r="F267" s="21" t="s">
        <v>2398</v>
      </c>
      <c r="G267" s="21" t="s">
        <v>42</v>
      </c>
      <c r="H267" s="24">
        <v>235.0</v>
      </c>
      <c r="I267" s="24">
        <v>1009.0</v>
      </c>
      <c r="J267" s="25"/>
      <c r="K267" s="21" t="s">
        <v>2409</v>
      </c>
      <c r="L267" s="21" t="s">
        <v>2410</v>
      </c>
      <c r="M267" s="26" t="s">
        <v>31</v>
      </c>
      <c r="N267" s="30"/>
      <c r="O267" s="21" t="s">
        <v>2411</v>
      </c>
      <c r="P267" s="24">
        <v>17.0</v>
      </c>
      <c r="Q267" s="24"/>
      <c r="R267" s="24">
        <v>48.0</v>
      </c>
      <c r="S267" s="24"/>
      <c r="T267" s="21" t="s">
        <v>2412</v>
      </c>
      <c r="U267" s="24">
        <v>45.2857142857142</v>
      </c>
      <c r="V267" s="24">
        <v>0.30790357033872445</v>
      </c>
      <c r="W267" s="24" t="s">
        <v>4495</v>
      </c>
      <c r="X267" s="24" t="s">
        <v>4495</v>
      </c>
      <c r="Y267" s="27" t="s">
        <v>4495</v>
      </c>
      <c r="Z267" s="27">
        <v>0.49480494611079556</v>
      </c>
      <c r="AA267" s="27" t="s">
        <v>4495</v>
      </c>
      <c r="AB267" s="27">
        <v>1.0</v>
      </c>
      <c r="AC267" s="27">
        <v>0.981588643162214</v>
      </c>
      <c r="AD267" s="27">
        <v>0.3718601008439203</v>
      </c>
      <c r="AE267" s="28" t="s">
        <v>4497</v>
      </c>
    </row>
    <row r="268" ht="21.0" customHeight="1">
      <c r="A268" s="10" t="s">
        <v>2383</v>
      </c>
      <c r="B268" s="15" t="s">
        <v>2414</v>
      </c>
      <c r="C268" s="12" t="s">
        <v>2415</v>
      </c>
      <c r="D268" s="13">
        <v>42954.0</v>
      </c>
      <c r="E268" s="14">
        <v>2017.0</v>
      </c>
      <c r="F268" s="15" t="s">
        <v>2417</v>
      </c>
      <c r="G268" s="15" t="s">
        <v>1801</v>
      </c>
      <c r="H268" s="14">
        <v>205.0</v>
      </c>
      <c r="I268" s="14">
        <v>1326.0</v>
      </c>
      <c r="J268" s="16" t="s">
        <v>2419</v>
      </c>
      <c r="K268" s="15" t="s">
        <v>2420</v>
      </c>
      <c r="L268" s="15" t="s">
        <v>2421</v>
      </c>
      <c r="M268" s="17" t="s">
        <v>59</v>
      </c>
      <c r="N268" s="29" t="s">
        <v>2422</v>
      </c>
      <c r="P268" s="14"/>
      <c r="Q268" s="14"/>
      <c r="R268" s="14">
        <v>52.0</v>
      </c>
      <c r="S268" s="14">
        <v>2017.0</v>
      </c>
      <c r="T268" s="15" t="s">
        <v>2423</v>
      </c>
      <c r="U268" s="14">
        <v>102.0</v>
      </c>
      <c r="V268" s="14">
        <v>0.44586415601882984</v>
      </c>
      <c r="W268" s="14">
        <v>0.0</v>
      </c>
      <c r="X268" s="14" t="s">
        <v>4495</v>
      </c>
      <c r="Y268" s="18" t="s">
        <v>4495</v>
      </c>
      <c r="Z268" s="18">
        <v>0.5223179681071728</v>
      </c>
      <c r="AA268" s="18">
        <v>1.0</v>
      </c>
      <c r="AB268" s="18">
        <v>1.0</v>
      </c>
      <c r="AC268" s="18">
        <v>1.0</v>
      </c>
      <c r="AD268" s="18">
        <v>0.5805794920267932</v>
      </c>
      <c r="AE268" s="19" t="s">
        <v>4501</v>
      </c>
    </row>
    <row r="269" ht="21.0" customHeight="1">
      <c r="A269" s="20" t="s">
        <v>2383</v>
      </c>
      <c r="B269" s="21" t="s">
        <v>2424</v>
      </c>
      <c r="C269" s="22" t="s">
        <v>2425</v>
      </c>
      <c r="D269" s="23">
        <v>43058.0</v>
      </c>
      <c r="E269" s="24">
        <v>2017.0</v>
      </c>
      <c r="F269" s="21" t="s">
        <v>2398</v>
      </c>
      <c r="G269" s="21" t="s">
        <v>42</v>
      </c>
      <c r="H269" s="24">
        <v>142.0</v>
      </c>
      <c r="I269" s="24">
        <v>913.0</v>
      </c>
      <c r="J269" s="25" t="s">
        <v>2428</v>
      </c>
      <c r="K269" s="21" t="s">
        <v>2429</v>
      </c>
      <c r="L269" s="21" t="s">
        <v>2430</v>
      </c>
      <c r="M269" s="26" t="s">
        <v>59</v>
      </c>
      <c r="N269" s="30" t="s">
        <v>2431</v>
      </c>
      <c r="O269" s="21" t="s">
        <v>2432</v>
      </c>
      <c r="P269" s="24">
        <v>10.0</v>
      </c>
      <c r="Q269" s="24"/>
      <c r="R269" s="24">
        <v>56.0</v>
      </c>
      <c r="S269" s="24">
        <v>2017.0</v>
      </c>
      <c r="T269" s="21" t="s">
        <v>2433</v>
      </c>
      <c r="U269" s="24">
        <v>41.8333333333333</v>
      </c>
      <c r="V269" s="24">
        <v>0.3181184668989547</v>
      </c>
      <c r="W269" s="24">
        <v>0.0</v>
      </c>
      <c r="X269" s="24" t="s">
        <v>4495</v>
      </c>
      <c r="Y269" s="27" t="s">
        <v>4495</v>
      </c>
      <c r="Z269" s="27">
        <v>0.5478282077467163</v>
      </c>
      <c r="AA269" s="27">
        <v>1.0</v>
      </c>
      <c r="AB269" s="27">
        <v>1.0</v>
      </c>
      <c r="AC269" s="27">
        <v>0.9489427705416328</v>
      </c>
      <c r="AD269" s="27">
        <v>0.5818513289908424</v>
      </c>
      <c r="AE269" s="28" t="s">
        <v>4501</v>
      </c>
    </row>
    <row r="270" ht="21.0" customHeight="1">
      <c r="A270" s="10" t="s">
        <v>2383</v>
      </c>
      <c r="B270" s="15" t="s">
        <v>2435</v>
      </c>
      <c r="C270" s="12" t="s">
        <v>2436</v>
      </c>
      <c r="D270" s="13">
        <v>43156.0</v>
      </c>
      <c r="E270" s="14">
        <v>2018.0</v>
      </c>
      <c r="F270" s="15" t="s">
        <v>2398</v>
      </c>
      <c r="G270" s="15" t="s">
        <v>42</v>
      </c>
      <c r="H270" s="14">
        <v>136.0</v>
      </c>
      <c r="I270" s="14">
        <v>837.0</v>
      </c>
      <c r="J270" s="16" t="s">
        <v>2439</v>
      </c>
      <c r="K270" s="15" t="s">
        <v>2440</v>
      </c>
      <c r="L270" s="15" t="s">
        <v>2441</v>
      </c>
      <c r="M270" s="17" t="s">
        <v>59</v>
      </c>
      <c r="N270" s="29" t="s">
        <v>2442</v>
      </c>
      <c r="P270" s="14"/>
      <c r="Q270" s="14"/>
      <c r="R270" s="14">
        <v>52.0</v>
      </c>
      <c r="S270" s="14">
        <v>2018.0</v>
      </c>
      <c r="T270" s="15" t="s">
        <v>2443</v>
      </c>
      <c r="U270" s="14">
        <v>34.5</v>
      </c>
      <c r="V270" s="14">
        <v>0.30194805194805197</v>
      </c>
      <c r="W270" s="14">
        <v>0.0</v>
      </c>
      <c r="X270" s="14" t="s">
        <v>4495</v>
      </c>
      <c r="Y270" s="18" t="s">
        <v>4495</v>
      </c>
      <c r="Z270" s="18">
        <v>0.5223179681071728</v>
      </c>
      <c r="AA270" s="18">
        <v>1.0</v>
      </c>
      <c r="AB270" s="18">
        <v>1.0</v>
      </c>
      <c r="AC270" s="18">
        <v>0.8698583169064583</v>
      </c>
      <c r="AD270" s="18">
        <v>0.567565323717439</v>
      </c>
      <c r="AE270" s="19" t="s">
        <v>4501</v>
      </c>
    </row>
    <row r="271" ht="21.0" customHeight="1">
      <c r="A271" s="20" t="s">
        <v>2383</v>
      </c>
      <c r="B271" s="21" t="s">
        <v>2444</v>
      </c>
      <c r="C271" s="22" t="s">
        <v>2445</v>
      </c>
      <c r="D271" s="23">
        <v>41285.0</v>
      </c>
      <c r="E271" s="24">
        <v>2013.0</v>
      </c>
      <c r="G271" s="21" t="s">
        <v>42</v>
      </c>
      <c r="H271" s="24">
        <v>127.0</v>
      </c>
      <c r="I271" s="24">
        <v>1613.0</v>
      </c>
      <c r="J271" s="25"/>
      <c r="K271" s="21" t="s">
        <v>2449</v>
      </c>
      <c r="L271" s="21" t="s">
        <v>2450</v>
      </c>
      <c r="M271" s="26" t="s">
        <v>31</v>
      </c>
      <c r="N271" s="25"/>
      <c r="P271" s="24"/>
      <c r="Q271" s="24"/>
      <c r="R271" s="24">
        <v>478.0</v>
      </c>
      <c r="S271" s="24"/>
      <c r="T271" s="21" t="s">
        <v>913</v>
      </c>
      <c r="U271" s="24">
        <v>107.0</v>
      </c>
      <c r="V271" s="24">
        <v>0.34740469524014644</v>
      </c>
      <c r="W271" s="24" t="s">
        <v>4495</v>
      </c>
      <c r="X271" s="24" t="s">
        <v>4495</v>
      </c>
      <c r="Y271" s="27" t="s">
        <v>4495</v>
      </c>
      <c r="Z271" s="27">
        <v>1.0</v>
      </c>
      <c r="AA271" s="27" t="s">
        <v>4495</v>
      </c>
      <c r="AB271" s="27">
        <v>1.0</v>
      </c>
      <c r="AC271" s="27">
        <v>1.0</v>
      </c>
      <c r="AD271" s="27">
        <v>0.5</v>
      </c>
      <c r="AE271" s="28" t="s">
        <v>4497</v>
      </c>
    </row>
    <row r="272" ht="21.0" customHeight="1">
      <c r="A272" s="10" t="s">
        <v>2383</v>
      </c>
      <c r="B272" s="15" t="s">
        <v>2452</v>
      </c>
      <c r="C272" s="12" t="s">
        <v>2453</v>
      </c>
      <c r="D272" s="13">
        <v>42289.0</v>
      </c>
      <c r="E272" s="14">
        <v>2015.0</v>
      </c>
      <c r="F272" s="15" t="s">
        <v>2386</v>
      </c>
      <c r="G272" s="15" t="s">
        <v>2455</v>
      </c>
      <c r="H272" s="14">
        <v>124.0</v>
      </c>
      <c r="I272" s="14">
        <v>1102.0</v>
      </c>
      <c r="J272" s="16" t="s">
        <v>2457</v>
      </c>
      <c r="K272" s="15" t="s">
        <v>2458</v>
      </c>
      <c r="L272" s="15" t="s">
        <v>2459</v>
      </c>
      <c r="M272" s="17" t="s">
        <v>59</v>
      </c>
      <c r="N272" s="16" t="s">
        <v>2460</v>
      </c>
      <c r="O272" s="15" t="s">
        <v>2461</v>
      </c>
      <c r="P272" s="14"/>
      <c r="Q272" s="14"/>
      <c r="R272" s="14">
        <v>67.0</v>
      </c>
      <c r="S272" s="14">
        <v>2015.0</v>
      </c>
      <c r="T272" s="15" t="s">
        <v>2462</v>
      </c>
      <c r="U272" s="14">
        <v>59.8</v>
      </c>
      <c r="V272" s="14">
        <v>0.3028304479252542</v>
      </c>
      <c r="W272" s="14">
        <v>0.0</v>
      </c>
      <c r="X272" s="14" t="s">
        <v>4495</v>
      </c>
      <c r="Y272" s="18" t="s">
        <v>4495</v>
      </c>
      <c r="Z272" s="18">
        <v>0.6096957991638974</v>
      </c>
      <c r="AA272" s="18">
        <v>1.0</v>
      </c>
      <c r="AB272" s="18">
        <v>1.0</v>
      </c>
      <c r="AC272" s="18">
        <v>1.0</v>
      </c>
      <c r="AD272" s="18">
        <v>0.6024239497909744</v>
      </c>
      <c r="AE272" s="19" t="s">
        <v>4499</v>
      </c>
    </row>
    <row r="273" ht="21.0" customHeight="1">
      <c r="A273" s="20" t="s">
        <v>2383</v>
      </c>
      <c r="B273" s="21" t="s">
        <v>2464</v>
      </c>
      <c r="C273" s="22" t="s">
        <v>2465</v>
      </c>
      <c r="D273" s="23">
        <v>41030.0</v>
      </c>
      <c r="E273" s="24">
        <v>2012.0</v>
      </c>
      <c r="F273" s="21" t="s">
        <v>2386</v>
      </c>
      <c r="G273" s="21" t="s">
        <v>42</v>
      </c>
      <c r="H273" s="24">
        <v>111.0</v>
      </c>
      <c r="I273" s="24">
        <v>1246.0</v>
      </c>
      <c r="J273" s="25"/>
      <c r="K273" s="21" t="s">
        <v>2468</v>
      </c>
      <c r="L273" s="21" t="s">
        <v>2469</v>
      </c>
      <c r="M273" s="26" t="s">
        <v>31</v>
      </c>
      <c r="N273" s="25"/>
      <c r="O273" s="21" t="s">
        <v>2470</v>
      </c>
      <c r="P273" s="24">
        <v>18.0</v>
      </c>
      <c r="Q273" s="24"/>
      <c r="R273" s="24">
        <v>26.0</v>
      </c>
      <c r="S273" s="24"/>
      <c r="T273" s="21" t="s">
        <v>2471</v>
      </c>
      <c r="U273" s="24">
        <v>16.75</v>
      </c>
      <c r="V273" s="24">
        <v>0.25438954675377706</v>
      </c>
      <c r="W273" s="24" t="s">
        <v>4495</v>
      </c>
      <c r="X273" s="24" t="s">
        <v>4495</v>
      </c>
      <c r="Y273" s="27" t="s">
        <v>4495</v>
      </c>
      <c r="Z273" s="27">
        <v>0.2858465197452526</v>
      </c>
      <c r="AA273" s="27" t="s">
        <v>4495</v>
      </c>
      <c r="AB273" s="27">
        <v>1.0</v>
      </c>
      <c r="AC273" s="27">
        <v>0.5779421278045115</v>
      </c>
      <c r="AD273" s="27">
        <v>0.2792558427167643</v>
      </c>
      <c r="AE273" s="28" t="s">
        <v>4497</v>
      </c>
    </row>
    <row r="274" ht="21.0" customHeight="1">
      <c r="A274" s="10" t="s">
        <v>2383</v>
      </c>
      <c r="B274" s="15" t="s">
        <v>2473</v>
      </c>
      <c r="C274" s="12" t="s">
        <v>2474</v>
      </c>
      <c r="D274" s="13">
        <v>41820.0</v>
      </c>
      <c r="E274" s="14">
        <v>2014.0</v>
      </c>
      <c r="F274" s="15" t="s">
        <v>2386</v>
      </c>
      <c r="G274" s="15" t="s">
        <v>42</v>
      </c>
      <c r="H274" s="14">
        <v>102.0</v>
      </c>
      <c r="I274" s="14">
        <v>777.0</v>
      </c>
      <c r="J274" s="16"/>
      <c r="K274" s="15" t="s">
        <v>2477</v>
      </c>
      <c r="L274" s="15" t="s">
        <v>2478</v>
      </c>
      <c r="M274" s="17" t="s">
        <v>59</v>
      </c>
      <c r="N274" s="16" t="s">
        <v>2479</v>
      </c>
      <c r="O274" s="15" t="s">
        <v>2480</v>
      </c>
      <c r="P274" s="14">
        <v>491.0</v>
      </c>
      <c r="Q274" s="14"/>
      <c r="R274" s="14">
        <v>283.0</v>
      </c>
      <c r="S274" s="14"/>
      <c r="T274" s="15" t="s">
        <v>445</v>
      </c>
      <c r="U274" s="14">
        <v>86.0</v>
      </c>
      <c r="V274" s="14">
        <v>0.18914313534566699</v>
      </c>
      <c r="W274" s="14" t="s">
        <v>4495</v>
      </c>
      <c r="X274" s="14" t="s">
        <v>4495</v>
      </c>
      <c r="Y274" s="18" t="s">
        <v>4495</v>
      </c>
      <c r="Z274" s="18">
        <v>1.0</v>
      </c>
      <c r="AA274" s="18" t="s">
        <v>4495</v>
      </c>
      <c r="AB274" s="18">
        <v>1.0</v>
      </c>
      <c r="AC274" s="18">
        <v>1.0</v>
      </c>
      <c r="AD274" s="18">
        <v>0.5</v>
      </c>
      <c r="AE274" s="19" t="s">
        <v>4499</v>
      </c>
    </row>
    <row r="275" ht="21.0" customHeight="1">
      <c r="A275" s="20" t="s">
        <v>2383</v>
      </c>
      <c r="B275" s="21" t="s">
        <v>2483</v>
      </c>
      <c r="C275" s="22" t="s">
        <v>2484</v>
      </c>
      <c r="D275" s="23">
        <v>43020.0</v>
      </c>
      <c r="E275" s="24">
        <v>2017.0</v>
      </c>
      <c r="F275" s="21" t="s">
        <v>2386</v>
      </c>
      <c r="G275" s="21" t="s">
        <v>42</v>
      </c>
      <c r="H275" s="24">
        <v>94.0</v>
      </c>
      <c r="I275" s="24">
        <v>1396.0</v>
      </c>
      <c r="J275" s="25" t="s">
        <v>2487</v>
      </c>
      <c r="K275" s="21" t="s">
        <v>2488</v>
      </c>
      <c r="L275" s="21" t="s">
        <v>2489</v>
      </c>
      <c r="M275" s="26" t="s">
        <v>59</v>
      </c>
      <c r="N275" s="25" t="s">
        <v>2490</v>
      </c>
      <c r="O275" s="21" t="s">
        <v>2491</v>
      </c>
      <c r="P275" s="24">
        <v>8.0</v>
      </c>
      <c r="Q275" s="24"/>
      <c r="R275" s="24">
        <v>27.0</v>
      </c>
      <c r="S275" s="24">
        <v>2017.0</v>
      </c>
      <c r="T275" s="21" t="s">
        <v>2492</v>
      </c>
      <c r="U275" s="24">
        <v>7.25</v>
      </c>
      <c r="V275" s="24">
        <v>0.48005502063273725</v>
      </c>
      <c r="W275" s="24">
        <v>0.0</v>
      </c>
      <c r="X275" s="24" t="s">
        <v>4495</v>
      </c>
      <c r="Y275" s="27" t="s">
        <v>4495</v>
      </c>
      <c r="Z275" s="27">
        <v>0.29859742067166056</v>
      </c>
      <c r="AA275" s="27">
        <v>1.0</v>
      </c>
      <c r="AB275" s="27">
        <v>1.0</v>
      </c>
      <c r="AC275" s="27">
        <v>0.25527169238942077</v>
      </c>
      <c r="AD275" s="27">
        <v>0.4501765244068572</v>
      </c>
      <c r="AE275" s="28" t="s">
        <v>4501</v>
      </c>
    </row>
    <row r="276" ht="21.0" customHeight="1">
      <c r="A276" s="10" t="s">
        <v>2383</v>
      </c>
      <c r="B276" s="15" t="s">
        <v>2494</v>
      </c>
      <c r="C276" s="12" t="s">
        <v>2495</v>
      </c>
      <c r="D276" s="13">
        <v>42592.0</v>
      </c>
      <c r="E276" s="14">
        <v>2016.0</v>
      </c>
      <c r="F276" s="15" t="s">
        <v>2386</v>
      </c>
      <c r="G276" s="15" t="s">
        <v>42</v>
      </c>
      <c r="H276" s="14">
        <v>94.0</v>
      </c>
      <c r="I276" s="14">
        <v>495.0</v>
      </c>
      <c r="J276" s="16"/>
      <c r="K276" s="15" t="s">
        <v>2498</v>
      </c>
      <c r="M276" s="17" t="s">
        <v>31</v>
      </c>
      <c r="N276" s="16"/>
      <c r="O276" s="15" t="s">
        <v>2499</v>
      </c>
      <c r="P276" s="14">
        <v>17.0</v>
      </c>
      <c r="Q276" s="14"/>
      <c r="R276" s="14">
        <v>44.0</v>
      </c>
      <c r="S276" s="14"/>
      <c r="T276" s="15" t="s">
        <v>2500</v>
      </c>
      <c r="U276" s="14">
        <v>56.0</v>
      </c>
      <c r="V276" s="14">
        <v>0.14838129496402877</v>
      </c>
      <c r="W276" s="14" t="s">
        <v>4495</v>
      </c>
      <c r="X276" s="14" t="s">
        <v>4495</v>
      </c>
      <c r="Y276" s="18" t="s">
        <v>4495</v>
      </c>
      <c r="Z276" s="18">
        <v>0.46494767044687196</v>
      </c>
      <c r="AA276" s="18" t="s">
        <v>4495</v>
      </c>
      <c r="AB276" s="18">
        <v>1.0</v>
      </c>
      <c r="AC276" s="18">
        <v>1.0</v>
      </c>
      <c r="AD276" s="18">
        <v>0.36623691761171795</v>
      </c>
      <c r="AE276" s="19" t="s">
        <v>4497</v>
      </c>
    </row>
    <row r="277" ht="21.0" customHeight="1">
      <c r="A277" s="20" t="s">
        <v>2383</v>
      </c>
      <c r="B277" s="21" t="s">
        <v>2501</v>
      </c>
      <c r="C277" s="22" t="s">
        <v>2502</v>
      </c>
      <c r="D277" s="23">
        <v>41579.0</v>
      </c>
      <c r="E277" s="24">
        <v>2013.0</v>
      </c>
      <c r="F277" s="21" t="s">
        <v>2386</v>
      </c>
      <c r="G277" s="21" t="s">
        <v>42</v>
      </c>
      <c r="H277" s="24">
        <v>89.0</v>
      </c>
      <c r="I277" s="24">
        <v>846.0</v>
      </c>
      <c r="J277" s="25"/>
      <c r="K277" s="21" t="s">
        <v>2505</v>
      </c>
      <c r="L277" s="21" t="s">
        <v>2506</v>
      </c>
      <c r="M277" s="26" t="s">
        <v>31</v>
      </c>
      <c r="N277" s="30"/>
      <c r="O277" s="21" t="s">
        <v>2507</v>
      </c>
      <c r="P277" s="24">
        <v>14.0</v>
      </c>
      <c r="Q277" s="24"/>
      <c r="R277" s="24">
        <v>38.0</v>
      </c>
      <c r="S277" s="24"/>
      <c r="T277" s="21" t="s">
        <v>2508</v>
      </c>
      <c r="U277" s="24">
        <v>27.3333333333333</v>
      </c>
      <c r="V277" s="24">
        <v>0.19452747758105313</v>
      </c>
      <c r="W277" s="24" t="s">
        <v>4495</v>
      </c>
      <c r="X277" s="24" t="s">
        <v>4495</v>
      </c>
      <c r="Y277" s="27" t="s">
        <v>4495</v>
      </c>
      <c r="Z277" s="27">
        <v>0.4147749215282351</v>
      </c>
      <c r="AA277" s="27" t="s">
        <v>4495</v>
      </c>
      <c r="AB277" s="27">
        <v>1.0</v>
      </c>
      <c r="AC277" s="27">
        <v>0.774892526403789</v>
      </c>
      <c r="AD277" s="27">
        <v>0.3311829830224377</v>
      </c>
      <c r="AE277" s="28" t="s">
        <v>4497</v>
      </c>
    </row>
    <row r="278" ht="21.0" customHeight="1">
      <c r="A278" s="10" t="s">
        <v>2383</v>
      </c>
      <c r="B278" s="15" t="s">
        <v>2510</v>
      </c>
      <c r="C278" s="12" t="s">
        <v>2511</v>
      </c>
      <c r="D278" s="13">
        <v>42390.0</v>
      </c>
      <c r="E278" s="14">
        <v>2016.0</v>
      </c>
      <c r="F278" s="15" t="s">
        <v>2386</v>
      </c>
      <c r="G278" s="15" t="s">
        <v>42</v>
      </c>
      <c r="H278" s="14">
        <v>87.0</v>
      </c>
      <c r="I278" s="14">
        <v>444.0</v>
      </c>
      <c r="J278" s="16"/>
      <c r="K278" s="15" t="s">
        <v>2514</v>
      </c>
      <c r="L278" s="15" t="s">
        <v>2515</v>
      </c>
      <c r="M278" s="17" t="s">
        <v>31</v>
      </c>
      <c r="N278" s="16"/>
      <c r="O278" s="15" t="s">
        <v>2516</v>
      </c>
      <c r="P278" s="14">
        <v>25.0</v>
      </c>
      <c r="Q278" s="14"/>
      <c r="R278" s="14">
        <v>68.0</v>
      </c>
      <c r="S278" s="14"/>
      <c r="T278" s="15" t="s">
        <v>2517</v>
      </c>
      <c r="U278" s="14">
        <v>36.0</v>
      </c>
      <c r="V278" s="14">
        <v>0.12549462973431316</v>
      </c>
      <c r="W278" s="14" t="s">
        <v>4495</v>
      </c>
      <c r="X278" s="14" t="s">
        <v>4495</v>
      </c>
      <c r="Y278" s="18" t="s">
        <v>4495</v>
      </c>
      <c r="Z278" s="18">
        <v>0.614814300769033</v>
      </c>
      <c r="AA278" s="18" t="s">
        <v>4495</v>
      </c>
      <c r="AB278" s="18">
        <v>1.0</v>
      </c>
      <c r="AC278" s="18">
        <v>0.8872875367406374</v>
      </c>
      <c r="AD278" s="18">
        <v>0.39243232886632196</v>
      </c>
      <c r="AE278" s="19" t="s">
        <v>4497</v>
      </c>
    </row>
    <row r="279" ht="21.0" customHeight="1">
      <c r="A279" s="20" t="s">
        <v>2383</v>
      </c>
      <c r="B279" s="21" t="s">
        <v>2518</v>
      </c>
      <c r="C279" s="22" t="s">
        <v>2519</v>
      </c>
      <c r="D279" s="23">
        <v>41424.0</v>
      </c>
      <c r="E279" s="24">
        <v>2013.0</v>
      </c>
      <c r="F279" s="21" t="s">
        <v>2386</v>
      </c>
      <c r="G279" s="21" t="s">
        <v>1801</v>
      </c>
      <c r="H279" s="24">
        <v>86.0</v>
      </c>
      <c r="I279" s="24">
        <v>934.0</v>
      </c>
      <c r="J279" s="25" t="s">
        <v>2522</v>
      </c>
      <c r="K279" s="21" t="s">
        <v>2523</v>
      </c>
      <c r="L279" s="21" t="s">
        <v>2524</v>
      </c>
      <c r="M279" s="26" t="s">
        <v>59</v>
      </c>
      <c r="N279" s="25" t="s">
        <v>2525</v>
      </c>
      <c r="O279" s="21" t="s">
        <v>2526</v>
      </c>
      <c r="P279" s="24">
        <v>25.0</v>
      </c>
      <c r="Q279" s="24"/>
      <c r="R279" s="24">
        <v>110.0</v>
      </c>
      <c r="S279" s="24">
        <v>2013.0</v>
      </c>
      <c r="T279" s="21" t="s">
        <v>2527</v>
      </c>
      <c r="U279" s="24">
        <v>41.0</v>
      </c>
      <c r="V279" s="24">
        <v>0.20737122557726465</v>
      </c>
      <c r="W279" s="24">
        <v>0.0</v>
      </c>
      <c r="X279" s="24" t="s">
        <v>4495</v>
      </c>
      <c r="Y279" s="27" t="s">
        <v>4495</v>
      </c>
      <c r="Z279" s="27">
        <v>0.781503141717807</v>
      </c>
      <c r="AA279" s="27">
        <v>1.0</v>
      </c>
      <c r="AB279" s="27">
        <v>1.0</v>
      </c>
      <c r="AC279" s="27">
        <v>0.9406685154275308</v>
      </c>
      <c r="AD279" s="27">
        <v>0.6394426369722048</v>
      </c>
      <c r="AE279" s="28" t="s">
        <v>4499</v>
      </c>
    </row>
    <row r="280" ht="21.0" customHeight="1">
      <c r="A280" s="10" t="s">
        <v>2383</v>
      </c>
      <c r="B280" s="15" t="s">
        <v>2528</v>
      </c>
      <c r="C280" s="12" t="s">
        <v>2529</v>
      </c>
      <c r="D280" s="13">
        <v>43123.0</v>
      </c>
      <c r="E280" s="14">
        <v>2018.0</v>
      </c>
      <c r="F280" s="15" t="s">
        <v>2386</v>
      </c>
      <c r="G280" s="15" t="s">
        <v>42</v>
      </c>
      <c r="H280" s="14">
        <v>85.0</v>
      </c>
      <c r="I280" s="14">
        <v>1188.0</v>
      </c>
      <c r="J280" s="16"/>
      <c r="K280" s="15" t="s">
        <v>2532</v>
      </c>
      <c r="L280" s="15" t="s">
        <v>2533</v>
      </c>
      <c r="M280" s="17" t="s">
        <v>59</v>
      </c>
      <c r="N280" s="16" t="s">
        <v>2534</v>
      </c>
      <c r="O280" s="15" t="s">
        <v>2535</v>
      </c>
      <c r="P280" s="14">
        <v>10.0</v>
      </c>
      <c r="Q280" s="14"/>
      <c r="R280" s="14">
        <v>39.0</v>
      </c>
      <c r="S280" s="14"/>
      <c r="T280" s="15" t="s">
        <v>2536</v>
      </c>
      <c r="U280" s="14">
        <v>4.5</v>
      </c>
      <c r="V280" s="14">
        <v>0.4235294117647059</v>
      </c>
      <c r="W280" s="14" t="s">
        <v>4495</v>
      </c>
      <c r="X280" s="14" t="s">
        <v>4495</v>
      </c>
      <c r="Y280" s="18" t="s">
        <v>4495</v>
      </c>
      <c r="Z280" s="18">
        <v>0.4236516268700686</v>
      </c>
      <c r="AA280" s="18" t="s">
        <v>4495</v>
      </c>
      <c r="AB280" s="18">
        <v>1.0</v>
      </c>
      <c r="AC280" s="18">
        <v>0.08451166841135611</v>
      </c>
      <c r="AD280" s="18">
        <v>0.26436407355865277</v>
      </c>
      <c r="AE280" s="19" t="s">
        <v>4499</v>
      </c>
    </row>
    <row r="281" ht="21.0" customHeight="1">
      <c r="A281" s="20" t="s">
        <v>2383</v>
      </c>
      <c r="B281" s="21" t="s">
        <v>2537</v>
      </c>
      <c r="C281" s="22" t="s">
        <v>2538</v>
      </c>
      <c r="D281" s="23"/>
      <c r="E281" s="24"/>
      <c r="F281" s="21" t="s">
        <v>2398</v>
      </c>
      <c r="G281" s="21" t="s">
        <v>42</v>
      </c>
      <c r="H281" s="24">
        <v>82.0</v>
      </c>
      <c r="I281" s="24">
        <v>770.0</v>
      </c>
      <c r="J281" s="25"/>
      <c r="K281" s="21" t="s">
        <v>2540</v>
      </c>
      <c r="L281" s="21" t="s">
        <v>2541</v>
      </c>
      <c r="M281" s="26" t="s">
        <v>31</v>
      </c>
      <c r="N281" s="25"/>
      <c r="O281" s="21" t="s">
        <v>2542</v>
      </c>
      <c r="P281" s="24">
        <v>6.0</v>
      </c>
      <c r="Q281" s="24"/>
      <c r="R281" s="24">
        <v>24.0</v>
      </c>
      <c r="S281" s="24"/>
      <c r="T281" s="21" t="s">
        <v>2543</v>
      </c>
      <c r="U281" s="24">
        <v>7.8</v>
      </c>
      <c r="V281" s="24" t="s">
        <v>4495</v>
      </c>
      <c r="W281" s="24" t="s">
        <v>4495</v>
      </c>
      <c r="X281" s="24" t="s">
        <v>4495</v>
      </c>
      <c r="Y281" s="27" t="s">
        <v>4495</v>
      </c>
      <c r="Z281" s="27">
        <v>0.25886312191752414</v>
      </c>
      <c r="AA281" s="27" t="s">
        <v>4495</v>
      </c>
      <c r="AB281" s="27" t="s">
        <v>4495</v>
      </c>
      <c r="AC281" s="27">
        <v>0.2824518348889342</v>
      </c>
      <c r="AD281" s="27">
        <v>0.09296096396827445</v>
      </c>
      <c r="AE281" s="28" t="s">
        <v>4497</v>
      </c>
    </row>
    <row r="282" ht="21.0" customHeight="1">
      <c r="A282" s="10" t="s">
        <v>2383</v>
      </c>
      <c r="B282" s="15" t="s">
        <v>2545</v>
      </c>
      <c r="C282" s="12" t="s">
        <v>2546</v>
      </c>
      <c r="D282" s="13">
        <v>42461.0</v>
      </c>
      <c r="E282" s="14">
        <v>2016.0</v>
      </c>
      <c r="F282" s="15" t="s">
        <v>2386</v>
      </c>
      <c r="G282" s="15" t="s">
        <v>42</v>
      </c>
      <c r="H282" s="14">
        <v>75.0</v>
      </c>
      <c r="I282" s="14">
        <v>913.0</v>
      </c>
      <c r="J282" s="16"/>
      <c r="K282" s="15" t="s">
        <v>2548</v>
      </c>
      <c r="L282" s="15" t="s">
        <v>2549</v>
      </c>
      <c r="M282" s="17" t="s">
        <v>31</v>
      </c>
      <c r="N282" s="16"/>
      <c r="O282" s="15" t="s">
        <v>2550</v>
      </c>
      <c r="P282" s="14">
        <v>14.0</v>
      </c>
      <c r="Q282" s="14"/>
      <c r="R282" s="14">
        <v>55.0</v>
      </c>
      <c r="S282" s="14"/>
      <c r="T282" s="15" t="s">
        <v>2403</v>
      </c>
      <c r="U282" s="14">
        <v>36.5</v>
      </c>
      <c r="V282" s="14">
        <v>0.263340063455437</v>
      </c>
      <c r="W282" s="14" t="s">
        <v>4495</v>
      </c>
      <c r="X282" s="14" t="s">
        <v>4495</v>
      </c>
      <c r="Y282" s="18" t="s">
        <v>4495</v>
      </c>
      <c r="Z282" s="18">
        <v>0.5416225389667044</v>
      </c>
      <c r="AA282" s="18" t="s">
        <v>4495</v>
      </c>
      <c r="AB282" s="18">
        <v>1.0</v>
      </c>
      <c r="AC282" s="18">
        <v>0.8929405885765132</v>
      </c>
      <c r="AD282" s="18">
        <v>0.3746996935993274</v>
      </c>
      <c r="AE282" s="19" t="s">
        <v>4497</v>
      </c>
    </row>
    <row r="283" ht="21.0" customHeight="1">
      <c r="A283" s="20" t="s">
        <v>2383</v>
      </c>
      <c r="B283" s="21" t="s">
        <v>2551</v>
      </c>
      <c r="C283" s="22" t="s">
        <v>2552</v>
      </c>
      <c r="D283" s="23">
        <v>42479.0</v>
      </c>
      <c r="E283" s="24">
        <v>2016.0</v>
      </c>
      <c r="F283" s="21" t="s">
        <v>2554</v>
      </c>
      <c r="G283" s="21" t="s">
        <v>1119</v>
      </c>
      <c r="H283" s="24">
        <v>73.0</v>
      </c>
      <c r="I283" s="24">
        <v>872.0</v>
      </c>
      <c r="J283" s="25" t="s">
        <v>2556</v>
      </c>
      <c r="K283" s="21" t="s">
        <v>2557</v>
      </c>
      <c r="L283" s="21" t="s">
        <v>2558</v>
      </c>
      <c r="M283" s="26" t="s">
        <v>59</v>
      </c>
      <c r="N283" s="25" t="s">
        <v>2559</v>
      </c>
      <c r="P283" s="24"/>
      <c r="Q283" s="24"/>
      <c r="R283" s="24">
        <v>83.0</v>
      </c>
      <c r="S283" s="24">
        <v>2014.0</v>
      </c>
      <c r="T283" s="21" t="s">
        <v>2560</v>
      </c>
      <c r="U283" s="24">
        <v>23.0</v>
      </c>
      <c r="V283" s="24">
        <v>0.2528269063496666</v>
      </c>
      <c r="W283" s="24">
        <v>2.0</v>
      </c>
      <c r="X283" s="24" t="s">
        <v>4495</v>
      </c>
      <c r="Y283" s="27" t="s">
        <v>4495</v>
      </c>
      <c r="Z283" s="27">
        <v>0.6837831199026277</v>
      </c>
      <c r="AA283" s="27">
        <v>1.0</v>
      </c>
      <c r="AB283" s="27">
        <v>1.0</v>
      </c>
      <c r="AC283" s="27">
        <v>0.7049885433277757</v>
      </c>
      <c r="AD283" s="27">
        <v>0.5914446343084345</v>
      </c>
      <c r="AE283" s="28" t="s">
        <v>4501</v>
      </c>
    </row>
    <row r="284" ht="21.0" customHeight="1">
      <c r="A284" s="10" t="s">
        <v>2383</v>
      </c>
      <c r="B284" s="15" t="s">
        <v>2561</v>
      </c>
      <c r="C284" s="12" t="s">
        <v>2562</v>
      </c>
      <c r="D284" s="13">
        <v>44273.0</v>
      </c>
      <c r="E284" s="14">
        <v>2021.0</v>
      </c>
      <c r="F284" s="15" t="s">
        <v>2386</v>
      </c>
      <c r="G284" s="15" t="s">
        <v>42</v>
      </c>
      <c r="H284" s="14">
        <v>67.0</v>
      </c>
      <c r="I284" s="14">
        <v>308.0</v>
      </c>
      <c r="J284" s="16" t="s">
        <v>2565</v>
      </c>
      <c r="K284" s="15" t="s">
        <v>2566</v>
      </c>
      <c r="M284" s="17" t="s">
        <v>31</v>
      </c>
      <c r="N284" s="16"/>
      <c r="P284" s="14"/>
      <c r="Q284" s="14"/>
      <c r="R284" s="14">
        <v>80.0</v>
      </c>
      <c r="S284" s="14">
        <v>2021.0</v>
      </c>
      <c r="T284" s="15" t="s">
        <v>2567</v>
      </c>
      <c r="U284" s="14">
        <v>13.8571428571428</v>
      </c>
      <c r="V284" s="14">
        <v>0.18610271903323264</v>
      </c>
      <c r="W284" s="14">
        <v>0.0</v>
      </c>
      <c r="X284" s="14" t="s">
        <v>4495</v>
      </c>
      <c r="Y284" s="18" t="s">
        <v>4495</v>
      </c>
      <c r="Z284" s="18">
        <v>0.67103221897622</v>
      </c>
      <c r="AA284" s="18">
        <v>1.0</v>
      </c>
      <c r="AB284" s="18">
        <v>1.0</v>
      </c>
      <c r="AC284" s="18">
        <v>0.5030182404653436</v>
      </c>
      <c r="AD284" s="18">
        <v>0.5680598787905894</v>
      </c>
      <c r="AE284" s="19" t="s">
        <v>4497</v>
      </c>
    </row>
    <row r="285" ht="21.0" customHeight="1">
      <c r="A285" s="20" t="s">
        <v>2383</v>
      </c>
      <c r="B285" s="21" t="s">
        <v>2569</v>
      </c>
      <c r="C285" s="22" t="s">
        <v>2570</v>
      </c>
      <c r="D285" s="23">
        <v>43558.0</v>
      </c>
      <c r="E285" s="24">
        <v>2019.0</v>
      </c>
      <c r="F285" s="21" t="s">
        <v>2386</v>
      </c>
      <c r="G285" s="21" t="s">
        <v>42</v>
      </c>
      <c r="H285" s="24">
        <v>67.0</v>
      </c>
      <c r="I285" s="24">
        <v>1191.0</v>
      </c>
      <c r="J285" s="25" t="s">
        <v>2573</v>
      </c>
      <c r="K285" s="21" t="s">
        <v>2574</v>
      </c>
      <c r="L285" s="21" t="s">
        <v>2575</v>
      </c>
      <c r="M285" s="26" t="s">
        <v>59</v>
      </c>
      <c r="N285" s="30" t="s">
        <v>2576</v>
      </c>
      <c r="O285" s="21" t="s">
        <v>2577</v>
      </c>
      <c r="P285" s="24">
        <v>26.0</v>
      </c>
      <c r="Q285" s="24"/>
      <c r="R285" s="24">
        <v>85.0</v>
      </c>
      <c r="S285" s="24">
        <v>2019.0</v>
      </c>
      <c r="T285" s="21" t="s">
        <v>2578</v>
      </c>
      <c r="U285" s="24">
        <v>28.8333333333333</v>
      </c>
      <c r="V285" s="24">
        <v>0.5025316455696203</v>
      </c>
      <c r="W285" s="24">
        <v>0.0</v>
      </c>
      <c r="X285" s="24" t="s">
        <v>4495</v>
      </c>
      <c r="Y285" s="27" t="s">
        <v>4495</v>
      </c>
      <c r="Z285" s="27">
        <v>0.6920331742590979</v>
      </c>
      <c r="AA285" s="27">
        <v>1.0</v>
      </c>
      <c r="AB285" s="27">
        <v>1.0</v>
      </c>
      <c r="AC285" s="27">
        <v>0.7966183423999706</v>
      </c>
      <c r="AD285" s="27">
        <v>0.6026701278047716</v>
      </c>
      <c r="AE285" s="28" t="s">
        <v>4501</v>
      </c>
    </row>
    <row r="286" ht="21.0" customHeight="1">
      <c r="A286" s="10" t="s">
        <v>2383</v>
      </c>
      <c r="B286" s="15" t="s">
        <v>2580</v>
      </c>
      <c r="C286" s="12" t="s">
        <v>2581</v>
      </c>
      <c r="D286" s="13">
        <v>43143.0</v>
      </c>
      <c r="E286" s="14">
        <v>2018.0</v>
      </c>
      <c r="F286" s="15" t="s">
        <v>2386</v>
      </c>
      <c r="G286" s="15" t="s">
        <v>1801</v>
      </c>
      <c r="H286" s="14">
        <v>66.0</v>
      </c>
      <c r="I286" s="14">
        <v>573.0</v>
      </c>
      <c r="J286" s="16" t="s">
        <v>2585</v>
      </c>
      <c r="K286" s="15" t="s">
        <v>2586</v>
      </c>
      <c r="M286" s="17" t="s">
        <v>31</v>
      </c>
      <c r="N286" s="16"/>
      <c r="P286" s="14"/>
      <c r="Q286" s="14"/>
      <c r="R286" s="14">
        <v>21.0</v>
      </c>
      <c r="S286" s="14">
        <v>2018.0</v>
      </c>
      <c r="T286" s="15" t="s">
        <v>2587</v>
      </c>
      <c r="U286" s="14">
        <v>18.4</v>
      </c>
      <c r="V286" s="14">
        <v>0.20574506283662478</v>
      </c>
      <c r="W286" s="14">
        <v>0.0</v>
      </c>
      <c r="X286" s="14" t="s">
        <v>4495</v>
      </c>
      <c r="Y286" s="18" t="s">
        <v>4495</v>
      </c>
      <c r="Z286" s="18">
        <v>0.21404331870033824</v>
      </c>
      <c r="AA286" s="18">
        <v>1.0</v>
      </c>
      <c r="AB286" s="18">
        <v>1.0</v>
      </c>
      <c r="AC286" s="18">
        <v>0.6153767674099261</v>
      </c>
      <c r="AD286" s="18">
        <v>0.4650485064160772</v>
      </c>
      <c r="AE286" s="19" t="s">
        <v>4497</v>
      </c>
    </row>
    <row r="287" ht="21.0" customHeight="1">
      <c r="A287" s="20" t="s">
        <v>2383</v>
      </c>
      <c r="B287" s="21" t="s">
        <v>2589</v>
      </c>
      <c r="C287" s="22" t="s">
        <v>2590</v>
      </c>
      <c r="D287" s="23">
        <v>43831.0</v>
      </c>
      <c r="E287" s="24">
        <v>2020.0</v>
      </c>
      <c r="F287" s="21" t="s">
        <v>2386</v>
      </c>
      <c r="G287" s="21" t="s">
        <v>42</v>
      </c>
      <c r="H287" s="24">
        <v>63.0</v>
      </c>
      <c r="I287" s="24">
        <v>461.0</v>
      </c>
      <c r="J287" s="25"/>
      <c r="K287" s="21" t="s">
        <v>2593</v>
      </c>
      <c r="L287" s="21" t="s">
        <v>2594</v>
      </c>
      <c r="M287" s="26" t="s">
        <v>31</v>
      </c>
      <c r="N287" s="30"/>
      <c r="P287" s="24"/>
      <c r="Q287" s="24"/>
      <c r="R287" s="24">
        <v>36.0</v>
      </c>
      <c r="S287" s="24"/>
      <c r="T287" s="21" t="s">
        <v>2595</v>
      </c>
      <c r="U287" s="24">
        <v>20.3333333333333</v>
      </c>
      <c r="V287" s="24">
        <v>0.21983786361468766</v>
      </c>
      <c r="W287" s="24" t="s">
        <v>4495</v>
      </c>
      <c r="X287" s="24" t="s">
        <v>4495</v>
      </c>
      <c r="Y287" s="27" t="s">
        <v>4495</v>
      </c>
      <c r="Z287" s="27">
        <v>0.3963174424868398</v>
      </c>
      <c r="AA287" s="27" t="s">
        <v>4495</v>
      </c>
      <c r="AB287" s="27">
        <v>1.0</v>
      </c>
      <c r="AC287" s="27">
        <v>0.6553846844735923</v>
      </c>
      <c r="AD287" s="27">
        <v>0.31461782906906915</v>
      </c>
      <c r="AE287" s="28" t="s">
        <v>4497</v>
      </c>
    </row>
    <row r="288" ht="21.0" customHeight="1">
      <c r="A288" s="10" t="s">
        <v>2383</v>
      </c>
      <c r="B288" s="15" t="s">
        <v>2597</v>
      </c>
      <c r="C288" s="12" t="s">
        <v>2598</v>
      </c>
      <c r="D288" s="13"/>
      <c r="E288" s="14"/>
      <c r="G288" s="15" t="s">
        <v>42</v>
      </c>
      <c r="H288" s="14">
        <v>61.0</v>
      </c>
      <c r="I288" s="14">
        <v>623.0</v>
      </c>
      <c r="J288" s="16"/>
      <c r="K288" s="15" t="s">
        <v>2601</v>
      </c>
      <c r="M288" s="17" t="s">
        <v>31</v>
      </c>
      <c r="N288" s="16"/>
      <c r="O288" s="31"/>
      <c r="P288" s="14"/>
      <c r="Q288" s="14"/>
      <c r="R288" s="14">
        <v>11.0</v>
      </c>
      <c r="S288" s="14"/>
      <c r="T288" s="15" t="s">
        <v>2602</v>
      </c>
      <c r="U288" s="14">
        <v>2.0</v>
      </c>
      <c r="V288" s="14" t="s">
        <v>4495</v>
      </c>
      <c r="W288" s="14" t="s">
        <v>4495</v>
      </c>
      <c r="X288" s="14" t="s">
        <v>4495</v>
      </c>
      <c r="Y288" s="18" t="s">
        <v>4495</v>
      </c>
      <c r="Z288" s="18">
        <v>0.0015253578734055093</v>
      </c>
      <c r="AA288" s="18" t="s">
        <v>4495</v>
      </c>
      <c r="AB288" s="18" t="s">
        <v>4495</v>
      </c>
      <c r="AC288" s="18">
        <v>0.0</v>
      </c>
      <c r="AD288" s="18">
        <v>3.8133946835137734E-4</v>
      </c>
      <c r="AE288" s="19" t="s">
        <v>4497</v>
      </c>
    </row>
    <row r="289" ht="21.0" customHeight="1">
      <c r="A289" s="20" t="s">
        <v>2383</v>
      </c>
      <c r="B289" s="21" t="s">
        <v>2603</v>
      </c>
      <c r="C289" s="22" t="s">
        <v>2604</v>
      </c>
      <c r="D289" s="23">
        <v>43313.0</v>
      </c>
      <c r="E289" s="24">
        <v>2018.0</v>
      </c>
      <c r="F289" s="21" t="s">
        <v>2398</v>
      </c>
      <c r="G289" s="21" t="s">
        <v>42</v>
      </c>
      <c r="H289" s="24">
        <v>60.0</v>
      </c>
      <c r="I289" s="24">
        <v>345.0</v>
      </c>
      <c r="J289" s="25" t="s">
        <v>2606</v>
      </c>
      <c r="K289" s="21" t="s">
        <v>2607</v>
      </c>
      <c r="L289" s="21" t="s">
        <v>2608</v>
      </c>
      <c r="M289" s="26" t="s">
        <v>59</v>
      </c>
      <c r="N289" s="30" t="s">
        <v>2609</v>
      </c>
      <c r="O289" s="21" t="s">
        <v>2226</v>
      </c>
      <c r="P289" s="24">
        <v>6.0</v>
      </c>
      <c r="Q289" s="24"/>
      <c r="R289" s="24">
        <v>18.0</v>
      </c>
      <c r="S289" s="24">
        <v>2018.0</v>
      </c>
      <c r="T289" s="21" t="s">
        <v>2610</v>
      </c>
      <c r="U289" s="24">
        <v>14.3333333333333</v>
      </c>
      <c r="V289" s="24">
        <v>0.13193116634799235</v>
      </c>
      <c r="W289" s="24">
        <v>0.0</v>
      </c>
      <c r="X289" s="24" t="s">
        <v>4495</v>
      </c>
      <c r="Y289" s="27" t="s">
        <v>4495</v>
      </c>
      <c r="Z289" s="27">
        <v>0.16264250851574893</v>
      </c>
      <c r="AA289" s="27">
        <v>1.0</v>
      </c>
      <c r="AB289" s="27">
        <v>1.0</v>
      </c>
      <c r="AC289" s="27">
        <v>0.5163047063425695</v>
      </c>
      <c r="AD289" s="27">
        <v>0.4422910977631942</v>
      </c>
      <c r="AE289" s="28" t="s">
        <v>4501</v>
      </c>
    </row>
    <row r="290" ht="21.0" customHeight="1">
      <c r="A290" s="10" t="s">
        <v>2383</v>
      </c>
      <c r="B290" s="15" t="s">
        <v>2611</v>
      </c>
      <c r="C290" s="12" t="s">
        <v>2612</v>
      </c>
      <c r="D290" s="13">
        <v>43952.0</v>
      </c>
      <c r="E290" s="14">
        <v>2020.0</v>
      </c>
      <c r="F290" s="15" t="s">
        <v>2417</v>
      </c>
      <c r="G290" s="15" t="s">
        <v>42</v>
      </c>
      <c r="H290" s="14">
        <v>60.0</v>
      </c>
      <c r="I290" s="14">
        <v>435.0</v>
      </c>
      <c r="J290" s="16" t="s">
        <v>2614</v>
      </c>
      <c r="K290" s="15" t="s">
        <v>2615</v>
      </c>
      <c r="L290" s="15" t="s">
        <v>2616</v>
      </c>
      <c r="M290" s="17" t="s">
        <v>31</v>
      </c>
      <c r="N290" s="29"/>
      <c r="O290" s="15" t="s">
        <v>2617</v>
      </c>
      <c r="P290" s="14">
        <v>5.0</v>
      </c>
      <c r="Q290" s="14"/>
      <c r="R290" s="14">
        <v>14.0</v>
      </c>
      <c r="S290" s="14"/>
      <c r="T290" s="15" t="s">
        <v>2618</v>
      </c>
      <c r="U290" s="14">
        <v>20.25</v>
      </c>
      <c r="V290" s="14">
        <v>0.2201417004048583</v>
      </c>
      <c r="W290" s="14" t="s">
        <v>4495</v>
      </c>
      <c r="X290" s="14" t="s">
        <v>4495</v>
      </c>
      <c r="Y290" s="18" t="s">
        <v>4495</v>
      </c>
      <c r="Z290" s="18">
        <v>0.07976197121590477</v>
      </c>
      <c r="AA290" s="18" t="s">
        <v>4495</v>
      </c>
      <c r="AB290" s="18">
        <v>1.0</v>
      </c>
      <c r="AC290" s="18">
        <v>0.6537363612799073</v>
      </c>
      <c r="AD290" s="18">
        <v>0.2353141289319669</v>
      </c>
      <c r="AE290" s="19" t="s">
        <v>4497</v>
      </c>
    </row>
    <row r="291" ht="21.0" customHeight="1">
      <c r="A291" s="20" t="s">
        <v>2383</v>
      </c>
      <c r="B291" s="21" t="s">
        <v>2620</v>
      </c>
      <c r="C291" s="22" t="s">
        <v>2621</v>
      </c>
      <c r="D291" s="23">
        <v>42960.0</v>
      </c>
      <c r="E291" s="24">
        <v>2017.0</v>
      </c>
      <c r="F291" s="21" t="s">
        <v>2417</v>
      </c>
      <c r="G291" s="21" t="s">
        <v>1801</v>
      </c>
      <c r="H291" s="24">
        <v>59.0</v>
      </c>
      <c r="I291" s="24">
        <v>485.0</v>
      </c>
      <c r="J291" s="25"/>
      <c r="K291" s="21" t="s">
        <v>2624</v>
      </c>
      <c r="L291" s="21" t="s">
        <v>2625</v>
      </c>
      <c r="M291" s="26" t="s">
        <v>59</v>
      </c>
      <c r="N291" s="25" t="s">
        <v>2626</v>
      </c>
      <c r="P291" s="24"/>
      <c r="Q291" s="24"/>
      <c r="R291" s="24">
        <v>29.0</v>
      </c>
      <c r="S291" s="24"/>
      <c r="T291" s="21" t="s">
        <v>2627</v>
      </c>
      <c r="U291" s="24">
        <v>20.5</v>
      </c>
      <c r="V291" s="24">
        <v>0.16340970350404313</v>
      </c>
      <c r="W291" s="24" t="s">
        <v>4495</v>
      </c>
      <c r="X291" s="24" t="s">
        <v>4495</v>
      </c>
      <c r="Y291" s="27" t="s">
        <v>4495</v>
      </c>
      <c r="Z291" s="27">
        <v>0.3227870895109485</v>
      </c>
      <c r="AA291" s="27" t="s">
        <v>4495</v>
      </c>
      <c r="AB291" s="27">
        <v>1.0</v>
      </c>
      <c r="AC291" s="27">
        <v>0.6586621020908234</v>
      </c>
      <c r="AD291" s="27">
        <v>0.29656298258681946</v>
      </c>
      <c r="AE291" s="28" t="s">
        <v>4499</v>
      </c>
    </row>
    <row r="292" ht="21.0" customHeight="1">
      <c r="A292" s="10" t="s">
        <v>2383</v>
      </c>
      <c r="B292" s="15" t="s">
        <v>2629</v>
      </c>
      <c r="C292" s="12" t="s">
        <v>2630</v>
      </c>
      <c r="D292" s="13">
        <v>43619.0</v>
      </c>
      <c r="E292" s="14">
        <v>2019.0</v>
      </c>
      <c r="F292" s="15" t="s">
        <v>2632</v>
      </c>
      <c r="G292" s="15" t="s">
        <v>42</v>
      </c>
      <c r="H292" s="14">
        <v>58.0</v>
      </c>
      <c r="I292" s="14">
        <v>320.0</v>
      </c>
      <c r="J292" s="16" t="s">
        <v>2634</v>
      </c>
      <c r="K292" s="15" t="s">
        <v>2635</v>
      </c>
      <c r="L292" s="15" t="s">
        <v>2636</v>
      </c>
      <c r="M292" s="17" t="s">
        <v>59</v>
      </c>
      <c r="N292" s="29" t="s">
        <v>2637</v>
      </c>
      <c r="P292" s="14"/>
      <c r="Q292" s="14"/>
      <c r="R292" s="14">
        <v>30.0</v>
      </c>
      <c r="S292" s="14">
        <v>2019.0</v>
      </c>
      <c r="T292" s="15" t="s">
        <v>2638</v>
      </c>
      <c r="U292" s="14">
        <v>12.75</v>
      </c>
      <c r="V292" s="14">
        <v>0.1385881333910784</v>
      </c>
      <c r="W292" s="14">
        <v>0.0</v>
      </c>
      <c r="X292" s="14" t="s">
        <v>4495</v>
      </c>
      <c r="Y292" s="18" t="s">
        <v>4495</v>
      </c>
      <c r="Z292" s="18">
        <v>0.33428356644099017</v>
      </c>
      <c r="AA292" s="18">
        <v>1.0</v>
      </c>
      <c r="AB292" s="18">
        <v>1.0</v>
      </c>
      <c r="AC292" s="18">
        <v>0.4704038801376717</v>
      </c>
      <c r="AD292" s="18">
        <v>0.48061127962401473</v>
      </c>
      <c r="AE292" s="19" t="s">
        <v>4499</v>
      </c>
    </row>
    <row r="293" ht="21.0" customHeight="1">
      <c r="A293" s="20" t="s">
        <v>2383</v>
      </c>
      <c r="B293" s="21" t="s">
        <v>2640</v>
      </c>
      <c r="C293" s="22" t="s">
        <v>2641</v>
      </c>
      <c r="D293" s="23">
        <v>43017.0</v>
      </c>
      <c r="E293" s="24">
        <v>2017.0</v>
      </c>
      <c r="F293" s="21" t="s">
        <v>2386</v>
      </c>
      <c r="G293" s="21" t="s">
        <v>2455</v>
      </c>
      <c r="H293" s="24">
        <v>58.0</v>
      </c>
      <c r="I293" s="24">
        <v>729.0</v>
      </c>
      <c r="J293" s="25" t="s">
        <v>2644</v>
      </c>
      <c r="K293" s="21" t="s">
        <v>2645</v>
      </c>
      <c r="L293" s="21" t="s">
        <v>2646</v>
      </c>
      <c r="M293" s="26" t="s">
        <v>59</v>
      </c>
      <c r="N293" s="30" t="s">
        <v>2647</v>
      </c>
      <c r="O293" s="21" t="s">
        <v>2648</v>
      </c>
      <c r="P293" s="24"/>
      <c r="Q293" s="24"/>
      <c r="R293" s="24">
        <v>33.0</v>
      </c>
      <c r="S293" s="24">
        <v>2017.0</v>
      </c>
      <c r="T293" s="21" t="s">
        <v>2649</v>
      </c>
      <c r="U293" s="24">
        <v>20.3</v>
      </c>
      <c r="V293" s="24">
        <v>0.2504294057025077</v>
      </c>
      <c r="W293" s="24">
        <v>0.0</v>
      </c>
      <c r="X293" s="24" t="s">
        <v>4495</v>
      </c>
      <c r="Y293" s="27" t="s">
        <v>4495</v>
      </c>
      <c r="Z293" s="27">
        <v>0.36667068086885374</v>
      </c>
      <c r="AA293" s="27">
        <v>1.0</v>
      </c>
      <c r="AB293" s="27">
        <v>1.0</v>
      </c>
      <c r="AC293" s="27">
        <v>0.6547261291582076</v>
      </c>
      <c r="AD293" s="27">
        <v>0.5071402831330342</v>
      </c>
      <c r="AE293" s="28" t="s">
        <v>4499</v>
      </c>
    </row>
    <row r="294" ht="21.0" customHeight="1">
      <c r="A294" s="10" t="s">
        <v>2383</v>
      </c>
      <c r="B294" s="15" t="s">
        <v>2651</v>
      </c>
      <c r="C294" s="12" t="s">
        <v>2652</v>
      </c>
      <c r="D294" s="13">
        <v>43617.0</v>
      </c>
      <c r="E294" s="14">
        <v>2019.0</v>
      </c>
      <c r="F294" s="15" t="s">
        <v>2398</v>
      </c>
      <c r="G294" s="15" t="s">
        <v>42</v>
      </c>
      <c r="H294" s="14">
        <v>56.0</v>
      </c>
      <c r="I294" s="14">
        <v>261.0</v>
      </c>
      <c r="J294" s="16" t="s">
        <v>2655</v>
      </c>
      <c r="K294" s="15" t="s">
        <v>2656</v>
      </c>
      <c r="L294" s="15" t="s">
        <v>2657</v>
      </c>
      <c r="M294" s="17" t="s">
        <v>31</v>
      </c>
      <c r="N294" s="16"/>
      <c r="O294" s="15" t="s">
        <v>2658</v>
      </c>
      <c r="P294" s="14">
        <v>9.0</v>
      </c>
      <c r="Q294" s="14"/>
      <c r="R294" s="14">
        <v>32.0</v>
      </c>
      <c r="S294" s="14"/>
      <c r="T294" s="15" t="s">
        <v>2659</v>
      </c>
      <c r="U294" s="14">
        <v>28.6</v>
      </c>
      <c r="V294" s="14">
        <v>0.11293812202509736</v>
      </c>
      <c r="W294" s="14" t="s">
        <v>4495</v>
      </c>
      <c r="X294" s="14" t="s">
        <v>4495</v>
      </c>
      <c r="Y294" s="18" t="s">
        <v>4495</v>
      </c>
      <c r="Z294" s="18">
        <v>0.35620389963626176</v>
      </c>
      <c r="AA294" s="18" t="s">
        <v>4495</v>
      </c>
      <c r="AB294" s="18">
        <v>1.0</v>
      </c>
      <c r="AC294" s="18">
        <v>0.7933115141162687</v>
      </c>
      <c r="AD294" s="18">
        <v>0.3183821263206923</v>
      </c>
      <c r="AE294" s="19" t="s">
        <v>4497</v>
      </c>
    </row>
    <row r="295" ht="21.0" customHeight="1">
      <c r="A295" s="20" t="s">
        <v>2383</v>
      </c>
      <c r="B295" s="21" t="s">
        <v>2661</v>
      </c>
      <c r="C295" s="22" t="s">
        <v>2662</v>
      </c>
      <c r="D295" s="23">
        <v>42514.0</v>
      </c>
      <c r="E295" s="24">
        <v>2016.0</v>
      </c>
      <c r="F295" s="21" t="s">
        <v>2386</v>
      </c>
      <c r="G295" s="21" t="s">
        <v>42</v>
      </c>
      <c r="H295" s="24">
        <v>54.0</v>
      </c>
      <c r="I295" s="24">
        <v>1061.0</v>
      </c>
      <c r="J295" s="25" t="s">
        <v>2665</v>
      </c>
      <c r="K295" s="21" t="s">
        <v>2666</v>
      </c>
      <c r="L295" s="21" t="s">
        <v>2667</v>
      </c>
      <c r="M295" s="26" t="s">
        <v>59</v>
      </c>
      <c r="N295" s="30" t="s">
        <v>2668</v>
      </c>
      <c r="O295" s="32" t="s">
        <v>2669</v>
      </c>
      <c r="P295" s="24">
        <v>6.0</v>
      </c>
      <c r="Q295" s="24"/>
      <c r="R295" s="24">
        <v>19.0</v>
      </c>
      <c r="S295" s="24">
        <v>2015.0</v>
      </c>
      <c r="T295" s="21" t="s">
        <v>2670</v>
      </c>
      <c r="U295" s="24">
        <v>20.25</v>
      </c>
      <c r="V295" s="24">
        <v>0.3107791446983011</v>
      </c>
      <c r="W295" s="24">
        <v>1.0</v>
      </c>
      <c r="X295" s="24" t="s">
        <v>4495</v>
      </c>
      <c r="Y295" s="27" t="s">
        <v>4495</v>
      </c>
      <c r="Z295" s="27">
        <v>0.18062650857502485</v>
      </c>
      <c r="AA295" s="27">
        <v>1.0</v>
      </c>
      <c r="AB295" s="27">
        <v>1.0</v>
      </c>
      <c r="AC295" s="27">
        <v>0.6537363612799073</v>
      </c>
      <c r="AD295" s="27">
        <v>0.46053026327174695</v>
      </c>
      <c r="AE295" s="28" t="s">
        <v>4501</v>
      </c>
    </row>
    <row r="296" ht="21.0" customHeight="1">
      <c r="A296" s="10" t="s">
        <v>2383</v>
      </c>
      <c r="B296" s="15" t="s">
        <v>2671</v>
      </c>
      <c r="C296" s="12" t="s">
        <v>2672</v>
      </c>
      <c r="D296" s="13">
        <v>44588.0</v>
      </c>
      <c r="E296" s="14">
        <v>2022.0</v>
      </c>
      <c r="F296" s="15" t="s">
        <v>2386</v>
      </c>
      <c r="G296" s="15" t="s">
        <v>42</v>
      </c>
      <c r="H296" s="14">
        <v>54.0</v>
      </c>
      <c r="I296" s="14">
        <v>524.0</v>
      </c>
      <c r="J296" s="16" t="s">
        <v>2675</v>
      </c>
      <c r="K296" s="15" t="s">
        <v>2676</v>
      </c>
      <c r="L296" s="15" t="s">
        <v>2677</v>
      </c>
      <c r="M296" s="17" t="s">
        <v>59</v>
      </c>
      <c r="N296" s="29" t="s">
        <v>2678</v>
      </c>
      <c r="O296" s="15" t="s">
        <v>613</v>
      </c>
      <c r="P296" s="14">
        <v>1.0</v>
      </c>
      <c r="Q296" s="14"/>
      <c r="R296" s="14">
        <v>31.0</v>
      </c>
      <c r="S296" s="14">
        <v>2022.0</v>
      </c>
      <c r="T296" s="15" t="s">
        <v>2679</v>
      </c>
      <c r="U296" s="14">
        <v>20.4</v>
      </c>
      <c r="V296" s="14">
        <v>0.39104477611940297</v>
      </c>
      <c r="W296" s="14">
        <v>0.0</v>
      </c>
      <c r="X296" s="14" t="s">
        <v>4495</v>
      </c>
      <c r="Y296" s="18" t="s">
        <v>4495</v>
      </c>
      <c r="Z296" s="18">
        <v>0.3454150135275693</v>
      </c>
      <c r="AA296" s="18">
        <v>1.0</v>
      </c>
      <c r="AB296" s="18">
        <v>1.0</v>
      </c>
      <c r="AC296" s="18">
        <v>0.65669871374047</v>
      </c>
      <c r="AD296" s="18">
        <v>0.5020236247559393</v>
      </c>
      <c r="AE296" s="19" t="s">
        <v>4501</v>
      </c>
    </row>
    <row r="297" ht="21.0" customHeight="1">
      <c r="A297" s="20" t="s">
        <v>2383</v>
      </c>
      <c r="B297" s="21" t="s">
        <v>2681</v>
      </c>
      <c r="C297" s="22" t="s">
        <v>2682</v>
      </c>
      <c r="D297" s="23">
        <v>41450.0</v>
      </c>
      <c r="E297" s="24">
        <v>2013.0</v>
      </c>
      <c r="F297" s="21" t="s">
        <v>2398</v>
      </c>
      <c r="G297" s="21" t="s">
        <v>42</v>
      </c>
      <c r="H297" s="24">
        <v>51.0</v>
      </c>
      <c r="I297" s="24">
        <v>322.0</v>
      </c>
      <c r="J297" s="25"/>
      <c r="K297" s="21" t="s">
        <v>2685</v>
      </c>
      <c r="L297" s="21" t="s">
        <v>2686</v>
      </c>
      <c r="M297" s="26" t="s">
        <v>59</v>
      </c>
      <c r="N297" s="30" t="s">
        <v>2687</v>
      </c>
      <c r="O297" s="21" t="s">
        <v>2684</v>
      </c>
      <c r="P297" s="24"/>
      <c r="Q297" s="24"/>
      <c r="R297" s="24">
        <v>25.0</v>
      </c>
      <c r="S297" s="24"/>
      <c r="T297" s="21" t="s">
        <v>2688</v>
      </c>
      <c r="U297" s="24">
        <v>10.5</v>
      </c>
      <c r="V297" s="24">
        <v>0.07190710138454667</v>
      </c>
      <c r="W297" s="24" t="s">
        <v>4495</v>
      </c>
      <c r="X297" s="24" t="s">
        <v>4495</v>
      </c>
      <c r="Y297" s="27" t="s">
        <v>4495</v>
      </c>
      <c r="Z297" s="27">
        <v>0.2726143405923116</v>
      </c>
      <c r="AA297" s="27" t="s">
        <v>4495</v>
      </c>
      <c r="AB297" s="27">
        <v>1.0</v>
      </c>
      <c r="AC297" s="27">
        <v>0.3951485412186882</v>
      </c>
      <c r="AD297" s="27">
        <v>0.2576684392699467</v>
      </c>
      <c r="AE297" s="28" t="s">
        <v>4499</v>
      </c>
    </row>
    <row r="298" ht="21.0" customHeight="1">
      <c r="A298" s="10" t="s">
        <v>2383</v>
      </c>
      <c r="B298" s="15" t="s">
        <v>2689</v>
      </c>
      <c r="C298" s="12" t="s">
        <v>2690</v>
      </c>
      <c r="D298" s="13">
        <v>45267.0</v>
      </c>
      <c r="E298" s="14">
        <v>2023.0</v>
      </c>
      <c r="F298" s="15" t="s">
        <v>2398</v>
      </c>
      <c r="G298" s="15" t="s">
        <v>42</v>
      </c>
      <c r="H298" s="14">
        <v>50.0</v>
      </c>
      <c r="I298" s="14">
        <v>238.0</v>
      </c>
      <c r="J298" s="16" t="s">
        <v>2692</v>
      </c>
      <c r="K298" s="15" t="s">
        <v>2693</v>
      </c>
      <c r="L298" s="15" t="s">
        <v>2694</v>
      </c>
      <c r="M298" s="17" t="s">
        <v>59</v>
      </c>
      <c r="N298" s="29" t="s">
        <v>2695</v>
      </c>
      <c r="O298" s="15" t="s">
        <v>2696</v>
      </c>
      <c r="P298" s="14">
        <v>11.0</v>
      </c>
      <c r="Q298" s="14"/>
      <c r="R298" s="14">
        <v>82.0</v>
      </c>
      <c r="S298" s="14">
        <v>2023.0</v>
      </c>
      <c r="T298" s="15" t="s">
        <v>2697</v>
      </c>
      <c r="U298" s="14">
        <v>12.5</v>
      </c>
      <c r="V298" s="14">
        <v>0.3600605143721634</v>
      </c>
      <c r="W298" s="14">
        <v>0.0</v>
      </c>
      <c r="X298" s="14" t="s">
        <v>4495</v>
      </c>
      <c r="Y298" s="18" t="s">
        <v>4495</v>
      </c>
      <c r="Z298" s="18">
        <v>0.6795841339910054</v>
      </c>
      <c r="AA298" s="18">
        <v>1.0</v>
      </c>
      <c r="AB298" s="18">
        <v>1.0</v>
      </c>
      <c r="AC298" s="18">
        <v>0.4626762130800115</v>
      </c>
      <c r="AD298" s="18">
        <v>0.5661636548057525</v>
      </c>
      <c r="AE298" s="19" t="s">
        <v>4501</v>
      </c>
    </row>
    <row r="299" ht="21.0" customHeight="1">
      <c r="A299" s="20" t="s">
        <v>2383</v>
      </c>
      <c r="B299" s="21" t="s">
        <v>2698</v>
      </c>
      <c r="C299" s="22" t="s">
        <v>2699</v>
      </c>
      <c r="D299" s="23">
        <v>43862.0</v>
      </c>
      <c r="E299" s="24">
        <v>2020.0</v>
      </c>
      <c r="F299" s="21" t="s">
        <v>41</v>
      </c>
      <c r="G299" s="21" t="s">
        <v>42</v>
      </c>
      <c r="H299" s="24">
        <v>49.0</v>
      </c>
      <c r="I299" s="24">
        <v>785.0</v>
      </c>
      <c r="J299" s="25"/>
      <c r="K299" s="21" t="s">
        <v>2701</v>
      </c>
      <c r="L299" s="21" t="s">
        <v>2702</v>
      </c>
      <c r="M299" s="26" t="s">
        <v>59</v>
      </c>
      <c r="N299" s="30" t="s">
        <v>2703</v>
      </c>
      <c r="P299" s="24"/>
      <c r="Q299" s="24"/>
      <c r="R299" s="24">
        <v>136.0</v>
      </c>
      <c r="S299" s="24"/>
      <c r="T299" s="21" t="s">
        <v>2704</v>
      </c>
      <c r="U299" s="24">
        <v>33.5</v>
      </c>
      <c r="V299" s="24">
        <v>0.3799612778315586</v>
      </c>
      <c r="W299" s="24" t="s">
        <v>4495</v>
      </c>
      <c r="X299" s="24" t="s">
        <v>4495</v>
      </c>
      <c r="Y299" s="27" t="s">
        <v>4495</v>
      </c>
      <c r="Z299" s="27">
        <v>0.8552895086758483</v>
      </c>
      <c r="AA299" s="27" t="s">
        <v>4495</v>
      </c>
      <c r="AB299" s="27">
        <v>1.0</v>
      </c>
      <c r="AC299" s="27">
        <v>0.8578247542986999</v>
      </c>
      <c r="AD299" s="27">
        <v>0.44960485259883204</v>
      </c>
      <c r="AE299" s="28" t="s">
        <v>4499</v>
      </c>
    </row>
    <row r="300" ht="21.0" customHeight="1">
      <c r="A300" s="10" t="s">
        <v>2383</v>
      </c>
      <c r="B300" s="15" t="s">
        <v>2705</v>
      </c>
      <c r="C300" s="12" t="s">
        <v>2706</v>
      </c>
      <c r="D300" s="13">
        <v>42625.0</v>
      </c>
      <c r="E300" s="14">
        <v>2016.0</v>
      </c>
      <c r="F300" s="15" t="s">
        <v>41</v>
      </c>
      <c r="G300" s="15" t="s">
        <v>1119</v>
      </c>
      <c r="H300" s="14">
        <v>49.0</v>
      </c>
      <c r="I300" s="14">
        <v>1394.0</v>
      </c>
      <c r="J300" s="16" t="s">
        <v>2709</v>
      </c>
      <c r="K300" s="15" t="s">
        <v>2710</v>
      </c>
      <c r="L300" s="15" t="s">
        <v>2711</v>
      </c>
      <c r="M300" s="17" t="s">
        <v>59</v>
      </c>
      <c r="N300" s="29" t="s">
        <v>2712</v>
      </c>
      <c r="O300" s="15" t="s">
        <v>2713</v>
      </c>
      <c r="P300" s="14"/>
      <c r="Q300" s="14"/>
      <c r="R300" s="14">
        <v>15.0</v>
      </c>
      <c r="S300" s="14">
        <v>2016.0</v>
      </c>
      <c r="T300" s="15" t="s">
        <v>2714</v>
      </c>
      <c r="U300" s="14">
        <v>17.2</v>
      </c>
      <c r="V300" s="14">
        <v>0.42204056917953375</v>
      </c>
      <c r="W300" s="14">
        <v>0.0</v>
      </c>
      <c r="X300" s="14" t="s">
        <v>4495</v>
      </c>
      <c r="Y300" s="18" t="s">
        <v>4495</v>
      </c>
      <c r="Z300" s="18">
        <v>0.10238989523252559</v>
      </c>
      <c r="AA300" s="18">
        <v>1.0</v>
      </c>
      <c r="AB300" s="18">
        <v>1.0</v>
      </c>
      <c r="AC300" s="18">
        <v>0.5884859729385399</v>
      </c>
      <c r="AD300" s="18">
        <v>0.4344460711019854</v>
      </c>
      <c r="AE300" s="19" t="s">
        <v>4500</v>
      </c>
    </row>
    <row r="301" ht="21.0" customHeight="1">
      <c r="A301" s="20" t="s">
        <v>2383</v>
      </c>
      <c r="B301" s="21" t="s">
        <v>2716</v>
      </c>
      <c r="C301" s="22" t="s">
        <v>2717</v>
      </c>
      <c r="D301" s="23">
        <v>42233.0</v>
      </c>
      <c r="E301" s="24">
        <v>2015.0</v>
      </c>
      <c r="F301" s="21" t="s">
        <v>2417</v>
      </c>
      <c r="G301" s="21" t="s">
        <v>42</v>
      </c>
      <c r="H301" s="24">
        <v>48.0</v>
      </c>
      <c r="I301" s="24">
        <v>380.0</v>
      </c>
      <c r="J301" s="25"/>
      <c r="K301" s="21" t="s">
        <v>2720</v>
      </c>
      <c r="L301" s="21" t="s">
        <v>2721</v>
      </c>
      <c r="M301" s="26" t="s">
        <v>59</v>
      </c>
      <c r="N301" s="30" t="s">
        <v>2722</v>
      </c>
      <c r="P301" s="24"/>
      <c r="Q301" s="24"/>
      <c r="R301" s="24">
        <v>56.0</v>
      </c>
      <c r="S301" s="24"/>
      <c r="T301" s="21" t="s">
        <v>2723</v>
      </c>
      <c r="U301" s="24">
        <v>34.75</v>
      </c>
      <c r="V301" s="24">
        <v>0.10284167794316644</v>
      </c>
      <c r="W301" s="24" t="s">
        <v>4495</v>
      </c>
      <c r="X301" s="24" t="s">
        <v>4495</v>
      </c>
      <c r="Y301" s="27" t="s">
        <v>4495</v>
      </c>
      <c r="Z301" s="27">
        <v>0.5478282077467163</v>
      </c>
      <c r="AA301" s="27" t="s">
        <v>4495</v>
      </c>
      <c r="AB301" s="27">
        <v>1.0</v>
      </c>
      <c r="AC301" s="27">
        <v>0.872813739830639</v>
      </c>
      <c r="AD301" s="27">
        <v>0.374238425919743</v>
      </c>
      <c r="AE301" s="28" t="s">
        <v>4499</v>
      </c>
    </row>
    <row r="302" ht="21.0" customHeight="1">
      <c r="A302" s="10" t="s">
        <v>2383</v>
      </c>
      <c r="B302" s="15" t="s">
        <v>2725</v>
      </c>
      <c r="C302" s="12" t="s">
        <v>2726</v>
      </c>
      <c r="D302" s="13">
        <v>40748.0</v>
      </c>
      <c r="E302" s="14">
        <v>2011.0</v>
      </c>
      <c r="F302" s="15" t="s">
        <v>2417</v>
      </c>
      <c r="G302" s="15" t="s">
        <v>42</v>
      </c>
      <c r="H302" s="14">
        <v>47.0</v>
      </c>
      <c r="I302" s="14">
        <v>241.0</v>
      </c>
      <c r="J302" s="16"/>
      <c r="K302" s="15" t="s">
        <v>2729</v>
      </c>
      <c r="L302" s="15" t="s">
        <v>2730</v>
      </c>
      <c r="M302" s="17" t="s">
        <v>31</v>
      </c>
      <c r="N302" s="29"/>
      <c r="P302" s="14"/>
      <c r="Q302" s="14"/>
      <c r="R302" s="14">
        <v>39.0</v>
      </c>
      <c r="S302" s="14"/>
      <c r="T302" s="15" t="s">
        <v>2731</v>
      </c>
      <c r="U302" s="14">
        <v>25.5</v>
      </c>
      <c r="V302" s="14">
        <v>0.046525096525096524</v>
      </c>
      <c r="W302" s="14" t="s">
        <v>4495</v>
      </c>
      <c r="X302" s="14" t="s">
        <v>4495</v>
      </c>
      <c r="Y302" s="18" t="s">
        <v>4495</v>
      </c>
      <c r="Z302" s="18">
        <v>0.4236516268700686</v>
      </c>
      <c r="AA302" s="18" t="s">
        <v>4495</v>
      </c>
      <c r="AB302" s="18">
        <v>1.0</v>
      </c>
      <c r="AC302" s="18">
        <v>0.7467202844151569</v>
      </c>
      <c r="AD302" s="18">
        <v>0.33058493515903287</v>
      </c>
      <c r="AE302" s="19" t="s">
        <v>4497</v>
      </c>
    </row>
    <row r="303" ht="21.0" customHeight="1">
      <c r="A303" s="20" t="s">
        <v>2383</v>
      </c>
      <c r="B303" s="21" t="s">
        <v>2732</v>
      </c>
      <c r="C303" s="22" t="s">
        <v>2733</v>
      </c>
      <c r="D303" s="23">
        <v>43381.0</v>
      </c>
      <c r="E303" s="24">
        <v>2018.0</v>
      </c>
      <c r="F303" s="21" t="s">
        <v>2417</v>
      </c>
      <c r="G303" s="21" t="s">
        <v>42</v>
      </c>
      <c r="H303" s="24">
        <v>46.0</v>
      </c>
      <c r="I303" s="24">
        <v>298.0</v>
      </c>
      <c r="J303" s="25" t="s">
        <v>2736</v>
      </c>
      <c r="K303" s="21" t="s">
        <v>2737</v>
      </c>
      <c r="L303" s="21" t="s">
        <v>2738</v>
      </c>
      <c r="M303" s="26" t="s">
        <v>59</v>
      </c>
      <c r="N303" s="30" t="s">
        <v>2739</v>
      </c>
      <c r="P303" s="24"/>
      <c r="Q303" s="24"/>
      <c r="R303" s="24">
        <v>63.0</v>
      </c>
      <c r="S303" s="24">
        <v>2018.0</v>
      </c>
      <c r="T303" s="21" t="s">
        <v>2740</v>
      </c>
      <c r="U303" s="24">
        <v>21.8571428571428</v>
      </c>
      <c r="V303" s="24">
        <v>0.11700039261876717</v>
      </c>
      <c r="W303" s="24">
        <v>0.0</v>
      </c>
      <c r="X303" s="24" t="s">
        <v>4495</v>
      </c>
      <c r="Y303" s="27" t="s">
        <v>4495</v>
      </c>
      <c r="Z303" s="27">
        <v>0.5884401318226129</v>
      </c>
      <c r="AA303" s="27">
        <v>1.0</v>
      </c>
      <c r="AB303" s="27">
        <v>1.0</v>
      </c>
      <c r="AC303" s="27">
        <v>0.6844407589762704</v>
      </c>
      <c r="AD303" s="27">
        <v>0.5655541088532803</v>
      </c>
      <c r="AE303" s="28" t="s">
        <v>4501</v>
      </c>
    </row>
    <row r="304" ht="21.0" customHeight="1">
      <c r="A304" s="10" t="s">
        <v>2383</v>
      </c>
      <c r="B304" s="15" t="s">
        <v>2742</v>
      </c>
      <c r="C304" s="12" t="s">
        <v>2743</v>
      </c>
      <c r="D304" s="13">
        <v>43210.0</v>
      </c>
      <c r="E304" s="14">
        <v>2018.0</v>
      </c>
      <c r="F304" s="15" t="s">
        <v>2398</v>
      </c>
      <c r="G304" s="15" t="s">
        <v>42</v>
      </c>
      <c r="H304" s="14">
        <v>45.0</v>
      </c>
      <c r="I304" s="14">
        <v>513.0</v>
      </c>
      <c r="J304" s="16" t="s">
        <v>2746</v>
      </c>
      <c r="K304" s="15" t="s">
        <v>2747</v>
      </c>
      <c r="L304" s="15" t="s">
        <v>2748</v>
      </c>
      <c r="M304" s="17" t="s">
        <v>59</v>
      </c>
      <c r="N304" s="29" t="s">
        <v>2749</v>
      </c>
      <c r="O304" s="15" t="s">
        <v>2750</v>
      </c>
      <c r="P304" s="14">
        <v>12.0</v>
      </c>
      <c r="Q304" s="14"/>
      <c r="R304" s="14">
        <v>79.0</v>
      </c>
      <c r="S304" s="14">
        <v>2018.0</v>
      </c>
      <c r="T304" s="15" t="s">
        <v>2751</v>
      </c>
      <c r="U304" s="14">
        <v>31.6666666666666</v>
      </c>
      <c r="V304" s="14">
        <v>0.18874172185430463</v>
      </c>
      <c r="W304" s="14">
        <v>0.0</v>
      </c>
      <c r="X304" s="14" t="s">
        <v>4495</v>
      </c>
      <c r="Y304" s="18" t="s">
        <v>4495</v>
      </c>
      <c r="Z304" s="18">
        <v>0.6666767451651121</v>
      </c>
      <c r="AA304" s="18">
        <v>1.0</v>
      </c>
      <c r="AB304" s="18">
        <v>1.0</v>
      </c>
      <c r="AC304" s="18">
        <v>0.8348284395711555</v>
      </c>
      <c r="AD304" s="18">
        <v>0.6001520302483936</v>
      </c>
      <c r="AE304" s="19" t="s">
        <v>4501</v>
      </c>
    </row>
    <row r="305" ht="21.0" customHeight="1">
      <c r="A305" s="20" t="s">
        <v>2383</v>
      </c>
      <c r="B305" s="21" t="s">
        <v>2753</v>
      </c>
      <c r="C305" s="22" t="s">
        <v>2754</v>
      </c>
      <c r="D305" s="23"/>
      <c r="E305" s="24"/>
      <c r="F305" s="21" t="s">
        <v>2386</v>
      </c>
      <c r="G305" s="21" t="s">
        <v>42</v>
      </c>
      <c r="H305" s="24">
        <v>45.0</v>
      </c>
      <c r="I305" s="24">
        <v>442.0</v>
      </c>
      <c r="J305" s="25" t="s">
        <v>2756</v>
      </c>
      <c r="K305" s="21" t="s">
        <v>2757</v>
      </c>
      <c r="L305" s="21" t="s">
        <v>2758</v>
      </c>
      <c r="M305" s="26" t="s">
        <v>59</v>
      </c>
      <c r="N305" s="30" t="s">
        <v>2759</v>
      </c>
      <c r="O305" s="21" t="s">
        <v>2760</v>
      </c>
      <c r="P305" s="24">
        <v>21.0</v>
      </c>
      <c r="Q305" s="24"/>
      <c r="R305" s="24">
        <v>74.0</v>
      </c>
      <c r="S305" s="24">
        <v>2020.0</v>
      </c>
      <c r="T305" s="21" t="s">
        <v>2761</v>
      </c>
      <c r="U305" s="24">
        <v>31.8</v>
      </c>
      <c r="V305" s="24" t="s">
        <v>4495</v>
      </c>
      <c r="W305" s="24" t="s">
        <v>4495</v>
      </c>
      <c r="X305" s="24" t="s">
        <v>4495</v>
      </c>
      <c r="Y305" s="27" t="s">
        <v>4495</v>
      </c>
      <c r="Z305" s="27">
        <v>0.6440488211484913</v>
      </c>
      <c r="AA305" s="27" t="s">
        <v>4495</v>
      </c>
      <c r="AB305" s="27" t="s">
        <v>4495</v>
      </c>
      <c r="AC305" s="27">
        <v>0.8365439044211616</v>
      </c>
      <c r="AD305" s="27">
        <v>0.244666595729239</v>
      </c>
      <c r="AE305" s="28" t="s">
        <v>4501</v>
      </c>
    </row>
    <row r="306" ht="21.0" customHeight="1">
      <c r="A306" s="10" t="s">
        <v>2383</v>
      </c>
      <c r="B306" s="15" t="s">
        <v>2763</v>
      </c>
      <c r="C306" s="12" t="s">
        <v>2764</v>
      </c>
      <c r="D306" s="13">
        <v>44115.0</v>
      </c>
      <c r="E306" s="14">
        <v>2020.0</v>
      </c>
      <c r="F306" s="15" t="s">
        <v>2398</v>
      </c>
      <c r="G306" s="15" t="s">
        <v>42</v>
      </c>
      <c r="H306" s="14">
        <v>44.0</v>
      </c>
      <c r="I306" s="14">
        <v>233.0</v>
      </c>
      <c r="J306" s="16" t="s">
        <v>2767</v>
      </c>
      <c r="K306" s="15" t="s">
        <v>2768</v>
      </c>
      <c r="L306" s="15" t="s">
        <v>2769</v>
      </c>
      <c r="M306" s="17" t="s">
        <v>59</v>
      </c>
      <c r="N306" s="29" t="s">
        <v>2770</v>
      </c>
      <c r="O306" s="15" t="s">
        <v>2771</v>
      </c>
      <c r="P306" s="14">
        <v>5.0</v>
      </c>
      <c r="Q306" s="14"/>
      <c r="R306" s="14">
        <v>35.0</v>
      </c>
      <c r="S306" s="14">
        <v>2020.0</v>
      </c>
      <c r="T306" s="15" t="s">
        <v>2772</v>
      </c>
      <c r="U306" s="14">
        <v>7.33333333333333</v>
      </c>
      <c r="V306" s="14">
        <v>0.12851627137341423</v>
      </c>
      <c r="W306" s="14">
        <v>0.0</v>
      </c>
      <c r="X306" s="14" t="s">
        <v>4495</v>
      </c>
      <c r="Y306" s="18" t="s">
        <v>4495</v>
      </c>
      <c r="Z306" s="18">
        <v>0.3867110571043727</v>
      </c>
      <c r="AA306" s="18">
        <v>1.0</v>
      </c>
      <c r="AB306" s="18">
        <v>1.0</v>
      </c>
      <c r="AC306" s="18">
        <v>0.2595043515184367</v>
      </c>
      <c r="AD306" s="18">
        <v>0.4726281994279369</v>
      </c>
      <c r="AE306" s="19" t="s">
        <v>4501</v>
      </c>
    </row>
    <row r="307" ht="21.0" customHeight="1">
      <c r="A307" s="20" t="s">
        <v>2383</v>
      </c>
      <c r="B307" s="21" t="s">
        <v>2773</v>
      </c>
      <c r="C307" s="22" t="s">
        <v>2774</v>
      </c>
      <c r="D307" s="23">
        <v>42548.0</v>
      </c>
      <c r="E307" s="24">
        <v>2016.0</v>
      </c>
      <c r="F307" s="21" t="s">
        <v>2398</v>
      </c>
      <c r="G307" s="21" t="s">
        <v>42</v>
      </c>
      <c r="H307" s="24">
        <v>44.0</v>
      </c>
      <c r="I307" s="24">
        <v>413.0</v>
      </c>
      <c r="J307" s="25"/>
      <c r="K307" s="21" t="s">
        <v>2777</v>
      </c>
      <c r="L307" s="21" t="s">
        <v>2778</v>
      </c>
      <c r="M307" s="26" t="s">
        <v>31</v>
      </c>
      <c r="N307" s="25"/>
      <c r="O307" s="21" t="s">
        <v>2779</v>
      </c>
      <c r="P307" s="24">
        <v>10.0</v>
      </c>
      <c r="Q307" s="24"/>
      <c r="R307" s="24">
        <v>48.0</v>
      </c>
      <c r="S307" s="24"/>
      <c r="T307" s="21" t="s">
        <v>2780</v>
      </c>
      <c r="U307" s="24">
        <v>25.0</v>
      </c>
      <c r="V307" s="24">
        <v>0.12218934911242603</v>
      </c>
      <c r="W307" s="24" t="s">
        <v>4495</v>
      </c>
      <c r="X307" s="24" t="s">
        <v>4495</v>
      </c>
      <c r="Y307" s="27" t="s">
        <v>4495</v>
      </c>
      <c r="Z307" s="27">
        <v>0.49480494611079556</v>
      </c>
      <c r="AA307" s="27" t="s">
        <v>4495</v>
      </c>
      <c r="AB307" s="27">
        <v>1.0</v>
      </c>
      <c r="AC307" s="27">
        <v>0.7386982125651004</v>
      </c>
      <c r="AD307" s="27">
        <v>0.34757105778420894</v>
      </c>
      <c r="AE307" s="28" t="s">
        <v>4497</v>
      </c>
    </row>
    <row r="308" ht="21.0" customHeight="1">
      <c r="A308" s="10" t="s">
        <v>2383</v>
      </c>
      <c r="B308" s="15" t="s">
        <v>2781</v>
      </c>
      <c r="C308" s="12" t="s">
        <v>2782</v>
      </c>
      <c r="D308" s="13">
        <v>43976.0</v>
      </c>
      <c r="E308" s="14">
        <v>2020.0</v>
      </c>
      <c r="F308" s="15" t="s">
        <v>2386</v>
      </c>
      <c r="G308" s="15" t="s">
        <v>42</v>
      </c>
      <c r="H308" s="14">
        <v>44.0</v>
      </c>
      <c r="I308" s="14">
        <v>365.0</v>
      </c>
      <c r="J308" s="16" t="s">
        <v>2785</v>
      </c>
      <c r="K308" s="15" t="s">
        <v>2786</v>
      </c>
      <c r="M308" s="17" t="s">
        <v>31</v>
      </c>
      <c r="N308" s="29"/>
      <c r="O308" s="15" t="s">
        <v>2787</v>
      </c>
      <c r="P308" s="14">
        <v>31.0</v>
      </c>
      <c r="Q308" s="14"/>
      <c r="R308" s="14">
        <v>5.0</v>
      </c>
      <c r="S308" s="14">
        <v>2020.0</v>
      </c>
      <c r="T308" s="15" t="s">
        <v>2788</v>
      </c>
      <c r="U308" s="14">
        <v>31.735294117647</v>
      </c>
      <c r="V308" s="14">
        <v>0.1869877049180328</v>
      </c>
      <c r="W308" s="14">
        <v>0.0</v>
      </c>
      <c r="X308" s="14" t="s">
        <v>4495</v>
      </c>
      <c r="Y308" s="18" t="s">
        <v>4495</v>
      </c>
      <c r="Z308" s="18">
        <v>0.0</v>
      </c>
      <c r="AA308" s="18">
        <v>1.0</v>
      </c>
      <c r="AB308" s="18">
        <v>1.0</v>
      </c>
      <c r="AC308" s="18">
        <v>0.8357122720852015</v>
      </c>
      <c r="AD308" s="18">
        <v>0.43357122720852015</v>
      </c>
      <c r="AE308" s="19" t="s">
        <v>4497</v>
      </c>
    </row>
    <row r="309" ht="21.0" customHeight="1">
      <c r="A309" s="20" t="s">
        <v>2383</v>
      </c>
      <c r="B309" s="21" t="s">
        <v>2790</v>
      </c>
      <c r="C309" s="22" t="s">
        <v>2791</v>
      </c>
      <c r="D309" s="23">
        <v>42787.0</v>
      </c>
      <c r="E309" s="24">
        <v>2017.0</v>
      </c>
      <c r="F309" s="21" t="s">
        <v>2386</v>
      </c>
      <c r="G309" s="21" t="s">
        <v>1801</v>
      </c>
      <c r="H309" s="24">
        <v>43.0</v>
      </c>
      <c r="I309" s="24">
        <v>723.0</v>
      </c>
      <c r="J309" s="25" t="s">
        <v>2794</v>
      </c>
      <c r="K309" s="21" t="s">
        <v>2795</v>
      </c>
      <c r="M309" s="26" t="s">
        <v>31</v>
      </c>
      <c r="N309" s="30"/>
      <c r="P309" s="24"/>
      <c r="Q309" s="24"/>
      <c r="R309" s="24">
        <v>41.0</v>
      </c>
      <c r="S309" s="24">
        <v>2017.0</v>
      </c>
      <c r="T309" s="21" t="s">
        <v>2796</v>
      </c>
      <c r="U309" s="24">
        <v>41.4</v>
      </c>
      <c r="V309" s="24">
        <v>0.23018147086914995</v>
      </c>
      <c r="W309" s="24">
        <v>0.0</v>
      </c>
      <c r="X309" s="24" t="s">
        <v>4495</v>
      </c>
      <c r="Y309" s="27" t="s">
        <v>4495</v>
      </c>
      <c r="Z309" s="27">
        <v>0.4407580016075842</v>
      </c>
      <c r="AA309" s="27">
        <v>1.0</v>
      </c>
      <c r="AB309" s="27">
        <v>1.0</v>
      </c>
      <c r="AC309" s="27">
        <v>0.9446604508927349</v>
      </c>
      <c r="AD309" s="27">
        <v>0.5546555454911696</v>
      </c>
      <c r="AE309" s="28" t="s">
        <v>4497</v>
      </c>
    </row>
    <row r="310" ht="21.0" customHeight="1">
      <c r="A310" s="10" t="s">
        <v>2383</v>
      </c>
      <c r="B310" s="15" t="s">
        <v>2798</v>
      </c>
      <c r="C310" s="12" t="s">
        <v>2799</v>
      </c>
      <c r="D310" s="13"/>
      <c r="E310" s="14"/>
      <c r="F310" s="15" t="s">
        <v>2398</v>
      </c>
      <c r="G310" s="15" t="s">
        <v>42</v>
      </c>
      <c r="H310" s="14">
        <v>43.0</v>
      </c>
      <c r="I310" s="14">
        <v>333.0</v>
      </c>
      <c r="J310" s="16" t="s">
        <v>2801</v>
      </c>
      <c r="K310" s="15" t="s">
        <v>2802</v>
      </c>
      <c r="L310" s="15" t="s">
        <v>2803</v>
      </c>
      <c r="M310" s="17" t="s">
        <v>59</v>
      </c>
      <c r="N310" s="29" t="s">
        <v>2804</v>
      </c>
      <c r="O310" s="31"/>
      <c r="P310" s="14"/>
      <c r="Q310" s="14"/>
      <c r="R310" s="14">
        <v>48.0</v>
      </c>
      <c r="S310" s="14"/>
      <c r="T310" s="15" t="s">
        <v>2805</v>
      </c>
      <c r="U310" s="14">
        <v>21.8571428571428</v>
      </c>
      <c r="V310" s="14" t="s">
        <v>4495</v>
      </c>
      <c r="W310" s="14" t="s">
        <v>4495</v>
      </c>
      <c r="X310" s="14" t="s">
        <v>4495</v>
      </c>
      <c r="Y310" s="18" t="s">
        <v>4495</v>
      </c>
      <c r="Z310" s="18">
        <v>0.49480494611079556</v>
      </c>
      <c r="AA310" s="18" t="s">
        <v>4495</v>
      </c>
      <c r="AB310" s="18" t="s">
        <v>4495</v>
      </c>
      <c r="AC310" s="18">
        <v>0.6844407589762704</v>
      </c>
      <c r="AD310" s="18">
        <v>0.19214531242532595</v>
      </c>
      <c r="AE310" s="19" t="s">
        <v>4501</v>
      </c>
    </row>
    <row r="311" ht="21.0" customHeight="1">
      <c r="A311" s="20" t="s">
        <v>2383</v>
      </c>
      <c r="B311" s="21" t="s">
        <v>2806</v>
      </c>
      <c r="C311" s="22" t="s">
        <v>2807</v>
      </c>
      <c r="D311" s="23">
        <v>43276.0</v>
      </c>
      <c r="E311" s="24">
        <v>2018.0</v>
      </c>
      <c r="F311" s="21" t="s">
        <v>2398</v>
      </c>
      <c r="G311" s="21" t="s">
        <v>42</v>
      </c>
      <c r="H311" s="24">
        <v>42.0</v>
      </c>
      <c r="I311" s="24">
        <v>223.0</v>
      </c>
      <c r="J311" s="25" t="s">
        <v>2810</v>
      </c>
      <c r="K311" s="21" t="s">
        <v>2811</v>
      </c>
      <c r="L311" s="21" t="s">
        <v>2812</v>
      </c>
      <c r="M311" s="26" t="s">
        <v>59</v>
      </c>
      <c r="N311" s="30" t="s">
        <v>2813</v>
      </c>
      <c r="O311" s="21" t="s">
        <v>2226</v>
      </c>
      <c r="P311" s="24">
        <v>6.0</v>
      </c>
      <c r="Q311" s="24"/>
      <c r="R311" s="24">
        <v>20.0</v>
      </c>
      <c r="S311" s="24">
        <v>2017.0</v>
      </c>
      <c r="T311" s="21" t="s">
        <v>2814</v>
      </c>
      <c r="U311" s="24">
        <v>45.0</v>
      </c>
      <c r="V311" s="24">
        <v>0.08408748114630468</v>
      </c>
      <c r="W311" s="24">
        <v>1.0</v>
      </c>
      <c r="X311" s="24" t="s">
        <v>4495</v>
      </c>
      <c r="Y311" s="27" t="s">
        <v>4495</v>
      </c>
      <c r="Z311" s="27">
        <v>0.19773288331254052</v>
      </c>
      <c r="AA311" s="27">
        <v>1.0</v>
      </c>
      <c r="AB311" s="27">
        <v>1.0</v>
      </c>
      <c r="AC311" s="27">
        <v>0.9789809194225819</v>
      </c>
      <c r="AD311" s="27">
        <v>0.49733131277039333</v>
      </c>
      <c r="AE311" s="28" t="s">
        <v>4501</v>
      </c>
    </row>
    <row r="312" ht="21.0" customHeight="1">
      <c r="A312" s="10" t="s">
        <v>2383</v>
      </c>
      <c r="B312" s="15" t="s">
        <v>2815</v>
      </c>
      <c r="C312" s="12" t="s">
        <v>2816</v>
      </c>
      <c r="D312" s="13">
        <v>41487.0</v>
      </c>
      <c r="E312" s="14">
        <v>2013.0</v>
      </c>
      <c r="F312" s="15" t="s">
        <v>2386</v>
      </c>
      <c r="G312" s="15" t="s">
        <v>42</v>
      </c>
      <c r="H312" s="14">
        <v>40.0</v>
      </c>
      <c r="I312" s="14">
        <v>452.0</v>
      </c>
      <c r="J312" s="16"/>
      <c r="K312" s="15" t="s">
        <v>2818</v>
      </c>
      <c r="L312" s="15" t="s">
        <v>2819</v>
      </c>
      <c r="M312" s="17" t="s">
        <v>59</v>
      </c>
      <c r="N312" s="16" t="s">
        <v>2820</v>
      </c>
      <c r="P312" s="14"/>
      <c r="Q312" s="14"/>
      <c r="R312" s="14">
        <v>25.0</v>
      </c>
      <c r="S312" s="14"/>
      <c r="T312" s="15" t="s">
        <v>2821</v>
      </c>
      <c r="U312" s="14">
        <v>27.3333333333333</v>
      </c>
      <c r="V312" s="14">
        <v>0.10177887863093897</v>
      </c>
      <c r="W312" s="14" t="s">
        <v>4495</v>
      </c>
      <c r="X312" s="14" t="s">
        <v>4495</v>
      </c>
      <c r="Y312" s="18" t="s">
        <v>4495</v>
      </c>
      <c r="Z312" s="18">
        <v>0.2726143405923116</v>
      </c>
      <c r="AA312" s="18" t="s">
        <v>4495</v>
      </c>
      <c r="AB312" s="18">
        <v>1.0</v>
      </c>
      <c r="AC312" s="18">
        <v>0.774892526403789</v>
      </c>
      <c r="AD312" s="18">
        <v>0.2956428377884568</v>
      </c>
      <c r="AE312" s="19" t="s">
        <v>4499</v>
      </c>
    </row>
    <row r="313" ht="21.0" customHeight="1">
      <c r="A313" s="20" t="s">
        <v>2383</v>
      </c>
      <c r="B313" s="21" t="s">
        <v>2822</v>
      </c>
      <c r="C313" s="22" t="s">
        <v>2823</v>
      </c>
      <c r="D313" s="23">
        <v>42075.0</v>
      </c>
      <c r="E313" s="24">
        <v>2015.0</v>
      </c>
      <c r="F313" s="21" t="s">
        <v>2825</v>
      </c>
      <c r="G313" s="21" t="s">
        <v>42</v>
      </c>
      <c r="H313" s="24">
        <v>37.0</v>
      </c>
      <c r="I313" s="24">
        <v>304.0</v>
      </c>
      <c r="J313" s="25"/>
      <c r="K313" s="21" t="s">
        <v>2827</v>
      </c>
      <c r="L313" s="21" t="s">
        <v>2828</v>
      </c>
      <c r="M313" s="26" t="s">
        <v>31</v>
      </c>
      <c r="N313" s="25"/>
      <c r="O313" s="21" t="s">
        <v>2829</v>
      </c>
      <c r="P313" s="24">
        <v>5.0</v>
      </c>
      <c r="Q313" s="24"/>
      <c r="R313" s="24">
        <v>13.0</v>
      </c>
      <c r="S313" s="24"/>
      <c r="T313" s="21" t="s">
        <v>2830</v>
      </c>
      <c r="U313" s="24">
        <v>15.0</v>
      </c>
      <c r="V313" s="24">
        <v>0.07889955878536206</v>
      </c>
      <c r="W313" s="24" t="s">
        <v>4495</v>
      </c>
      <c r="X313" s="24" t="s">
        <v>4495</v>
      </c>
      <c r="Y313" s="27" t="s">
        <v>4495</v>
      </c>
      <c r="Z313" s="27">
        <v>0.055572302376616874</v>
      </c>
      <c r="AA313" s="27" t="s">
        <v>4495</v>
      </c>
      <c r="AB313" s="27">
        <v>1.0</v>
      </c>
      <c r="AC313" s="27">
        <v>0.5342285193497109</v>
      </c>
      <c r="AD313" s="27">
        <v>0.21731592752912532</v>
      </c>
      <c r="AE313" s="28" t="s">
        <v>4497</v>
      </c>
    </row>
    <row r="314" ht="21.0" customHeight="1">
      <c r="A314" s="10" t="s">
        <v>2383</v>
      </c>
      <c r="B314" s="15" t="s">
        <v>2831</v>
      </c>
      <c r="C314" s="12" t="s">
        <v>2832</v>
      </c>
      <c r="D314" s="13">
        <v>41371.0</v>
      </c>
      <c r="E314" s="14">
        <v>2013.0</v>
      </c>
      <c r="F314" s="15" t="s">
        <v>2398</v>
      </c>
      <c r="G314" s="15" t="s">
        <v>42</v>
      </c>
      <c r="H314" s="14">
        <v>37.0</v>
      </c>
      <c r="I314" s="14">
        <v>305.0</v>
      </c>
      <c r="J314" s="16"/>
      <c r="K314" s="15" t="s">
        <v>2834</v>
      </c>
      <c r="L314" s="15" t="s">
        <v>2835</v>
      </c>
      <c r="M314" s="17" t="s">
        <v>31</v>
      </c>
      <c r="N314" s="29"/>
      <c r="O314" s="15" t="s">
        <v>2836</v>
      </c>
      <c r="P314" s="14">
        <v>6.0</v>
      </c>
      <c r="Q314" s="14"/>
      <c r="R314" s="14">
        <v>43.0</v>
      </c>
      <c r="S314" s="14"/>
      <c r="T314" s="15" t="s">
        <v>2837</v>
      </c>
      <c r="U314" s="14">
        <v>36.5</v>
      </c>
      <c r="V314" s="14">
        <v>0.06692999780557385</v>
      </c>
      <c r="W314" s="14" t="s">
        <v>4495</v>
      </c>
      <c r="X314" s="14" t="s">
        <v>4495</v>
      </c>
      <c r="Y314" s="18" t="s">
        <v>4495</v>
      </c>
      <c r="Z314" s="18">
        <v>0.4570684369953818</v>
      </c>
      <c r="AA314" s="18" t="s">
        <v>4495</v>
      </c>
      <c r="AB314" s="18">
        <v>1.0</v>
      </c>
      <c r="AC314" s="18">
        <v>0.8929405885765132</v>
      </c>
      <c r="AD314" s="18">
        <v>0.35356116810649674</v>
      </c>
      <c r="AE314" s="19" t="s">
        <v>4497</v>
      </c>
    </row>
    <row r="315" ht="21.0" customHeight="1">
      <c r="A315" s="20" t="s">
        <v>2383</v>
      </c>
      <c r="B315" s="21" t="s">
        <v>2838</v>
      </c>
      <c r="C315" s="22" t="s">
        <v>2839</v>
      </c>
      <c r="D315" s="23">
        <v>40791.0</v>
      </c>
      <c r="E315" s="24">
        <v>2011.0</v>
      </c>
      <c r="F315" s="21" t="s">
        <v>2386</v>
      </c>
      <c r="G315" s="21" t="s">
        <v>232</v>
      </c>
      <c r="H315" s="24">
        <v>37.0</v>
      </c>
      <c r="I315" s="24">
        <v>401.0</v>
      </c>
      <c r="J315" s="25"/>
      <c r="K315" s="21" t="s">
        <v>2842</v>
      </c>
      <c r="L315" s="21" t="s">
        <v>2843</v>
      </c>
      <c r="M315" s="26" t="s">
        <v>31</v>
      </c>
      <c r="N315" s="25"/>
      <c r="O315" s="21" t="s">
        <v>2844</v>
      </c>
      <c r="P315" s="24">
        <v>11.0</v>
      </c>
      <c r="Q315" s="24"/>
      <c r="R315" s="24">
        <v>43.0</v>
      </c>
      <c r="S315" s="24"/>
      <c r="T315" s="21" t="s">
        <v>2845</v>
      </c>
      <c r="U315" s="24">
        <v>40.5</v>
      </c>
      <c r="V315" s="24">
        <v>0.07806112517033288</v>
      </c>
      <c r="W315" s="24" t="s">
        <v>4495</v>
      </c>
      <c r="X315" s="24" t="s">
        <v>4495</v>
      </c>
      <c r="Y315" s="27" t="s">
        <v>4495</v>
      </c>
      <c r="Z315" s="27">
        <v>0.4570684369953818</v>
      </c>
      <c r="AA315" s="27" t="s">
        <v>4495</v>
      </c>
      <c r="AB315" s="27">
        <v>1.0</v>
      </c>
      <c r="AC315" s="27">
        <v>0.9356247900134134</v>
      </c>
      <c r="AD315" s="27">
        <v>0.3578295882501868</v>
      </c>
      <c r="AE315" s="28" t="s">
        <v>4497</v>
      </c>
    </row>
    <row r="316" ht="21.0" customHeight="1">
      <c r="A316" s="10" t="s">
        <v>2383</v>
      </c>
      <c r="B316" s="15" t="s">
        <v>2847</v>
      </c>
      <c r="C316" s="12" t="s">
        <v>2848</v>
      </c>
      <c r="D316" s="13">
        <v>44341.0</v>
      </c>
      <c r="E316" s="14">
        <v>2021.0</v>
      </c>
      <c r="F316" s="15" t="s">
        <v>118</v>
      </c>
      <c r="G316" s="15" t="s">
        <v>42</v>
      </c>
      <c r="H316" s="14">
        <v>36.0</v>
      </c>
      <c r="I316" s="14">
        <v>148.0</v>
      </c>
      <c r="J316" s="16" t="s">
        <v>2849</v>
      </c>
      <c r="K316" s="15" t="s">
        <v>2850</v>
      </c>
      <c r="L316" s="15" t="s">
        <v>2851</v>
      </c>
      <c r="M316" s="17" t="s">
        <v>59</v>
      </c>
      <c r="N316" s="16" t="s">
        <v>2852</v>
      </c>
      <c r="P316" s="14"/>
      <c r="Q316" s="14"/>
      <c r="R316" s="14">
        <v>43.0</v>
      </c>
      <c r="S316" s="14">
        <v>2021.0</v>
      </c>
      <c r="T316" s="15" t="s">
        <v>2853</v>
      </c>
      <c r="U316" s="14">
        <v>16.3333333333333</v>
      </c>
      <c r="V316" s="14">
        <v>0.09325771896660366</v>
      </c>
      <c r="W316" s="14">
        <v>0.0</v>
      </c>
      <c r="X316" s="14" t="s">
        <v>4495</v>
      </c>
      <c r="Y316" s="18" t="s">
        <v>4495</v>
      </c>
      <c r="Z316" s="18">
        <v>0.4570684369953818</v>
      </c>
      <c r="AA316" s="18">
        <v>1.0</v>
      </c>
      <c r="AB316" s="18">
        <v>1.0</v>
      </c>
      <c r="AC316" s="18">
        <v>0.5679381885870348</v>
      </c>
      <c r="AD316" s="18">
        <v>0.521060928107549</v>
      </c>
      <c r="AE316" s="19" t="s">
        <v>4500</v>
      </c>
    </row>
    <row r="317" ht="21.0" customHeight="1">
      <c r="A317" s="20" t="s">
        <v>2383</v>
      </c>
      <c r="B317" s="21" t="s">
        <v>2854</v>
      </c>
      <c r="C317" s="22" t="s">
        <v>2855</v>
      </c>
      <c r="D317" s="23">
        <v>44725.0</v>
      </c>
      <c r="E317" s="24">
        <v>2022.0</v>
      </c>
      <c r="F317" s="21" t="s">
        <v>2417</v>
      </c>
      <c r="G317" s="21" t="s">
        <v>42</v>
      </c>
      <c r="H317" s="24">
        <v>36.0</v>
      </c>
      <c r="I317" s="24">
        <v>252.0</v>
      </c>
      <c r="J317" s="25" t="s">
        <v>2858</v>
      </c>
      <c r="K317" s="21" t="s">
        <v>2859</v>
      </c>
      <c r="L317" s="21" t="s">
        <v>2860</v>
      </c>
      <c r="M317" s="26" t="s">
        <v>59</v>
      </c>
      <c r="N317" s="30" t="s">
        <v>2861</v>
      </c>
      <c r="P317" s="24"/>
      <c r="Q317" s="24"/>
      <c r="R317" s="24">
        <v>40.0</v>
      </c>
      <c r="S317" s="24">
        <v>2022.0</v>
      </c>
      <c r="T317" s="21" t="s">
        <v>2862</v>
      </c>
      <c r="U317" s="24">
        <v>40.1666666666666</v>
      </c>
      <c r="V317" s="24">
        <v>0.20947630922693267</v>
      </c>
      <c r="W317" s="24">
        <v>0.0</v>
      </c>
      <c r="X317" s="24" t="s">
        <v>4495</v>
      </c>
      <c r="Y317" s="27" t="s">
        <v>4495</v>
      </c>
      <c r="Z317" s="27">
        <v>0.43230913174650915</v>
      </c>
      <c r="AA317" s="27">
        <v>1.0</v>
      </c>
      <c r="AB317" s="27">
        <v>1.0</v>
      </c>
      <c r="AC317" s="27">
        <v>0.932228432586955</v>
      </c>
      <c r="AD317" s="27">
        <v>0.5513001261953228</v>
      </c>
      <c r="AE317" s="28" t="s">
        <v>4501</v>
      </c>
    </row>
    <row r="318" ht="21.0" customHeight="1">
      <c r="A318" s="10" t="s">
        <v>2383</v>
      </c>
      <c r="B318" s="15" t="s">
        <v>2864</v>
      </c>
      <c r="C318" s="12" t="s">
        <v>2865</v>
      </c>
      <c r="D318" s="13">
        <v>41730.0</v>
      </c>
      <c r="E318" s="14">
        <v>2014.0</v>
      </c>
      <c r="F318" s="15" t="s">
        <v>2386</v>
      </c>
      <c r="G318" s="15" t="s">
        <v>2866</v>
      </c>
      <c r="H318" s="14">
        <v>34.0</v>
      </c>
      <c r="I318" s="14">
        <v>446.0</v>
      </c>
      <c r="J318" s="16" t="s">
        <v>2868</v>
      </c>
      <c r="K318" s="15" t="s">
        <v>2869</v>
      </c>
      <c r="L318" s="15" t="s">
        <v>2870</v>
      </c>
      <c r="M318" s="17" t="s">
        <v>59</v>
      </c>
      <c r="N318" s="16" t="s">
        <v>2871</v>
      </c>
      <c r="O318" s="31" t="s">
        <v>2872</v>
      </c>
      <c r="P318" s="14">
        <v>13.0</v>
      </c>
      <c r="Q318" s="14"/>
      <c r="R318" s="14">
        <v>55.0</v>
      </c>
      <c r="S318" s="14">
        <v>2012.0</v>
      </c>
      <c r="T318" s="15" t="s">
        <v>2873</v>
      </c>
      <c r="U318" s="14">
        <v>53.0</v>
      </c>
      <c r="V318" s="14">
        <v>0.10624106717484516</v>
      </c>
      <c r="W318" s="14">
        <v>2.0</v>
      </c>
      <c r="X318" s="14" t="s">
        <v>4495</v>
      </c>
      <c r="Y318" s="18" t="s">
        <v>4495</v>
      </c>
      <c r="Z318" s="18">
        <v>0.5416225389667044</v>
      </c>
      <c r="AA318" s="18">
        <v>1.0</v>
      </c>
      <c r="AB318" s="18">
        <v>1.0</v>
      </c>
      <c r="AC318" s="18">
        <v>1.0</v>
      </c>
      <c r="AD318" s="18">
        <v>0.5854056347416761</v>
      </c>
      <c r="AE318" s="19" t="s">
        <v>4501</v>
      </c>
    </row>
    <row r="319" ht="21.0" customHeight="1">
      <c r="A319" s="20" t="s">
        <v>2383</v>
      </c>
      <c r="B319" s="21" t="s">
        <v>2874</v>
      </c>
      <c r="C319" s="22" t="s">
        <v>2875</v>
      </c>
      <c r="D319" s="23">
        <v>42674.0</v>
      </c>
      <c r="E319" s="24">
        <v>2016.0</v>
      </c>
      <c r="F319" s="21" t="s">
        <v>2398</v>
      </c>
      <c r="G319" s="21" t="s">
        <v>1801</v>
      </c>
      <c r="H319" s="24">
        <v>33.0</v>
      </c>
      <c r="I319" s="24">
        <v>317.0</v>
      </c>
      <c r="J319" s="25"/>
      <c r="K319" s="21" t="s">
        <v>2878</v>
      </c>
      <c r="L319" s="21" t="s">
        <v>2879</v>
      </c>
      <c r="M319" s="26" t="s">
        <v>31</v>
      </c>
      <c r="N319" s="30"/>
      <c r="O319" s="21" t="s">
        <v>1867</v>
      </c>
      <c r="P319" s="24"/>
      <c r="Q319" s="24"/>
      <c r="R319" s="24">
        <v>118.0</v>
      </c>
      <c r="S319" s="24"/>
      <c r="T319" s="21" t="s">
        <v>2880</v>
      </c>
      <c r="U319" s="24">
        <v>32.6666666666666</v>
      </c>
      <c r="V319" s="24">
        <v>0.09741856177012907</v>
      </c>
      <c r="W319" s="24" t="s">
        <v>4495</v>
      </c>
      <c r="X319" s="24" t="s">
        <v>4495</v>
      </c>
      <c r="Y319" s="27" t="s">
        <v>4495</v>
      </c>
      <c r="Z319" s="27">
        <v>0.8059033246030324</v>
      </c>
      <c r="AA319" s="27" t="s">
        <v>4495</v>
      </c>
      <c r="AB319" s="27">
        <v>1.0</v>
      </c>
      <c r="AC319" s="27">
        <v>0.8475272721416379</v>
      </c>
      <c r="AD319" s="27">
        <v>0.4362285583649219</v>
      </c>
      <c r="AE319" s="28" t="s">
        <v>4497</v>
      </c>
    </row>
    <row r="320" ht="21.0" customHeight="1">
      <c r="A320" s="10" t="s">
        <v>2383</v>
      </c>
      <c r="B320" s="15" t="s">
        <v>2882</v>
      </c>
      <c r="C320" s="12" t="s">
        <v>2883</v>
      </c>
      <c r="D320" s="13">
        <v>41730.0</v>
      </c>
      <c r="E320" s="14">
        <v>2014.0</v>
      </c>
      <c r="F320" s="15" t="s">
        <v>2386</v>
      </c>
      <c r="G320" s="15" t="s">
        <v>42</v>
      </c>
      <c r="H320" s="14">
        <v>33.0</v>
      </c>
      <c r="I320" s="14">
        <v>306.0</v>
      </c>
      <c r="J320" s="16"/>
      <c r="K320" s="15" t="s">
        <v>2884</v>
      </c>
      <c r="L320" s="15" t="s">
        <v>2885</v>
      </c>
      <c r="M320" s="17" t="s">
        <v>31</v>
      </c>
      <c r="N320" s="29"/>
      <c r="O320" s="15" t="s">
        <v>2886</v>
      </c>
      <c r="P320" s="14">
        <v>13.0</v>
      </c>
      <c r="Q320" s="14"/>
      <c r="R320" s="14">
        <v>65.0</v>
      </c>
      <c r="S320" s="14"/>
      <c r="T320" s="15" t="s">
        <v>2837</v>
      </c>
      <c r="U320" s="14">
        <v>36.5</v>
      </c>
      <c r="V320" s="14">
        <v>0.07289185326345879</v>
      </c>
      <c r="W320" s="14" t="s">
        <v>4495</v>
      </c>
      <c r="X320" s="14" t="s">
        <v>4495</v>
      </c>
      <c r="Y320" s="18" t="s">
        <v>4495</v>
      </c>
      <c r="Z320" s="18">
        <v>0.5992290179313052</v>
      </c>
      <c r="AA320" s="18" t="s">
        <v>4495</v>
      </c>
      <c r="AB320" s="18">
        <v>1.0</v>
      </c>
      <c r="AC320" s="18">
        <v>0.8929405885765132</v>
      </c>
      <c r="AD320" s="18">
        <v>0.3891013133404776</v>
      </c>
      <c r="AE320" s="19" t="s">
        <v>4497</v>
      </c>
    </row>
    <row r="321" ht="21.0" customHeight="1">
      <c r="A321" s="20" t="s">
        <v>2383</v>
      </c>
      <c r="B321" s="21" t="s">
        <v>2887</v>
      </c>
      <c r="C321" s="22" t="s">
        <v>2888</v>
      </c>
      <c r="D321" s="23">
        <v>40643.0</v>
      </c>
      <c r="E321" s="24">
        <v>2011.0</v>
      </c>
      <c r="F321" s="21" t="s">
        <v>2386</v>
      </c>
      <c r="G321" s="21" t="s">
        <v>42</v>
      </c>
      <c r="H321" s="24">
        <v>33.0</v>
      </c>
      <c r="I321" s="24">
        <v>314.0</v>
      </c>
      <c r="J321" s="25"/>
      <c r="K321" s="21" t="s">
        <v>2891</v>
      </c>
      <c r="L321" s="21" t="s">
        <v>2892</v>
      </c>
      <c r="M321" s="26" t="s">
        <v>31</v>
      </c>
      <c r="N321" s="30"/>
      <c r="O321" s="21" t="s">
        <v>2893</v>
      </c>
      <c r="P321" s="24">
        <v>8.0</v>
      </c>
      <c r="Q321" s="24"/>
      <c r="R321" s="24">
        <v>9.0</v>
      </c>
      <c r="S321" s="24"/>
      <c r="T321" s="21" t="s">
        <v>2894</v>
      </c>
      <c r="U321" s="24">
        <v>15.1666666666666</v>
      </c>
      <c r="V321" s="24">
        <v>0.059413434247871336</v>
      </c>
      <c r="W321" s="24" t="s">
        <v>4495</v>
      </c>
      <c r="X321" s="24" t="s">
        <v>4495</v>
      </c>
      <c r="Y321" s="27" t="s">
        <v>4495</v>
      </c>
      <c r="Z321" s="27">
        <v>0.0</v>
      </c>
      <c r="AA321" s="27" t="s">
        <v>4495</v>
      </c>
      <c r="AB321" s="27">
        <v>1.0</v>
      </c>
      <c r="AC321" s="27">
        <v>0.5385927660562285</v>
      </c>
      <c r="AD321" s="27">
        <v>0.20385927660562286</v>
      </c>
      <c r="AE321" s="28" t="s">
        <v>4497</v>
      </c>
    </row>
    <row r="322" ht="21.0" customHeight="1">
      <c r="A322" s="10" t="s">
        <v>2383</v>
      </c>
      <c r="B322" s="15" t="s">
        <v>2903</v>
      </c>
      <c r="C322" s="12" t="s">
        <v>2904</v>
      </c>
      <c r="D322" s="13">
        <v>40883.0</v>
      </c>
      <c r="E322" s="14">
        <v>2011.0</v>
      </c>
      <c r="F322" s="15" t="s">
        <v>2386</v>
      </c>
      <c r="G322" s="15" t="s">
        <v>42</v>
      </c>
      <c r="H322" s="14">
        <v>33.0</v>
      </c>
      <c r="I322" s="14">
        <v>147.0</v>
      </c>
      <c r="J322" s="16"/>
      <c r="K322" s="15" t="s">
        <v>2906</v>
      </c>
      <c r="L322" s="15" t="s">
        <v>2907</v>
      </c>
      <c r="M322" s="17" t="s">
        <v>59</v>
      </c>
      <c r="N322" s="16" t="s">
        <v>2908</v>
      </c>
      <c r="O322" s="15" t="s">
        <v>209</v>
      </c>
      <c r="P322" s="14"/>
      <c r="Q322" s="14"/>
      <c r="R322" s="14">
        <v>73.0</v>
      </c>
      <c r="S322" s="14"/>
      <c r="T322" s="15" t="s">
        <v>2909</v>
      </c>
      <c r="U322" s="14">
        <v>18.8333333333333</v>
      </c>
      <c r="V322" s="14">
        <v>0.029137760158572844</v>
      </c>
      <c r="W322" s="14" t="s">
        <v>4495</v>
      </c>
      <c r="X322" s="14" t="s">
        <v>4495</v>
      </c>
      <c r="Y322" s="18" t="s">
        <v>4495</v>
      </c>
      <c r="Z322" s="18">
        <v>0.6393425607818833</v>
      </c>
      <c r="AA322" s="18" t="s">
        <v>4495</v>
      </c>
      <c r="AB322" s="18">
        <v>1.0</v>
      </c>
      <c r="AC322" s="18">
        <v>0.6246802867772283</v>
      </c>
      <c r="AD322" s="18">
        <v>0.37230366887319366</v>
      </c>
      <c r="AE322" s="19" t="s">
        <v>4499</v>
      </c>
    </row>
    <row r="323" ht="21.0" customHeight="1">
      <c r="A323" s="20" t="s">
        <v>2383</v>
      </c>
      <c r="B323" s="21" t="s">
        <v>2910</v>
      </c>
      <c r="C323" s="22" t="s">
        <v>2911</v>
      </c>
      <c r="D323" s="23">
        <v>43983.0</v>
      </c>
      <c r="E323" s="24">
        <v>2020.0</v>
      </c>
      <c r="F323" s="21" t="s">
        <v>2398</v>
      </c>
      <c r="G323" s="21" t="s">
        <v>42</v>
      </c>
      <c r="H323" s="24">
        <v>32.0</v>
      </c>
      <c r="I323" s="24">
        <v>182.0</v>
      </c>
      <c r="J323" s="25" t="s">
        <v>2913</v>
      </c>
      <c r="K323" s="21" t="s">
        <v>2914</v>
      </c>
      <c r="L323" s="21" t="s">
        <v>2915</v>
      </c>
      <c r="M323" s="26" t="s">
        <v>59</v>
      </c>
      <c r="N323" s="30" t="s">
        <v>2916</v>
      </c>
      <c r="O323" s="21" t="s">
        <v>2917</v>
      </c>
      <c r="P323" s="24">
        <v>10.0</v>
      </c>
      <c r="Q323" s="24"/>
      <c r="R323" s="24">
        <v>44.0</v>
      </c>
      <c r="S323" s="24">
        <v>2019.0</v>
      </c>
      <c r="T323" s="21" t="s">
        <v>2918</v>
      </c>
      <c r="U323" s="24">
        <v>19.75</v>
      </c>
      <c r="V323" s="24">
        <v>0.093573264781491</v>
      </c>
      <c r="W323" s="24">
        <v>1.0</v>
      </c>
      <c r="X323" s="24" t="s">
        <v>4495</v>
      </c>
      <c r="Y323" s="27" t="s">
        <v>4495</v>
      </c>
      <c r="Z323" s="27">
        <v>0.46494767044687196</v>
      </c>
      <c r="AA323" s="27">
        <v>1.0</v>
      </c>
      <c r="AB323" s="27">
        <v>1.0</v>
      </c>
      <c r="AC323" s="27">
        <v>0.6437086009114665</v>
      </c>
      <c r="AD323" s="27">
        <v>0.5306077777028647</v>
      </c>
      <c r="AE323" s="28" t="s">
        <v>4501</v>
      </c>
    </row>
    <row r="324" ht="21.0" customHeight="1">
      <c r="A324" s="10" t="s">
        <v>2383</v>
      </c>
      <c r="B324" s="15" t="s">
        <v>2919</v>
      </c>
      <c r="C324" s="12" t="s">
        <v>2920</v>
      </c>
      <c r="D324" s="13">
        <v>43871.0</v>
      </c>
      <c r="E324" s="14">
        <v>2020.0</v>
      </c>
      <c r="F324" s="15" t="s">
        <v>2398</v>
      </c>
      <c r="G324" s="15" t="s">
        <v>1801</v>
      </c>
      <c r="H324" s="14">
        <v>32.0</v>
      </c>
      <c r="I324" s="14">
        <v>175.0</v>
      </c>
      <c r="J324" s="16" t="s">
        <v>2923</v>
      </c>
      <c r="K324" s="15" t="s">
        <v>2924</v>
      </c>
      <c r="L324" s="15" t="s">
        <v>2925</v>
      </c>
      <c r="M324" s="17" t="s">
        <v>59</v>
      </c>
      <c r="N324" s="29" t="s">
        <v>2926</v>
      </c>
      <c r="O324" s="15" t="s">
        <v>2927</v>
      </c>
      <c r="P324" s="14">
        <v>5.0</v>
      </c>
      <c r="Q324" s="14"/>
      <c r="R324" s="14">
        <v>20.0</v>
      </c>
      <c r="S324" s="14">
        <v>2019.0</v>
      </c>
      <c r="T324" s="15" t="s">
        <v>2928</v>
      </c>
      <c r="U324" s="14">
        <v>17.6666666666666</v>
      </c>
      <c r="V324" s="14">
        <v>0.0850753524550316</v>
      </c>
      <c r="W324" s="14">
        <v>1.0</v>
      </c>
      <c r="X324" s="14" t="s">
        <v>4495</v>
      </c>
      <c r="Y324" s="18" t="s">
        <v>4495</v>
      </c>
      <c r="Z324" s="18">
        <v>0.19773288331254052</v>
      </c>
      <c r="AA324" s="18">
        <v>1.0</v>
      </c>
      <c r="AB324" s="18">
        <v>1.0</v>
      </c>
      <c r="AC324" s="18">
        <v>0.5991484674713998</v>
      </c>
      <c r="AD324" s="18">
        <v>0.45934806757527513</v>
      </c>
      <c r="AE324" s="19" t="s">
        <v>4501</v>
      </c>
    </row>
    <row r="325" ht="21.0" customHeight="1">
      <c r="A325" s="20" t="s">
        <v>2383</v>
      </c>
      <c r="B325" s="21" t="s">
        <v>2929</v>
      </c>
      <c r="C325" s="22" t="s">
        <v>2930</v>
      </c>
      <c r="D325" s="23">
        <v>41628.0</v>
      </c>
      <c r="E325" s="24">
        <v>2013.0</v>
      </c>
      <c r="G325" s="21" t="s">
        <v>42</v>
      </c>
      <c r="H325" s="24">
        <v>32.0</v>
      </c>
      <c r="I325" s="24">
        <v>441.0</v>
      </c>
      <c r="J325" s="25"/>
      <c r="K325" s="21" t="s">
        <v>2933</v>
      </c>
      <c r="M325" s="26" t="s">
        <v>31</v>
      </c>
      <c r="N325" s="30"/>
      <c r="P325" s="24"/>
      <c r="Q325" s="24"/>
      <c r="R325" s="24">
        <v>8.0</v>
      </c>
      <c r="S325" s="24"/>
      <c r="T325" s="21" t="s">
        <v>2934</v>
      </c>
      <c r="U325" s="24">
        <v>8.0</v>
      </c>
      <c r="V325" s="24">
        <v>0.10255813953488373</v>
      </c>
      <c r="W325" s="24" t="s">
        <v>4495</v>
      </c>
      <c r="X325" s="24" t="s">
        <v>4495</v>
      </c>
      <c r="Y325" s="27" t="s">
        <v>4495</v>
      </c>
      <c r="Z325" s="27">
        <v>0.0</v>
      </c>
      <c r="AA325" s="27" t="s">
        <v>4495</v>
      </c>
      <c r="AB325" s="27">
        <v>1.0</v>
      </c>
      <c r="AC325" s="27">
        <v>0.29191618910194683</v>
      </c>
      <c r="AD325" s="27">
        <v>0.1791916189101947</v>
      </c>
      <c r="AE325" s="28" t="s">
        <v>4497</v>
      </c>
    </row>
    <row r="326" ht="21.0" customHeight="1">
      <c r="A326" s="10" t="s">
        <v>2383</v>
      </c>
      <c r="B326" s="15" t="s">
        <v>2935</v>
      </c>
      <c r="C326" s="12" t="s">
        <v>2936</v>
      </c>
      <c r="D326" s="13">
        <v>40864.0</v>
      </c>
      <c r="E326" s="14">
        <v>2011.0</v>
      </c>
      <c r="F326" s="15" t="s">
        <v>2386</v>
      </c>
      <c r="G326" s="15" t="s">
        <v>42</v>
      </c>
      <c r="H326" s="14">
        <v>32.0</v>
      </c>
      <c r="I326" s="14">
        <v>399.0</v>
      </c>
      <c r="J326" s="16"/>
      <c r="K326" s="15" t="s">
        <v>2938</v>
      </c>
      <c r="M326" s="17" t="s">
        <v>31</v>
      </c>
      <c r="N326" s="16"/>
      <c r="O326" s="31" t="s">
        <v>2939</v>
      </c>
      <c r="P326" s="14">
        <v>16.0</v>
      </c>
      <c r="Q326" s="14"/>
      <c r="R326" s="14">
        <v>23.0</v>
      </c>
      <c r="S326" s="14"/>
      <c r="T326" s="15" t="s">
        <v>2940</v>
      </c>
      <c r="U326" s="14">
        <v>34.3333333333333</v>
      </c>
      <c r="V326" s="14">
        <v>0.07879146919431279</v>
      </c>
      <c r="W326" s="14" t="s">
        <v>4495</v>
      </c>
      <c r="X326" s="14" t="s">
        <v>4495</v>
      </c>
      <c r="Y326" s="18" t="s">
        <v>4495</v>
      </c>
      <c r="Z326" s="18">
        <v>0.24455047616844922</v>
      </c>
      <c r="AA326" s="18" t="s">
        <v>4495</v>
      </c>
      <c r="AB326" s="18">
        <v>1.0</v>
      </c>
      <c r="AC326" s="18">
        <v>0.8678764495390385</v>
      </c>
      <c r="AD326" s="18">
        <v>0.29792526399601615</v>
      </c>
      <c r="AE326" s="19" t="s">
        <v>4497</v>
      </c>
    </row>
    <row r="327" ht="21.0" customHeight="1">
      <c r="A327" s="20" t="s">
        <v>2383</v>
      </c>
      <c r="B327" s="21" t="s">
        <v>2941</v>
      </c>
      <c r="C327" s="22" t="s">
        <v>2942</v>
      </c>
      <c r="D327" s="23">
        <v>44285.0</v>
      </c>
      <c r="E327" s="24">
        <v>2021.0</v>
      </c>
      <c r="F327" s="21" t="s">
        <v>2386</v>
      </c>
      <c r="G327" s="21" t="s">
        <v>42</v>
      </c>
      <c r="H327" s="24">
        <v>31.0</v>
      </c>
      <c r="I327" s="24">
        <v>234.0</v>
      </c>
      <c r="J327" s="25" t="s">
        <v>2944</v>
      </c>
      <c r="K327" s="21" t="s">
        <v>2945</v>
      </c>
      <c r="L327" s="21" t="s">
        <v>2946</v>
      </c>
      <c r="M327" s="26" t="s">
        <v>59</v>
      </c>
      <c r="N327" s="25" t="s">
        <v>2947</v>
      </c>
      <c r="O327" s="21" t="s">
        <v>2948</v>
      </c>
      <c r="P327" s="24">
        <v>9.0</v>
      </c>
      <c r="Q327" s="24"/>
      <c r="R327" s="24">
        <v>34.0</v>
      </c>
      <c r="S327" s="24">
        <v>2021.0</v>
      </c>
      <c r="T327" s="21" t="s">
        <v>2949</v>
      </c>
      <c r="U327" s="24">
        <v>21.4</v>
      </c>
      <c r="V327" s="24">
        <v>0.14242239805234327</v>
      </c>
      <c r="W327" s="24">
        <v>0.0</v>
      </c>
      <c r="X327" s="24" t="s">
        <v>4495</v>
      </c>
      <c r="Y327" s="27" t="s">
        <v>4495</v>
      </c>
      <c r="Z327" s="27">
        <v>0.3768340340141598</v>
      </c>
      <c r="AA327" s="27">
        <v>1.0</v>
      </c>
      <c r="AB327" s="27">
        <v>1.0</v>
      </c>
      <c r="AC327" s="27">
        <v>0.6759324688250973</v>
      </c>
      <c r="AD327" s="27">
        <v>0.5118017553860497</v>
      </c>
      <c r="AE327" s="28" t="s">
        <v>4501</v>
      </c>
    </row>
    <row r="328" ht="21.0" customHeight="1">
      <c r="A328" s="10" t="s">
        <v>2383</v>
      </c>
      <c r="B328" s="15" t="s">
        <v>2951</v>
      </c>
      <c r="C328" s="12" t="s">
        <v>2952</v>
      </c>
      <c r="D328" s="13">
        <v>42948.0</v>
      </c>
      <c r="E328" s="14">
        <v>2017.0</v>
      </c>
      <c r="F328" s="15" t="s">
        <v>2398</v>
      </c>
      <c r="G328" s="15" t="s">
        <v>42</v>
      </c>
      <c r="H328" s="14">
        <v>31.0</v>
      </c>
      <c r="I328" s="14">
        <v>293.0</v>
      </c>
      <c r="J328" s="16"/>
      <c r="K328" s="15" t="s">
        <v>2955</v>
      </c>
      <c r="L328" s="15" t="s">
        <v>2956</v>
      </c>
      <c r="M328" s="17" t="s">
        <v>31</v>
      </c>
      <c r="N328" s="29"/>
      <c r="O328" s="15" t="s">
        <v>2957</v>
      </c>
      <c r="P328" s="14">
        <v>5653.0</v>
      </c>
      <c r="Q328" s="14"/>
      <c r="R328" s="14">
        <v>20.0</v>
      </c>
      <c r="S328" s="14"/>
      <c r="T328" s="15" t="s">
        <v>2959</v>
      </c>
      <c r="U328" s="14">
        <v>16.6666666666666</v>
      </c>
      <c r="V328" s="14">
        <v>0.0983221476510067</v>
      </c>
      <c r="W328" s="14" t="s">
        <v>4495</v>
      </c>
      <c r="X328" s="14" t="s">
        <v>4495</v>
      </c>
      <c r="Y328" s="18" t="s">
        <v>4495</v>
      </c>
      <c r="Z328" s="18">
        <v>0.19773288331254052</v>
      </c>
      <c r="AA328" s="18" t="s">
        <v>4495</v>
      </c>
      <c r="AB328" s="18">
        <v>1.0</v>
      </c>
      <c r="AC328" s="18">
        <v>0.5759602604370906</v>
      </c>
      <c r="AD328" s="18">
        <v>0.2570292468718442</v>
      </c>
      <c r="AE328" s="19" t="s">
        <v>4497</v>
      </c>
    </row>
    <row r="329" ht="21.0" customHeight="1">
      <c r="A329" s="20" t="s">
        <v>2383</v>
      </c>
      <c r="B329" s="21" t="s">
        <v>2960</v>
      </c>
      <c r="C329" s="22" t="s">
        <v>2961</v>
      </c>
      <c r="D329" s="23"/>
      <c r="E329" s="24"/>
      <c r="F329" s="21" t="s">
        <v>2386</v>
      </c>
      <c r="G329" s="21" t="s">
        <v>42</v>
      </c>
      <c r="H329" s="24">
        <v>30.0</v>
      </c>
      <c r="I329" s="24">
        <v>185.0</v>
      </c>
      <c r="J329" s="25"/>
      <c r="K329" s="21" t="s">
        <v>2962</v>
      </c>
      <c r="M329" s="26" t="s">
        <v>31</v>
      </c>
      <c r="N329" s="25"/>
      <c r="O329" s="21" t="s">
        <v>2963</v>
      </c>
      <c r="P329" s="24">
        <v>18.0</v>
      </c>
      <c r="Q329" s="24"/>
      <c r="R329" s="24">
        <v>75.0</v>
      </c>
      <c r="S329" s="24"/>
      <c r="T329" s="21" t="s">
        <v>2964</v>
      </c>
      <c r="U329" s="24">
        <v>13.0</v>
      </c>
      <c r="V329" s="24" t="s">
        <v>4495</v>
      </c>
      <c r="W329" s="24" t="s">
        <v>4495</v>
      </c>
      <c r="X329" s="24" t="s">
        <v>4495</v>
      </c>
      <c r="Y329" s="27" t="s">
        <v>4495</v>
      </c>
      <c r="Z329" s="27">
        <v>0.6486927451058364</v>
      </c>
      <c r="AA329" s="27" t="s">
        <v>4495</v>
      </c>
      <c r="AB329" s="27" t="s">
        <v>4495</v>
      </c>
      <c r="AC329" s="27">
        <v>0.4779923023475191</v>
      </c>
      <c r="AD329" s="27">
        <v>0.209972416511211</v>
      </c>
      <c r="AE329" s="28" t="s">
        <v>4497</v>
      </c>
    </row>
    <row r="330" ht="21.0" customHeight="1">
      <c r="A330" s="10" t="s">
        <v>2383</v>
      </c>
      <c r="B330" s="15" t="s">
        <v>2965</v>
      </c>
      <c r="C330" s="12" t="s">
        <v>2966</v>
      </c>
      <c r="D330" s="13"/>
      <c r="E330" s="14"/>
      <c r="F330" s="15" t="s">
        <v>2386</v>
      </c>
      <c r="G330" s="15" t="s">
        <v>42</v>
      </c>
      <c r="H330" s="14">
        <v>30.0</v>
      </c>
      <c r="I330" s="14">
        <v>181.0</v>
      </c>
      <c r="J330" s="16"/>
      <c r="K330" s="15" t="s">
        <v>2967</v>
      </c>
      <c r="M330" s="17" t="s">
        <v>31</v>
      </c>
      <c r="N330" s="16"/>
      <c r="O330" s="15" t="s">
        <v>2968</v>
      </c>
      <c r="P330" s="14">
        <v>18.0</v>
      </c>
      <c r="Q330" s="14"/>
      <c r="R330" s="14">
        <v>49.0</v>
      </c>
      <c r="S330" s="14"/>
      <c r="T330" s="15" t="s">
        <v>2969</v>
      </c>
      <c r="U330" s="14">
        <v>29.75</v>
      </c>
      <c r="V330" s="14" t="s">
        <v>4495</v>
      </c>
      <c r="W330" s="14" t="s">
        <v>4495</v>
      </c>
      <c r="X330" s="14" t="s">
        <v>4495</v>
      </c>
      <c r="Y330" s="18" t="s">
        <v>4495</v>
      </c>
      <c r="Z330" s="18">
        <v>0.5018882402125678</v>
      </c>
      <c r="AA330" s="18" t="s">
        <v>4495</v>
      </c>
      <c r="AB330" s="18" t="s">
        <v>4495</v>
      </c>
      <c r="AC330" s="18">
        <v>0.8093637619216483</v>
      </c>
      <c r="AD330" s="18">
        <v>0.2064084362453068</v>
      </c>
      <c r="AE330" s="19" t="s">
        <v>4497</v>
      </c>
    </row>
    <row r="331" ht="21.0" customHeight="1">
      <c r="A331" s="20" t="s">
        <v>2383</v>
      </c>
      <c r="B331" s="21" t="s">
        <v>2971</v>
      </c>
      <c r="C331" s="22" t="s">
        <v>2972</v>
      </c>
      <c r="D331" s="23"/>
      <c r="E331" s="24"/>
      <c r="F331" s="21" t="s">
        <v>2386</v>
      </c>
      <c r="G331" s="21" t="s">
        <v>42</v>
      </c>
      <c r="H331" s="24">
        <v>29.0</v>
      </c>
      <c r="I331" s="24">
        <v>293.0</v>
      </c>
      <c r="J331" s="25" t="s">
        <v>2973</v>
      </c>
      <c r="K331" s="21" t="s">
        <v>2974</v>
      </c>
      <c r="L331" s="21" t="s">
        <v>2975</v>
      </c>
      <c r="M331" s="26" t="s">
        <v>59</v>
      </c>
      <c r="N331" s="25" t="s">
        <v>2976</v>
      </c>
      <c r="O331" s="21" t="s">
        <v>2977</v>
      </c>
      <c r="P331" s="24">
        <v>13.0</v>
      </c>
      <c r="Q331" s="24"/>
      <c r="R331" s="24">
        <v>37.0</v>
      </c>
      <c r="S331" s="24">
        <v>2020.0</v>
      </c>
      <c r="T331" s="21" t="s">
        <v>2978</v>
      </c>
      <c r="U331" s="24">
        <v>8.5</v>
      </c>
      <c r="V331" s="24" t="s">
        <v>4495</v>
      </c>
      <c r="W331" s="24" t="s">
        <v>4495</v>
      </c>
      <c r="X331" s="24" t="s">
        <v>4495</v>
      </c>
      <c r="Y331" s="27" t="s">
        <v>4495</v>
      </c>
      <c r="Z331" s="27">
        <v>0.40566762681079266</v>
      </c>
      <c r="AA331" s="27" t="s">
        <v>4495</v>
      </c>
      <c r="AB331" s="27" t="s">
        <v>4495</v>
      </c>
      <c r="AC331" s="27">
        <v>0.3146863851457374</v>
      </c>
      <c r="AD331" s="27">
        <v>0.13288554521727192</v>
      </c>
      <c r="AE331" s="28" t="s">
        <v>4501</v>
      </c>
    </row>
    <row r="332" ht="21.0" customHeight="1">
      <c r="A332" s="10" t="s">
        <v>2383</v>
      </c>
      <c r="B332" s="15" t="s">
        <v>2979</v>
      </c>
      <c r="C332" s="12" t="s">
        <v>2980</v>
      </c>
      <c r="D332" s="13">
        <v>44342.0</v>
      </c>
      <c r="E332" s="14">
        <v>2021.0</v>
      </c>
      <c r="F332" s="15" t="s">
        <v>2386</v>
      </c>
      <c r="G332" s="15" t="s">
        <v>42</v>
      </c>
      <c r="H332" s="14">
        <v>29.0</v>
      </c>
      <c r="I332" s="14">
        <v>260.0</v>
      </c>
      <c r="J332" s="16" t="s">
        <v>2982</v>
      </c>
      <c r="K332" s="15" t="s">
        <v>2983</v>
      </c>
      <c r="L332" s="15" t="s">
        <v>2984</v>
      </c>
      <c r="M332" s="17" t="s">
        <v>59</v>
      </c>
      <c r="N332" s="16" t="s">
        <v>2985</v>
      </c>
      <c r="O332" s="15" t="s">
        <v>2986</v>
      </c>
      <c r="P332" s="14">
        <v>17.0</v>
      </c>
      <c r="Q332" s="14"/>
      <c r="R332" s="14">
        <v>100.0</v>
      </c>
      <c r="S332" s="14">
        <v>2021.0</v>
      </c>
      <c r="T332" s="15" t="s">
        <v>2988</v>
      </c>
      <c r="U332" s="14">
        <v>28.3333333333333</v>
      </c>
      <c r="V332" s="14">
        <v>0.16393442622950818</v>
      </c>
      <c r="W332" s="14">
        <v>0.0</v>
      </c>
      <c r="X332" s="14" t="s">
        <v>4495</v>
      </c>
      <c r="Y332" s="18" t="s">
        <v>4495</v>
      </c>
      <c r="Z332" s="18">
        <v>0.748402055281524</v>
      </c>
      <c r="AA332" s="18">
        <v>1.0</v>
      </c>
      <c r="AB332" s="18">
        <v>1.0</v>
      </c>
      <c r="AC332" s="18">
        <v>0.7895002117391313</v>
      </c>
      <c r="AD332" s="18">
        <v>0.6160505349942942</v>
      </c>
      <c r="AE332" s="19" t="s">
        <v>4501</v>
      </c>
    </row>
    <row r="333" ht="21.0" customHeight="1">
      <c r="A333" s="20" t="s">
        <v>2383</v>
      </c>
      <c r="B333" s="21" t="s">
        <v>2989</v>
      </c>
      <c r="C333" s="22" t="s">
        <v>2990</v>
      </c>
      <c r="D333" s="23">
        <v>43123.0</v>
      </c>
      <c r="E333" s="24">
        <v>2018.0</v>
      </c>
      <c r="F333" s="21" t="s">
        <v>2386</v>
      </c>
      <c r="G333" s="21" t="s">
        <v>42</v>
      </c>
      <c r="H333" s="24">
        <v>29.0</v>
      </c>
      <c r="I333" s="24">
        <v>247.0</v>
      </c>
      <c r="J333" s="25" t="s">
        <v>2992</v>
      </c>
      <c r="K333" s="21" t="s">
        <v>2993</v>
      </c>
      <c r="L333" s="21" t="s">
        <v>2994</v>
      </c>
      <c r="M333" s="26" t="s">
        <v>31</v>
      </c>
      <c r="N333" s="25"/>
      <c r="O333" s="21" t="s">
        <v>2995</v>
      </c>
      <c r="P333" s="24">
        <v>15.0</v>
      </c>
      <c r="Q333" s="24"/>
      <c r="R333" s="24">
        <v>61.0</v>
      </c>
      <c r="S333" s="24"/>
      <c r="T333" s="21" t="s">
        <v>2996</v>
      </c>
      <c r="U333" s="24">
        <v>27.1666666666666</v>
      </c>
      <c r="V333" s="24">
        <v>0.08805704099821747</v>
      </c>
      <c r="W333" s="24" t="s">
        <v>4495</v>
      </c>
      <c r="X333" s="24" t="s">
        <v>4495</v>
      </c>
      <c r="Y333" s="27" t="s">
        <v>4495</v>
      </c>
      <c r="Z333" s="27">
        <v>0.5773086847360339</v>
      </c>
      <c r="AA333" s="27" t="s">
        <v>4495</v>
      </c>
      <c r="AB333" s="27">
        <v>1.0</v>
      </c>
      <c r="AC333" s="27">
        <v>0.772407881802424</v>
      </c>
      <c r="AD333" s="27">
        <v>0.3715679593642509</v>
      </c>
      <c r="AE333" s="28" t="s">
        <v>4497</v>
      </c>
    </row>
    <row r="334" ht="21.0" customHeight="1">
      <c r="A334" s="10" t="s">
        <v>2383</v>
      </c>
      <c r="B334" s="15" t="s">
        <v>2998</v>
      </c>
      <c r="C334" s="12" t="s">
        <v>2999</v>
      </c>
      <c r="D334" s="13">
        <v>43598.0</v>
      </c>
      <c r="E334" s="14">
        <v>2019.0</v>
      </c>
      <c r="F334" s="15" t="s">
        <v>2417</v>
      </c>
      <c r="G334" s="15" t="s">
        <v>42</v>
      </c>
      <c r="H334" s="14">
        <v>29.0</v>
      </c>
      <c r="I334" s="14">
        <v>93.0</v>
      </c>
      <c r="J334" s="16" t="s">
        <v>3001</v>
      </c>
      <c r="K334" s="15" t="s">
        <v>3002</v>
      </c>
      <c r="L334" s="15" t="s">
        <v>3003</v>
      </c>
      <c r="M334" s="17" t="s">
        <v>31</v>
      </c>
      <c r="N334" s="29"/>
      <c r="P334" s="14"/>
      <c r="Q334" s="14"/>
      <c r="R334" s="14">
        <v>35.0</v>
      </c>
      <c r="S334" s="14"/>
      <c r="T334" s="15" t="s">
        <v>3004</v>
      </c>
      <c r="U334" s="14">
        <v>30.6</v>
      </c>
      <c r="V334" s="14">
        <v>0.039914163090128754</v>
      </c>
      <c r="W334" s="14" t="s">
        <v>4495</v>
      </c>
      <c r="X334" s="14" t="s">
        <v>4495</v>
      </c>
      <c r="Y334" s="18" t="s">
        <v>4495</v>
      </c>
      <c r="Z334" s="18">
        <v>0.3867110571043727</v>
      </c>
      <c r="AA334" s="18" t="s">
        <v>4495</v>
      </c>
      <c r="AB334" s="18">
        <v>1.0</v>
      </c>
      <c r="AC334" s="18">
        <v>0.8208472041576871</v>
      </c>
      <c r="AD334" s="18">
        <v>0.32876248469186187</v>
      </c>
      <c r="AE334" s="19" t="s">
        <v>4497</v>
      </c>
    </row>
    <row r="335" ht="21.0" customHeight="1">
      <c r="A335" s="20" t="s">
        <v>2383</v>
      </c>
      <c r="B335" s="21" t="s">
        <v>3006</v>
      </c>
      <c r="C335" s="22" t="s">
        <v>3007</v>
      </c>
      <c r="D335" s="23">
        <v>41456.0</v>
      </c>
      <c r="E335" s="24">
        <v>2013.0</v>
      </c>
      <c r="F335" s="21" t="s">
        <v>2386</v>
      </c>
      <c r="G335" s="21" t="s">
        <v>42</v>
      </c>
      <c r="H335" s="24">
        <v>28.0</v>
      </c>
      <c r="I335" s="24">
        <v>336.0</v>
      </c>
      <c r="J335" s="25"/>
      <c r="K335" s="21" t="s">
        <v>3009</v>
      </c>
      <c r="L335" s="21" t="s">
        <v>3010</v>
      </c>
      <c r="M335" s="26" t="s">
        <v>31</v>
      </c>
      <c r="N335" s="30"/>
      <c r="O335" s="21" t="s">
        <v>3011</v>
      </c>
      <c r="P335" s="24">
        <v>14.0</v>
      </c>
      <c r="Q335" s="24"/>
      <c r="R335" s="24">
        <v>55.0</v>
      </c>
      <c r="S335" s="24"/>
      <c r="T335" s="21" t="s">
        <v>3012</v>
      </c>
      <c r="U335" s="24">
        <v>19.8</v>
      </c>
      <c r="V335" s="24">
        <v>0.07513416815742398</v>
      </c>
      <c r="W335" s="24" t="s">
        <v>4495</v>
      </c>
      <c r="X335" s="24" t="s">
        <v>4495</v>
      </c>
      <c r="Y335" s="27" t="s">
        <v>4495</v>
      </c>
      <c r="Z335" s="27">
        <v>0.5416225389667044</v>
      </c>
      <c r="AA335" s="27" t="s">
        <v>4495</v>
      </c>
      <c r="AB335" s="27">
        <v>1.0</v>
      </c>
      <c r="AC335" s="27">
        <v>0.6447221899407316</v>
      </c>
      <c r="AD335" s="27">
        <v>0.3498778537357493</v>
      </c>
      <c r="AE335" s="28" t="s">
        <v>4497</v>
      </c>
    </row>
    <row r="336" ht="21.0" customHeight="1">
      <c r="A336" s="10" t="s">
        <v>2383</v>
      </c>
      <c r="B336" s="15" t="s">
        <v>3014</v>
      </c>
      <c r="C336" s="12" t="s">
        <v>3015</v>
      </c>
      <c r="D336" s="13">
        <v>42708.0</v>
      </c>
      <c r="E336" s="14">
        <v>2016.0</v>
      </c>
      <c r="F336" s="15" t="s">
        <v>2398</v>
      </c>
      <c r="G336" s="15" t="s">
        <v>1801</v>
      </c>
      <c r="H336" s="14">
        <v>28.0</v>
      </c>
      <c r="I336" s="14">
        <v>224.0</v>
      </c>
      <c r="J336" s="16" t="s">
        <v>3018</v>
      </c>
      <c r="K336" s="15" t="s">
        <v>3019</v>
      </c>
      <c r="M336" s="17" t="s">
        <v>31</v>
      </c>
      <c r="N336" s="29"/>
      <c r="P336" s="14"/>
      <c r="Q336" s="14"/>
      <c r="R336" s="14">
        <v>32.0</v>
      </c>
      <c r="S336" s="14">
        <v>2016.0</v>
      </c>
      <c r="T336" s="15" t="s">
        <v>3020</v>
      </c>
      <c r="U336" s="14">
        <v>45.0</v>
      </c>
      <c r="V336" s="14">
        <v>0.06956521739130435</v>
      </c>
      <c r="W336" s="14">
        <v>0.0</v>
      </c>
      <c r="X336" s="14" t="s">
        <v>4495</v>
      </c>
      <c r="Y336" s="18" t="s">
        <v>4495</v>
      </c>
      <c r="Z336" s="18">
        <v>0.35620389963626176</v>
      </c>
      <c r="AA336" s="18">
        <v>1.0</v>
      </c>
      <c r="AB336" s="18">
        <v>1.0</v>
      </c>
      <c r="AC336" s="18">
        <v>0.9789809194225819</v>
      </c>
      <c r="AD336" s="18">
        <v>0.5369490668513236</v>
      </c>
      <c r="AE336" s="19" t="s">
        <v>4497</v>
      </c>
    </row>
    <row r="337" ht="21.0" customHeight="1">
      <c r="A337" s="20" t="s">
        <v>2383</v>
      </c>
      <c r="B337" s="21" t="s">
        <v>3021</v>
      </c>
      <c r="C337" s="22" t="s">
        <v>3022</v>
      </c>
      <c r="D337" s="23">
        <v>43349.0</v>
      </c>
      <c r="E337" s="24">
        <v>2018.0</v>
      </c>
      <c r="F337" s="21" t="s">
        <v>2398</v>
      </c>
      <c r="G337" s="21" t="s">
        <v>42</v>
      </c>
      <c r="H337" s="24">
        <v>28.0</v>
      </c>
      <c r="I337" s="24">
        <v>281.0</v>
      </c>
      <c r="J337" s="25" t="s">
        <v>3024</v>
      </c>
      <c r="K337" s="21" t="s">
        <v>3025</v>
      </c>
      <c r="L337" s="21" t="s">
        <v>3026</v>
      </c>
      <c r="M337" s="26" t="s">
        <v>31</v>
      </c>
      <c r="N337" s="30"/>
      <c r="P337" s="24"/>
      <c r="Q337" s="24"/>
      <c r="R337" s="24">
        <v>33.0</v>
      </c>
      <c r="S337" s="24">
        <v>2018.0</v>
      </c>
      <c r="T337" s="21" t="s">
        <v>3027</v>
      </c>
      <c r="U337" s="24">
        <v>8.33333333333333</v>
      </c>
      <c r="V337" s="24">
        <v>0.10895696006203955</v>
      </c>
      <c r="W337" s="24">
        <v>0.0</v>
      </c>
      <c r="X337" s="24" t="s">
        <v>4495</v>
      </c>
      <c r="Y337" s="27" t="s">
        <v>4495</v>
      </c>
      <c r="Z337" s="27">
        <v>0.36667068086885374</v>
      </c>
      <c r="AA337" s="27">
        <v>1.0</v>
      </c>
      <c r="AB337" s="27">
        <v>1.0</v>
      </c>
      <c r="AC337" s="27">
        <v>0.3072322783694543</v>
      </c>
      <c r="AD337" s="27">
        <v>0.47239089805415885</v>
      </c>
      <c r="AE337" s="28" t="s">
        <v>4497</v>
      </c>
    </row>
    <row r="338" ht="21.0" customHeight="1">
      <c r="A338" s="10" t="s">
        <v>2383</v>
      </c>
      <c r="B338" s="15" t="s">
        <v>3029</v>
      </c>
      <c r="C338" s="12" t="s">
        <v>3030</v>
      </c>
      <c r="D338" s="13">
        <v>43617.0</v>
      </c>
      <c r="E338" s="14">
        <v>2019.0</v>
      </c>
      <c r="F338" s="15" t="s">
        <v>2386</v>
      </c>
      <c r="G338" s="15" t="s">
        <v>42</v>
      </c>
      <c r="H338" s="14">
        <v>28.0</v>
      </c>
      <c r="I338" s="14">
        <v>407.0</v>
      </c>
      <c r="J338" s="16" t="s">
        <v>3032</v>
      </c>
      <c r="K338" s="15" t="s">
        <v>3033</v>
      </c>
      <c r="L338" s="15" t="s">
        <v>3034</v>
      </c>
      <c r="M338" s="17" t="s">
        <v>31</v>
      </c>
      <c r="N338" s="29"/>
      <c r="O338" s="15" t="s">
        <v>3035</v>
      </c>
      <c r="P338" s="14">
        <v>16.0</v>
      </c>
      <c r="Q338" s="14"/>
      <c r="R338" s="14">
        <v>36.0</v>
      </c>
      <c r="S338" s="14"/>
      <c r="T338" s="15" t="s">
        <v>3036</v>
      </c>
      <c r="U338" s="14">
        <v>57.3333333333333</v>
      </c>
      <c r="V338" s="14">
        <v>0.17611423626135872</v>
      </c>
      <c r="W338" s="14" t="s">
        <v>4495</v>
      </c>
      <c r="X338" s="14" t="s">
        <v>4495</v>
      </c>
      <c r="Y338" s="18" t="s">
        <v>4495</v>
      </c>
      <c r="Z338" s="18">
        <v>0.3963174424868398</v>
      </c>
      <c r="AA338" s="18" t="s">
        <v>4495</v>
      </c>
      <c r="AB338" s="18">
        <v>1.0</v>
      </c>
      <c r="AC338" s="18">
        <v>1.0</v>
      </c>
      <c r="AD338" s="18">
        <v>0.34907936062170997</v>
      </c>
      <c r="AE338" s="19" t="s">
        <v>4497</v>
      </c>
    </row>
    <row r="339" ht="21.0" customHeight="1">
      <c r="A339" s="20" t="s">
        <v>2383</v>
      </c>
      <c r="B339" s="21" t="s">
        <v>3038</v>
      </c>
      <c r="C339" s="22" t="s">
        <v>3039</v>
      </c>
      <c r="D339" s="23">
        <v>44160.0</v>
      </c>
      <c r="E339" s="24">
        <v>2020.0</v>
      </c>
      <c r="F339" s="21" t="s">
        <v>2386</v>
      </c>
      <c r="G339" s="21" t="s">
        <v>42</v>
      </c>
      <c r="H339" s="24">
        <v>28.0</v>
      </c>
      <c r="I339" s="24">
        <v>369.0</v>
      </c>
      <c r="J339" s="25" t="s">
        <v>3042</v>
      </c>
      <c r="K339" s="21" t="s">
        <v>3043</v>
      </c>
      <c r="L339" s="21" t="s">
        <v>3044</v>
      </c>
      <c r="M339" s="26" t="s">
        <v>59</v>
      </c>
      <c r="N339" s="30" t="s">
        <v>3045</v>
      </c>
      <c r="P339" s="24"/>
      <c r="Q339" s="24"/>
      <c r="R339" s="24">
        <v>48.0</v>
      </c>
      <c r="S339" s="24">
        <v>2020.0</v>
      </c>
      <c r="T339" s="21" t="s">
        <v>3046</v>
      </c>
      <c r="U339" s="24">
        <v>21.5</v>
      </c>
      <c r="V339" s="24">
        <v>0.208710407239819</v>
      </c>
      <c r="W339" s="24">
        <v>0.0</v>
      </c>
      <c r="X339" s="24" t="s">
        <v>4495</v>
      </c>
      <c r="Y339" s="27" t="s">
        <v>4495</v>
      </c>
      <c r="Z339" s="27">
        <v>0.49480494611079556</v>
      </c>
      <c r="AA339" s="27">
        <v>1.0</v>
      </c>
      <c r="AB339" s="27">
        <v>1.0</v>
      </c>
      <c r="AC339" s="27">
        <v>0.6778084008282622</v>
      </c>
      <c r="AD339" s="27">
        <v>0.5414820766105252</v>
      </c>
      <c r="AE339" s="28" t="s">
        <v>4501</v>
      </c>
    </row>
    <row r="340" ht="21.0" customHeight="1">
      <c r="A340" s="10" t="s">
        <v>2383</v>
      </c>
      <c r="B340" s="15" t="s">
        <v>3047</v>
      </c>
      <c r="C340" s="12" t="s">
        <v>3048</v>
      </c>
      <c r="D340" s="13">
        <v>43983.0</v>
      </c>
      <c r="E340" s="14">
        <v>2020.0</v>
      </c>
      <c r="F340" s="15" t="s">
        <v>2398</v>
      </c>
      <c r="G340" s="15" t="s">
        <v>232</v>
      </c>
      <c r="H340" s="14">
        <v>28.0</v>
      </c>
      <c r="I340" s="14">
        <v>230.0</v>
      </c>
      <c r="J340" s="16" t="s">
        <v>3049</v>
      </c>
      <c r="K340" s="15" t="s">
        <v>3050</v>
      </c>
      <c r="L340" s="15" t="s">
        <v>3051</v>
      </c>
      <c r="M340" s="17" t="s">
        <v>31</v>
      </c>
      <c r="N340" s="29"/>
      <c r="O340" s="15" t="s">
        <v>3052</v>
      </c>
      <c r="P340" s="14">
        <v>10.0</v>
      </c>
      <c r="Q340" s="14"/>
      <c r="R340" s="14">
        <v>60.0</v>
      </c>
      <c r="S340" s="14">
        <v>2020.0</v>
      </c>
      <c r="T340" s="15" t="s">
        <v>3053</v>
      </c>
      <c r="U340" s="14">
        <v>20.5</v>
      </c>
      <c r="V340" s="14">
        <v>0.11825192802056556</v>
      </c>
      <c r="W340" s="14">
        <v>0.0</v>
      </c>
      <c r="X340" s="14" t="s">
        <v>4495</v>
      </c>
      <c r="Y340" s="18" t="s">
        <v>4495</v>
      </c>
      <c r="Z340" s="18">
        <v>0.5716075650904038</v>
      </c>
      <c r="AA340" s="18">
        <v>1.0</v>
      </c>
      <c r="AB340" s="18">
        <v>1.0</v>
      </c>
      <c r="AC340" s="18">
        <v>0.6586621020908234</v>
      </c>
      <c r="AD340" s="18">
        <v>0.5587681014816833</v>
      </c>
      <c r="AE340" s="19" t="s">
        <v>4497</v>
      </c>
    </row>
    <row r="341" ht="21.0" customHeight="1">
      <c r="A341" s="20" t="s">
        <v>2383</v>
      </c>
      <c r="B341" s="21" t="s">
        <v>3054</v>
      </c>
      <c r="C341" s="22" t="s">
        <v>3055</v>
      </c>
      <c r="D341" s="23">
        <v>41760.0</v>
      </c>
      <c r="E341" s="24">
        <v>2014.0</v>
      </c>
      <c r="F341" s="21" t="s">
        <v>2386</v>
      </c>
      <c r="G341" s="21" t="s">
        <v>42</v>
      </c>
      <c r="H341" s="24">
        <v>28.0</v>
      </c>
      <c r="I341" s="24">
        <v>408.0</v>
      </c>
      <c r="J341" s="25"/>
      <c r="K341" s="21" t="s">
        <v>3058</v>
      </c>
      <c r="L341" s="21" t="s">
        <v>3059</v>
      </c>
      <c r="M341" s="26" t="s">
        <v>31</v>
      </c>
      <c r="N341" s="25"/>
      <c r="O341" s="21" t="s">
        <v>3060</v>
      </c>
      <c r="P341" s="24">
        <v>7.0</v>
      </c>
      <c r="Q341" s="24"/>
      <c r="R341" s="24">
        <v>29.0</v>
      </c>
      <c r="S341" s="24"/>
      <c r="T341" s="21" t="s">
        <v>3061</v>
      </c>
      <c r="U341" s="24">
        <v>8.0</v>
      </c>
      <c r="V341" s="24">
        <v>0.09788867562380038</v>
      </c>
      <c r="W341" s="24" t="s">
        <v>4495</v>
      </c>
      <c r="X341" s="24" t="s">
        <v>4495</v>
      </c>
      <c r="Y341" s="27" t="s">
        <v>4495</v>
      </c>
      <c r="Z341" s="27">
        <v>0.3227870895109485</v>
      </c>
      <c r="AA341" s="27" t="s">
        <v>4495</v>
      </c>
      <c r="AB341" s="27">
        <v>1.0</v>
      </c>
      <c r="AC341" s="27">
        <v>0.29191618910194683</v>
      </c>
      <c r="AD341" s="27">
        <v>0.2598883912879318</v>
      </c>
      <c r="AE341" s="28" t="s">
        <v>4497</v>
      </c>
    </row>
    <row r="342" ht="21.0" customHeight="1">
      <c r="A342" s="10" t="s">
        <v>2383</v>
      </c>
      <c r="B342" s="15" t="s">
        <v>3062</v>
      </c>
      <c r="C342" s="12" t="s">
        <v>3063</v>
      </c>
      <c r="D342" s="13">
        <v>42979.0</v>
      </c>
      <c r="E342" s="14">
        <v>2017.0</v>
      </c>
      <c r="F342" s="15" t="s">
        <v>2386</v>
      </c>
      <c r="G342" s="15" t="s">
        <v>42</v>
      </c>
      <c r="H342" s="14">
        <v>28.0</v>
      </c>
      <c r="I342" s="14">
        <v>316.0</v>
      </c>
      <c r="J342" s="16"/>
      <c r="K342" s="15" t="s">
        <v>3065</v>
      </c>
      <c r="L342" s="15" t="s">
        <v>3066</v>
      </c>
      <c r="M342" s="17" t="s">
        <v>31</v>
      </c>
      <c r="N342" s="16"/>
      <c r="O342" s="15" t="s">
        <v>3067</v>
      </c>
      <c r="P342" s="14">
        <v>23.0</v>
      </c>
      <c r="Q342" s="14"/>
      <c r="R342" s="14">
        <v>55.0</v>
      </c>
      <c r="S342" s="14"/>
      <c r="T342" s="15" t="s">
        <v>3068</v>
      </c>
      <c r="U342" s="14">
        <v>11.5</v>
      </c>
      <c r="V342" s="14">
        <v>0.10715496778569006</v>
      </c>
      <c r="W342" s="14" t="s">
        <v>4495</v>
      </c>
      <c r="X342" s="14" t="s">
        <v>4495</v>
      </c>
      <c r="Y342" s="18" t="s">
        <v>4495</v>
      </c>
      <c r="Z342" s="18">
        <v>0.5416225389667044</v>
      </c>
      <c r="AA342" s="18" t="s">
        <v>4495</v>
      </c>
      <c r="AB342" s="18">
        <v>1.0</v>
      </c>
      <c r="AC342" s="18">
        <v>0.4302643754965017</v>
      </c>
      <c r="AD342" s="18">
        <v>0.3284320722913263</v>
      </c>
      <c r="AE342" s="19" t="s">
        <v>4497</v>
      </c>
    </row>
    <row r="343" ht="21.0" customHeight="1">
      <c r="A343" s="20" t="s">
        <v>2383</v>
      </c>
      <c r="B343" s="21" t="s">
        <v>3069</v>
      </c>
      <c r="C343" s="22" t="s">
        <v>3070</v>
      </c>
      <c r="D343" s="23">
        <v>45245.0</v>
      </c>
      <c r="E343" s="24">
        <v>2023.0</v>
      </c>
      <c r="F343" s="21" t="s">
        <v>2398</v>
      </c>
      <c r="G343" s="21" t="s">
        <v>42</v>
      </c>
      <c r="H343" s="24">
        <v>28.0</v>
      </c>
      <c r="I343" s="24">
        <v>154.0</v>
      </c>
      <c r="J343" s="25" t="s">
        <v>3072</v>
      </c>
      <c r="K343" s="21" t="s">
        <v>3073</v>
      </c>
      <c r="L343" s="21" t="s">
        <v>3074</v>
      </c>
      <c r="M343" s="26" t="s">
        <v>59</v>
      </c>
      <c r="N343" s="30" t="s">
        <v>3075</v>
      </c>
      <c r="O343" s="21" t="s">
        <v>3076</v>
      </c>
      <c r="P343" s="24">
        <v>14.0</v>
      </c>
      <c r="Q343" s="24"/>
      <c r="R343" s="24">
        <v>65.0</v>
      </c>
      <c r="S343" s="24">
        <v>2023.0</v>
      </c>
      <c r="T343" s="21" t="s">
        <v>3077</v>
      </c>
      <c r="U343" s="24">
        <v>17.0</v>
      </c>
      <c r="V343" s="24">
        <v>0.22547584187408493</v>
      </c>
      <c r="W343" s="24">
        <v>0.0</v>
      </c>
      <c r="X343" s="24" t="s">
        <v>4495</v>
      </c>
      <c r="Y343" s="27" t="s">
        <v>4495</v>
      </c>
      <c r="Z343" s="27">
        <v>0.5992290179313052</v>
      </c>
      <c r="AA343" s="27">
        <v>1.0</v>
      </c>
      <c r="AB343" s="27">
        <v>1.0</v>
      </c>
      <c r="AC343" s="27">
        <v>0.5838323782038936</v>
      </c>
      <c r="AD343" s="27">
        <v>0.5581904923032157</v>
      </c>
      <c r="AE343" s="28" t="s">
        <v>4501</v>
      </c>
    </row>
    <row r="344" ht="21.0" customHeight="1">
      <c r="A344" s="10" t="s">
        <v>2383</v>
      </c>
      <c r="B344" s="15" t="s">
        <v>3078</v>
      </c>
      <c r="C344" s="12" t="s">
        <v>3079</v>
      </c>
      <c r="D344" s="13"/>
      <c r="E344" s="14"/>
      <c r="F344" s="15" t="s">
        <v>2386</v>
      </c>
      <c r="G344" s="15" t="s">
        <v>42</v>
      </c>
      <c r="H344" s="14">
        <v>28.0</v>
      </c>
      <c r="I344" s="14">
        <v>497.0</v>
      </c>
      <c r="J344" s="16" t="s">
        <v>3081</v>
      </c>
      <c r="K344" s="15" t="s">
        <v>3082</v>
      </c>
      <c r="L344" s="15" t="s">
        <v>3083</v>
      </c>
      <c r="M344" s="17" t="s">
        <v>59</v>
      </c>
      <c r="N344" s="29" t="s">
        <v>3084</v>
      </c>
      <c r="O344" s="15" t="s">
        <v>3085</v>
      </c>
      <c r="P344" s="14">
        <v>15.0</v>
      </c>
      <c r="Q344" s="14"/>
      <c r="R344" s="14">
        <v>44.0</v>
      </c>
      <c r="S344" s="14">
        <v>2019.0</v>
      </c>
      <c r="T344" s="15" t="s">
        <v>3086</v>
      </c>
      <c r="U344" s="14">
        <v>7.57142857142857</v>
      </c>
      <c r="V344" s="14" t="s">
        <v>4495</v>
      </c>
      <c r="W344" s="14" t="s">
        <v>4495</v>
      </c>
      <c r="X344" s="14" t="s">
        <v>4495</v>
      </c>
      <c r="Y344" s="18" t="s">
        <v>4495</v>
      </c>
      <c r="Z344" s="18">
        <v>0.46494767044687196</v>
      </c>
      <c r="AA344" s="18" t="s">
        <v>4495</v>
      </c>
      <c r="AB344" s="18" t="s">
        <v>4495</v>
      </c>
      <c r="AC344" s="18">
        <v>0.2713684047504423</v>
      </c>
      <c r="AD344" s="18">
        <v>0.14337375808676223</v>
      </c>
      <c r="AE344" s="19" t="s">
        <v>4501</v>
      </c>
    </row>
    <row r="345" ht="21.0" customHeight="1">
      <c r="A345" s="20" t="s">
        <v>2383</v>
      </c>
      <c r="B345" s="21" t="s">
        <v>3088</v>
      </c>
      <c r="C345" s="22" t="s">
        <v>3089</v>
      </c>
      <c r="D345" s="23">
        <v>44105.0</v>
      </c>
      <c r="E345" s="24">
        <v>2020.0</v>
      </c>
      <c r="F345" s="21" t="s">
        <v>2386</v>
      </c>
      <c r="G345" s="21" t="s">
        <v>42</v>
      </c>
      <c r="H345" s="24">
        <v>28.0</v>
      </c>
      <c r="I345" s="24">
        <v>103.0</v>
      </c>
      <c r="J345" s="25" t="s">
        <v>3091</v>
      </c>
      <c r="K345" s="21" t="s">
        <v>3092</v>
      </c>
      <c r="L345" s="21" t="s">
        <v>3093</v>
      </c>
      <c r="M345" s="26" t="s">
        <v>59</v>
      </c>
      <c r="N345" s="30" t="s">
        <v>3094</v>
      </c>
      <c r="O345" s="21" t="s">
        <v>3095</v>
      </c>
      <c r="P345" s="24">
        <v>13.0</v>
      </c>
      <c r="Q345" s="24"/>
      <c r="R345" s="24">
        <v>35.0</v>
      </c>
      <c r="S345" s="24"/>
      <c r="T345" s="21" t="s">
        <v>3096</v>
      </c>
      <c r="U345" s="24">
        <v>25.1666666666666</v>
      </c>
      <c r="V345" s="24">
        <v>0.05650027427317608</v>
      </c>
      <c r="W345" s="24" t="s">
        <v>4495</v>
      </c>
      <c r="X345" s="24" t="s">
        <v>4495</v>
      </c>
      <c r="Y345" s="27" t="s">
        <v>4495</v>
      </c>
      <c r="Z345" s="27">
        <v>0.3867110571043727</v>
      </c>
      <c r="AA345" s="27" t="s">
        <v>4495</v>
      </c>
      <c r="AB345" s="27">
        <v>1.0</v>
      </c>
      <c r="AC345" s="27">
        <v>0.7413892507203973</v>
      </c>
      <c r="AD345" s="27">
        <v>0.3208166893481329</v>
      </c>
      <c r="AE345" s="28" t="s">
        <v>4501</v>
      </c>
    </row>
    <row r="346" ht="21.0" customHeight="1">
      <c r="A346" s="10" t="s">
        <v>2383</v>
      </c>
      <c r="B346" s="15" t="s">
        <v>3098</v>
      </c>
      <c r="C346" s="12" t="s">
        <v>3099</v>
      </c>
      <c r="D346" s="13">
        <v>40848.0</v>
      </c>
      <c r="E346" s="14">
        <v>2011.0</v>
      </c>
      <c r="F346" s="15" t="s">
        <v>2386</v>
      </c>
      <c r="G346" s="15" t="s">
        <v>3100</v>
      </c>
      <c r="H346" s="14">
        <v>28.0</v>
      </c>
      <c r="I346" s="14">
        <v>340.0</v>
      </c>
      <c r="J346" s="16"/>
      <c r="K346" s="15" t="s">
        <v>3101</v>
      </c>
      <c r="L346" s="15" t="s">
        <v>3102</v>
      </c>
      <c r="M346" s="17" t="s">
        <v>59</v>
      </c>
      <c r="N346" s="16" t="s">
        <v>3103</v>
      </c>
      <c r="O346" s="15" t="s">
        <v>3104</v>
      </c>
      <c r="P346" s="14">
        <v>14.0</v>
      </c>
      <c r="Q346" s="14"/>
      <c r="R346" s="14">
        <v>73.0</v>
      </c>
      <c r="S346" s="14"/>
      <c r="T346" s="15" t="s">
        <v>3105</v>
      </c>
      <c r="U346" s="14">
        <v>45.5</v>
      </c>
      <c r="V346" s="14">
        <v>0.06692913385826772</v>
      </c>
      <c r="W346" s="14" t="s">
        <v>4495</v>
      </c>
      <c r="X346" s="14" t="s">
        <v>4495</v>
      </c>
      <c r="Y346" s="18" t="s">
        <v>4495</v>
      </c>
      <c r="Z346" s="18">
        <v>0.6393425607818833</v>
      </c>
      <c r="AA346" s="18" t="s">
        <v>4495</v>
      </c>
      <c r="AB346" s="18">
        <v>1.0</v>
      </c>
      <c r="AC346" s="18">
        <v>0.9835338939110507</v>
      </c>
      <c r="AD346" s="18">
        <v>0.4081890295865759</v>
      </c>
      <c r="AE346" s="19" t="s">
        <v>4499</v>
      </c>
    </row>
    <row r="347" ht="21.0" customHeight="1">
      <c r="A347" s="20" t="s">
        <v>2383</v>
      </c>
      <c r="B347" s="21" t="s">
        <v>3107</v>
      </c>
      <c r="C347" s="22" t="s">
        <v>3108</v>
      </c>
      <c r="D347" s="23"/>
      <c r="E347" s="24"/>
      <c r="G347" s="21" t="s">
        <v>42</v>
      </c>
      <c r="H347" s="24">
        <v>27.0</v>
      </c>
      <c r="I347" s="24">
        <v>306.0</v>
      </c>
      <c r="J347" s="25"/>
      <c r="K347" s="21" t="s">
        <v>3109</v>
      </c>
      <c r="L347" s="21" t="s">
        <v>3110</v>
      </c>
      <c r="M347" s="26" t="s">
        <v>59</v>
      </c>
      <c r="N347" s="25" t="s">
        <v>3111</v>
      </c>
      <c r="P347" s="24"/>
      <c r="Q347" s="24"/>
      <c r="R347" s="24">
        <v>22.0</v>
      </c>
      <c r="S347" s="24"/>
      <c r="T347" s="21" t="s">
        <v>2443</v>
      </c>
      <c r="U347" s="24">
        <v>34.5</v>
      </c>
      <c r="V347" s="24" t="s">
        <v>4495</v>
      </c>
      <c r="W347" s="24" t="s">
        <v>4495</v>
      </c>
      <c r="X347" s="24" t="s">
        <v>4495</v>
      </c>
      <c r="Y347" s="27" t="s">
        <v>4495</v>
      </c>
      <c r="Z347" s="27">
        <v>0.22962860153806564</v>
      </c>
      <c r="AA347" s="27" t="s">
        <v>4495</v>
      </c>
      <c r="AB347" s="27" t="s">
        <v>4495</v>
      </c>
      <c r="AC347" s="27">
        <v>0.8698583169064583</v>
      </c>
      <c r="AD347" s="27">
        <v>0.14439298207516224</v>
      </c>
      <c r="AE347" s="28" t="s">
        <v>4499</v>
      </c>
    </row>
    <row r="348" ht="21.0" customHeight="1">
      <c r="A348" s="10" t="s">
        <v>2383</v>
      </c>
      <c r="B348" s="15" t="s">
        <v>3112</v>
      </c>
      <c r="C348" s="12" t="s">
        <v>3113</v>
      </c>
      <c r="D348" s="13">
        <v>41334.0</v>
      </c>
      <c r="E348" s="14">
        <v>2013.0</v>
      </c>
      <c r="F348" s="15" t="s">
        <v>2386</v>
      </c>
      <c r="G348" s="15" t="s">
        <v>232</v>
      </c>
      <c r="H348" s="14">
        <v>27.0</v>
      </c>
      <c r="I348" s="14">
        <v>461.0</v>
      </c>
      <c r="J348" s="16"/>
      <c r="K348" s="15" t="s">
        <v>3115</v>
      </c>
      <c r="L348" s="15" t="s">
        <v>3116</v>
      </c>
      <c r="M348" s="17" t="s">
        <v>31</v>
      </c>
      <c r="N348" s="29"/>
      <c r="O348" s="15" t="s">
        <v>3117</v>
      </c>
      <c r="P348" s="14">
        <v>10.0</v>
      </c>
      <c r="Q348" s="14"/>
      <c r="R348" s="14">
        <v>51.0</v>
      </c>
      <c r="S348" s="14"/>
      <c r="T348" s="15" t="s">
        <v>3118</v>
      </c>
      <c r="U348" s="14">
        <v>22.3333333333333</v>
      </c>
      <c r="V348" s="14">
        <v>0.10034828036569439</v>
      </c>
      <c r="W348" s="14" t="s">
        <v>4495</v>
      </c>
      <c r="X348" s="14" t="s">
        <v>4495</v>
      </c>
      <c r="Y348" s="18" t="s">
        <v>4495</v>
      </c>
      <c r="Z348" s="18">
        <v>0.5156394588873553</v>
      </c>
      <c r="AA348" s="18" t="s">
        <v>4495</v>
      </c>
      <c r="AB348" s="18">
        <v>1.0</v>
      </c>
      <c r="AC348" s="18">
        <v>0.6931244900957695</v>
      </c>
      <c r="AD348" s="18">
        <v>0.34822231373141577</v>
      </c>
      <c r="AE348" s="19" t="s">
        <v>4497</v>
      </c>
    </row>
    <row r="349" ht="21.0" customHeight="1">
      <c r="A349" s="20" t="s">
        <v>2383</v>
      </c>
      <c r="B349" s="21" t="s">
        <v>3119</v>
      </c>
      <c r="C349" s="22" t="s">
        <v>3120</v>
      </c>
      <c r="D349" s="23">
        <v>45176.0</v>
      </c>
      <c r="E349" s="24">
        <v>2023.0</v>
      </c>
      <c r="F349" s="21" t="s">
        <v>2386</v>
      </c>
      <c r="G349" s="21" t="s">
        <v>42</v>
      </c>
      <c r="H349" s="24">
        <v>27.0</v>
      </c>
      <c r="I349" s="24">
        <v>288.0</v>
      </c>
      <c r="J349" s="25" t="s">
        <v>3123</v>
      </c>
      <c r="K349" s="21" t="s">
        <v>3124</v>
      </c>
      <c r="L349" s="21" t="s">
        <v>3125</v>
      </c>
      <c r="M349" s="26" t="s">
        <v>59</v>
      </c>
      <c r="N349" s="30" t="s">
        <v>3126</v>
      </c>
      <c r="P349" s="24"/>
      <c r="Q349" s="24"/>
      <c r="R349" s="24">
        <v>30.0</v>
      </c>
      <c r="S349" s="24">
        <v>2023.0</v>
      </c>
      <c r="T349" s="21" t="s">
        <v>3127</v>
      </c>
      <c r="U349" s="24">
        <v>40.0</v>
      </c>
      <c r="V349" s="24">
        <v>0.3829787234042553</v>
      </c>
      <c r="W349" s="24">
        <v>0.0</v>
      </c>
      <c r="X349" s="24" t="s">
        <v>4495</v>
      </c>
      <c r="Y349" s="27" t="s">
        <v>4495</v>
      </c>
      <c r="Z349" s="27">
        <v>0.33428356644099017</v>
      </c>
      <c r="AA349" s="27">
        <v>1.0</v>
      </c>
      <c r="AB349" s="27">
        <v>1.0</v>
      </c>
      <c r="AC349" s="27">
        <v>0.9305199270455304</v>
      </c>
      <c r="AD349" s="27">
        <v>0.5266228843148006</v>
      </c>
      <c r="AE349" s="28" t="s">
        <v>4501</v>
      </c>
    </row>
    <row r="350" ht="21.0" customHeight="1">
      <c r="A350" s="10" t="s">
        <v>2383</v>
      </c>
      <c r="B350" s="15" t="s">
        <v>3128</v>
      </c>
      <c r="C350" s="12" t="s">
        <v>3129</v>
      </c>
      <c r="D350" s="13"/>
      <c r="E350" s="14"/>
      <c r="F350" s="15" t="s">
        <v>2398</v>
      </c>
      <c r="G350" s="15" t="s">
        <v>42</v>
      </c>
      <c r="H350" s="14">
        <v>27.0</v>
      </c>
      <c r="I350" s="14">
        <v>270.0</v>
      </c>
      <c r="J350" s="16"/>
      <c r="K350" s="15" t="s">
        <v>3131</v>
      </c>
      <c r="L350" s="15" t="s">
        <v>3132</v>
      </c>
      <c r="M350" s="17" t="s">
        <v>31</v>
      </c>
      <c r="N350" s="29"/>
      <c r="O350" s="15" t="s">
        <v>3133</v>
      </c>
      <c r="P350" s="14">
        <v>9.0</v>
      </c>
      <c r="Q350" s="14"/>
      <c r="R350" s="14">
        <v>19.0</v>
      </c>
      <c r="S350" s="14"/>
      <c r="T350" s="15" t="s">
        <v>3134</v>
      </c>
      <c r="U350" s="14">
        <v>53.5</v>
      </c>
      <c r="V350" s="14" t="s">
        <v>4495</v>
      </c>
      <c r="W350" s="14" t="s">
        <v>4495</v>
      </c>
      <c r="X350" s="14" t="s">
        <v>4495</v>
      </c>
      <c r="Y350" s="18" t="s">
        <v>4495</v>
      </c>
      <c r="Z350" s="18">
        <v>0.18062650857502485</v>
      </c>
      <c r="AA350" s="18" t="s">
        <v>4495</v>
      </c>
      <c r="AB350" s="18" t="s">
        <v>4495</v>
      </c>
      <c r="AC350" s="18">
        <v>1.0</v>
      </c>
      <c r="AD350" s="18">
        <v>0.1451566271437562</v>
      </c>
      <c r="AE350" s="19" t="s">
        <v>4497</v>
      </c>
    </row>
    <row r="351" ht="21.0" customHeight="1">
      <c r="A351" s="20" t="s">
        <v>2383</v>
      </c>
      <c r="B351" s="21" t="s">
        <v>3136</v>
      </c>
      <c r="C351" s="22" t="s">
        <v>3137</v>
      </c>
      <c r="D351" s="23">
        <v>44223.0</v>
      </c>
      <c r="E351" s="24">
        <v>2021.0</v>
      </c>
      <c r="F351" s="21" t="s">
        <v>2386</v>
      </c>
      <c r="G351" s="21" t="s">
        <v>42</v>
      </c>
      <c r="H351" s="24">
        <v>26.0</v>
      </c>
      <c r="I351" s="24">
        <v>262.0</v>
      </c>
      <c r="J351" s="25" t="s">
        <v>3140</v>
      </c>
      <c r="K351" s="21" t="s">
        <v>3141</v>
      </c>
      <c r="L351" s="21" t="s">
        <v>3142</v>
      </c>
      <c r="M351" s="26" t="s">
        <v>59</v>
      </c>
      <c r="N351" s="25" t="s">
        <v>3143</v>
      </c>
      <c r="O351" s="21" t="s">
        <v>3144</v>
      </c>
      <c r="P351" s="24">
        <v>14.0</v>
      </c>
      <c r="Q351" s="24"/>
      <c r="R351" s="24">
        <v>19.0</v>
      </c>
      <c r="S351" s="24">
        <v>2020.0</v>
      </c>
      <c r="T351" s="21" t="s">
        <v>3145</v>
      </c>
      <c r="U351" s="24">
        <v>22.0</v>
      </c>
      <c r="V351" s="24">
        <v>0.1536656891495601</v>
      </c>
      <c r="W351" s="24">
        <v>1.0</v>
      </c>
      <c r="X351" s="24" t="s">
        <v>4495</v>
      </c>
      <c r="Y351" s="27" t="s">
        <v>4495</v>
      </c>
      <c r="Z351" s="27">
        <v>0.18062650857502485</v>
      </c>
      <c r="AA351" s="27">
        <v>1.0</v>
      </c>
      <c r="AB351" s="27">
        <v>1.0</v>
      </c>
      <c r="AC351" s="27">
        <v>0.6870647303206351</v>
      </c>
      <c r="AD351" s="27">
        <v>0.4638631001758197</v>
      </c>
      <c r="AE351" s="28" t="s">
        <v>4501</v>
      </c>
    </row>
    <row r="352" ht="21.0" customHeight="1">
      <c r="A352" s="10" t="s">
        <v>2383</v>
      </c>
      <c r="B352" s="15" t="s">
        <v>3146</v>
      </c>
      <c r="C352" s="12" t="s">
        <v>3147</v>
      </c>
      <c r="D352" s="13">
        <v>44361.0</v>
      </c>
      <c r="E352" s="14">
        <v>2021.0</v>
      </c>
      <c r="F352" s="15" t="s">
        <v>41</v>
      </c>
      <c r="G352" s="15" t="s">
        <v>42</v>
      </c>
      <c r="H352" s="14">
        <v>26.0</v>
      </c>
      <c r="I352" s="14">
        <v>607.0</v>
      </c>
      <c r="J352" s="16" t="s">
        <v>3150</v>
      </c>
      <c r="K352" s="15" t="s">
        <v>3151</v>
      </c>
      <c r="L352" s="15" t="s">
        <v>3152</v>
      </c>
      <c r="M352" s="17" t="s">
        <v>59</v>
      </c>
      <c r="N352" s="16" t="s">
        <v>3153</v>
      </c>
      <c r="O352" s="15" t="s">
        <v>3154</v>
      </c>
      <c r="P352" s="14">
        <v>27.0</v>
      </c>
      <c r="Q352" s="14"/>
      <c r="R352" s="14">
        <v>225.0</v>
      </c>
      <c r="S352" s="14">
        <v>2021.0</v>
      </c>
      <c r="T352" s="15" t="s">
        <v>3156</v>
      </c>
      <c r="U352" s="14">
        <v>24.2857142857142</v>
      </c>
      <c r="V352" s="14">
        <v>0.387364390555201</v>
      </c>
      <c r="W352" s="14">
        <v>0.0</v>
      </c>
      <c r="X352" s="14" t="s">
        <v>4495</v>
      </c>
      <c r="Y352" s="18" t="s">
        <v>4495</v>
      </c>
      <c r="Z352" s="18">
        <v>1.0</v>
      </c>
      <c r="AA352" s="18">
        <v>1.0</v>
      </c>
      <c r="AB352" s="18">
        <v>1.0</v>
      </c>
      <c r="AC352" s="18">
        <v>0.7269663665350493</v>
      </c>
      <c r="AD352" s="18">
        <v>0.6726966366535049</v>
      </c>
      <c r="AE352" s="19" t="s">
        <v>4500</v>
      </c>
    </row>
    <row r="353" ht="21.0" customHeight="1">
      <c r="A353" s="20" t="s">
        <v>2383</v>
      </c>
      <c r="B353" s="21" t="s">
        <v>3158</v>
      </c>
      <c r="C353" s="22" t="s">
        <v>3159</v>
      </c>
      <c r="D353" s="23">
        <v>44278.0</v>
      </c>
      <c r="E353" s="24">
        <v>2021.0</v>
      </c>
      <c r="F353" s="21" t="s">
        <v>2398</v>
      </c>
      <c r="G353" s="21" t="s">
        <v>42</v>
      </c>
      <c r="H353" s="24">
        <v>26.0</v>
      </c>
      <c r="I353" s="24">
        <v>164.0</v>
      </c>
      <c r="J353" s="25" t="s">
        <v>3160</v>
      </c>
      <c r="K353" s="21" t="s">
        <v>3161</v>
      </c>
      <c r="L353" s="21" t="s">
        <v>3162</v>
      </c>
      <c r="M353" s="26" t="s">
        <v>59</v>
      </c>
      <c r="N353" s="30" t="s">
        <v>3163</v>
      </c>
      <c r="O353" s="21" t="s">
        <v>3164</v>
      </c>
      <c r="P353" s="24">
        <v>10.0</v>
      </c>
      <c r="Q353" s="24"/>
      <c r="R353" s="24">
        <v>54.0</v>
      </c>
      <c r="S353" s="24">
        <v>2021.0</v>
      </c>
      <c r="T353" s="21" t="s">
        <v>3165</v>
      </c>
      <c r="U353" s="24">
        <v>54.5</v>
      </c>
      <c r="V353" s="24">
        <v>0.0993939393939394</v>
      </c>
      <c r="W353" s="24">
        <v>0.0</v>
      </c>
      <c r="X353" s="24" t="s">
        <v>4495</v>
      </c>
      <c r="Y353" s="27" t="s">
        <v>4495</v>
      </c>
      <c r="Z353" s="27">
        <v>0.5353050503378812</v>
      </c>
      <c r="AA353" s="27">
        <v>1.0</v>
      </c>
      <c r="AB353" s="27">
        <v>1.0</v>
      </c>
      <c r="AC353" s="27">
        <v>1.0</v>
      </c>
      <c r="AD353" s="27">
        <v>0.5838262625844703</v>
      </c>
      <c r="AE353" s="28" t="s">
        <v>4501</v>
      </c>
    </row>
    <row r="354" ht="21.0" customHeight="1">
      <c r="A354" s="10" t="s">
        <v>2383</v>
      </c>
      <c r="B354" s="15" t="s">
        <v>3167</v>
      </c>
      <c r="C354" s="12" t="s">
        <v>3168</v>
      </c>
      <c r="D354" s="13">
        <v>45054.0</v>
      </c>
      <c r="E354" s="14">
        <v>2023.0</v>
      </c>
      <c r="F354" s="15" t="s">
        <v>2386</v>
      </c>
      <c r="G354" s="15" t="s">
        <v>42</v>
      </c>
      <c r="H354" s="14">
        <v>26.0</v>
      </c>
      <c r="I354" s="14">
        <v>116.0</v>
      </c>
      <c r="J354" s="16" t="s">
        <v>3170</v>
      </c>
      <c r="K354" s="15" t="s">
        <v>3171</v>
      </c>
      <c r="L354" s="15" t="s">
        <v>3172</v>
      </c>
      <c r="M354" s="17" t="s">
        <v>59</v>
      </c>
      <c r="N354" s="29" t="s">
        <v>3173</v>
      </c>
      <c r="P354" s="14"/>
      <c r="Q354" s="14"/>
      <c r="R354" s="14">
        <v>59.0</v>
      </c>
      <c r="S354" s="14">
        <v>2023.0</v>
      </c>
      <c r="T354" s="15" t="s">
        <v>3174</v>
      </c>
      <c r="U354" s="14">
        <v>19.4615384615384</v>
      </c>
      <c r="V354" s="14">
        <v>0.13272311212814644</v>
      </c>
      <c r="W354" s="14">
        <v>0.0</v>
      </c>
      <c r="X354" s="14" t="s">
        <v>4495</v>
      </c>
      <c r="Y354" s="18" t="s">
        <v>4495</v>
      </c>
      <c r="Z354" s="18">
        <v>0.5658122078059921</v>
      </c>
      <c r="AA354" s="18">
        <v>1.0</v>
      </c>
      <c r="AB354" s="18">
        <v>1.0</v>
      </c>
      <c r="AC354" s="18">
        <v>0.6378128531320485</v>
      </c>
      <c r="AD354" s="18">
        <v>0.5552343372647028</v>
      </c>
      <c r="AE354" s="19" t="s">
        <v>4501</v>
      </c>
    </row>
    <row r="355" ht="21.0" customHeight="1">
      <c r="A355" s="20" t="s">
        <v>2383</v>
      </c>
      <c r="B355" s="21" t="s">
        <v>3176</v>
      </c>
      <c r="C355" s="22" t="s">
        <v>3177</v>
      </c>
      <c r="D355" s="23">
        <v>42793.0</v>
      </c>
      <c r="E355" s="24">
        <v>2017.0</v>
      </c>
      <c r="F355" s="21" t="s">
        <v>2386</v>
      </c>
      <c r="G355" s="21" t="s">
        <v>42</v>
      </c>
      <c r="H355" s="24">
        <v>26.0</v>
      </c>
      <c r="I355" s="24">
        <v>209.0</v>
      </c>
      <c r="J355" s="25" t="s">
        <v>3180</v>
      </c>
      <c r="K355" s="21" t="s">
        <v>3181</v>
      </c>
      <c r="M355" s="26" t="s">
        <v>31</v>
      </c>
      <c r="N355" s="30"/>
      <c r="P355" s="24"/>
      <c r="Q355" s="24"/>
      <c r="R355" s="24">
        <v>35.0</v>
      </c>
      <c r="S355" s="24">
        <v>2016.0</v>
      </c>
      <c r="T355" s="21" t="s">
        <v>3182</v>
      </c>
      <c r="U355" s="24">
        <v>9.5</v>
      </c>
      <c r="V355" s="24">
        <v>0.06666666666666667</v>
      </c>
      <c r="W355" s="24">
        <v>1.0</v>
      </c>
      <c r="X355" s="24" t="s">
        <v>4495</v>
      </c>
      <c r="Y355" s="27" t="s">
        <v>4495</v>
      </c>
      <c r="Z355" s="27">
        <v>0.3867110571043727</v>
      </c>
      <c r="AA355" s="27">
        <v>1.0</v>
      </c>
      <c r="AB355" s="27">
        <v>1.0</v>
      </c>
      <c r="AC355" s="27">
        <v>0.3568361372236371</v>
      </c>
      <c r="AD355" s="27">
        <v>0.4823613779984569</v>
      </c>
      <c r="AE355" s="28" t="s">
        <v>4497</v>
      </c>
    </row>
    <row r="356" ht="21.0" customHeight="1">
      <c r="A356" s="10" t="s">
        <v>2383</v>
      </c>
      <c r="B356" s="15" t="s">
        <v>3183</v>
      </c>
      <c r="C356" s="12" t="s">
        <v>3184</v>
      </c>
      <c r="D356" s="13">
        <v>42667.0</v>
      </c>
      <c r="E356" s="14">
        <v>2016.0</v>
      </c>
      <c r="F356" s="15" t="s">
        <v>2417</v>
      </c>
      <c r="G356" s="15" t="s">
        <v>42</v>
      </c>
      <c r="H356" s="14">
        <v>26.0</v>
      </c>
      <c r="I356" s="14">
        <v>274.0</v>
      </c>
      <c r="J356" s="16"/>
      <c r="K356" s="15" t="s">
        <v>3186</v>
      </c>
      <c r="L356" s="15" t="s">
        <v>3187</v>
      </c>
      <c r="M356" s="17" t="s">
        <v>59</v>
      </c>
      <c r="N356" s="29" t="s">
        <v>3188</v>
      </c>
      <c r="P356" s="14"/>
      <c r="Q356" s="14"/>
      <c r="R356" s="14">
        <v>42.0</v>
      </c>
      <c r="S356" s="14"/>
      <c r="T356" s="15" t="s">
        <v>3189</v>
      </c>
      <c r="U356" s="14">
        <v>31.3333333333333</v>
      </c>
      <c r="V356" s="14">
        <v>0.0840233057344373</v>
      </c>
      <c r="W356" s="14" t="s">
        <v>4495</v>
      </c>
      <c r="X356" s="14" t="s">
        <v>4495</v>
      </c>
      <c r="Y356" s="18" t="s">
        <v>4495</v>
      </c>
      <c r="Z356" s="18">
        <v>0.4490080559640544</v>
      </c>
      <c r="AA356" s="18" t="s">
        <v>4495</v>
      </c>
      <c r="AB356" s="18">
        <v>1.0</v>
      </c>
      <c r="AC356" s="18">
        <v>0.8305089551581765</v>
      </c>
      <c r="AD356" s="18">
        <v>0.3453029095068313</v>
      </c>
      <c r="AE356" s="19" t="s">
        <v>4499</v>
      </c>
    </row>
    <row r="357" ht="21.0" customHeight="1">
      <c r="A357" s="20" t="s">
        <v>2383</v>
      </c>
      <c r="B357" s="21" t="s">
        <v>3191</v>
      </c>
      <c r="C357" s="22" t="s">
        <v>3192</v>
      </c>
      <c r="D357" s="23">
        <v>42067.0</v>
      </c>
      <c r="E357" s="24">
        <v>2015.0</v>
      </c>
      <c r="F357" s="21" t="s">
        <v>2386</v>
      </c>
      <c r="G357" s="21" t="s">
        <v>42</v>
      </c>
      <c r="H357" s="24">
        <v>26.0</v>
      </c>
      <c r="I357" s="24">
        <v>526.0</v>
      </c>
      <c r="J357" s="25"/>
      <c r="K357" s="21" t="s">
        <v>3195</v>
      </c>
      <c r="L357" s="21" t="s">
        <v>3196</v>
      </c>
      <c r="M357" s="26" t="s">
        <v>31</v>
      </c>
      <c r="N357" s="30"/>
      <c r="O357" s="21" t="s">
        <v>3197</v>
      </c>
      <c r="P357" s="24">
        <v>6.0</v>
      </c>
      <c r="Q357" s="24"/>
      <c r="R357" s="24">
        <v>24.0</v>
      </c>
      <c r="S357" s="24"/>
      <c r="T357" s="21" t="s">
        <v>3198</v>
      </c>
      <c r="U357" s="24">
        <v>47.75</v>
      </c>
      <c r="V357" s="24">
        <v>0.13623413623413624</v>
      </c>
      <c r="W357" s="24" t="s">
        <v>4495</v>
      </c>
      <c r="X357" s="24" t="s">
        <v>4495</v>
      </c>
      <c r="Y357" s="27" t="s">
        <v>4495</v>
      </c>
      <c r="Z357" s="27">
        <v>0.25886312191752414</v>
      </c>
      <c r="AA357" s="27" t="s">
        <v>4495</v>
      </c>
      <c r="AB357" s="27">
        <v>1.0</v>
      </c>
      <c r="AC357" s="27">
        <v>1.0</v>
      </c>
      <c r="AD357" s="27">
        <v>0.31471578047938104</v>
      </c>
      <c r="AE357" s="28" t="s">
        <v>4497</v>
      </c>
    </row>
    <row r="358" ht="21.0" customHeight="1">
      <c r="A358" s="10" t="s">
        <v>2383</v>
      </c>
      <c r="B358" s="15" t="s">
        <v>3200</v>
      </c>
      <c r="C358" s="12" t="s">
        <v>3201</v>
      </c>
      <c r="D358" s="13">
        <v>41518.0</v>
      </c>
      <c r="E358" s="14">
        <v>2013.0</v>
      </c>
      <c r="F358" s="15" t="s">
        <v>2386</v>
      </c>
      <c r="G358" s="15" t="s">
        <v>3203</v>
      </c>
      <c r="H358" s="14">
        <v>25.0</v>
      </c>
      <c r="I358" s="14">
        <v>619.0</v>
      </c>
      <c r="J358" s="16" t="s">
        <v>3205</v>
      </c>
      <c r="K358" s="15" t="s">
        <v>3206</v>
      </c>
      <c r="L358" s="15" t="s">
        <v>3207</v>
      </c>
      <c r="M358" s="17" t="s">
        <v>59</v>
      </c>
      <c r="N358" s="16" t="s">
        <v>3208</v>
      </c>
      <c r="P358" s="14"/>
      <c r="Q358" s="14"/>
      <c r="R358" s="14">
        <v>42.0</v>
      </c>
      <c r="S358" s="14">
        <v>2013.0</v>
      </c>
      <c r="T358" s="15" t="s">
        <v>3209</v>
      </c>
      <c r="U358" s="14">
        <v>84.3333333333333</v>
      </c>
      <c r="V358" s="14">
        <v>0.1403628117913832</v>
      </c>
      <c r="W358" s="14">
        <v>0.0</v>
      </c>
      <c r="X358" s="14" t="s">
        <v>4495</v>
      </c>
      <c r="Y358" s="18" t="s">
        <v>4495</v>
      </c>
      <c r="Z358" s="18">
        <v>0.4490080559640544</v>
      </c>
      <c r="AA358" s="18">
        <v>1.0</v>
      </c>
      <c r="AB358" s="18">
        <v>1.0</v>
      </c>
      <c r="AC358" s="18">
        <v>1.0</v>
      </c>
      <c r="AD358" s="18">
        <v>0.5622520139910135</v>
      </c>
      <c r="AE358" s="19" t="s">
        <v>4499</v>
      </c>
    </row>
    <row r="359" ht="21.0" customHeight="1">
      <c r="A359" s="20" t="s">
        <v>2383</v>
      </c>
      <c r="B359" s="21" t="s">
        <v>3211</v>
      </c>
      <c r="C359" s="22" t="s">
        <v>3212</v>
      </c>
      <c r="D359" s="23">
        <v>43580.0</v>
      </c>
      <c r="E359" s="24">
        <v>2019.0</v>
      </c>
      <c r="F359" s="21" t="s">
        <v>2417</v>
      </c>
      <c r="G359" s="21" t="s">
        <v>1801</v>
      </c>
      <c r="H359" s="24">
        <v>25.0</v>
      </c>
      <c r="I359" s="24">
        <v>197.0</v>
      </c>
      <c r="J359" s="25" t="s">
        <v>3214</v>
      </c>
      <c r="K359" s="21" t="s">
        <v>3215</v>
      </c>
      <c r="L359" s="21" t="s">
        <v>3216</v>
      </c>
      <c r="M359" s="26" t="s">
        <v>31</v>
      </c>
      <c r="N359" s="30"/>
      <c r="P359" s="24"/>
      <c r="Q359" s="24"/>
      <c r="R359" s="24">
        <v>52.0</v>
      </c>
      <c r="S359" s="24">
        <v>2018.0</v>
      </c>
      <c r="T359" s="21" t="s">
        <v>3217</v>
      </c>
      <c r="U359" s="24">
        <v>20.6</v>
      </c>
      <c r="V359" s="24">
        <v>0.08390119250425894</v>
      </c>
      <c r="W359" s="24">
        <v>1.0</v>
      </c>
      <c r="X359" s="24" t="s">
        <v>4495</v>
      </c>
      <c r="Y359" s="27" t="s">
        <v>4495</v>
      </c>
      <c r="Z359" s="27">
        <v>0.5223179681071728</v>
      </c>
      <c r="AA359" s="27">
        <v>1.0</v>
      </c>
      <c r="AB359" s="27">
        <v>1.0</v>
      </c>
      <c r="AC359" s="27">
        <v>0.6606163795575896</v>
      </c>
      <c r="AD359" s="27">
        <v>0.5466411299825521</v>
      </c>
      <c r="AE359" s="28" t="s">
        <v>4497</v>
      </c>
    </row>
    <row r="360" ht="21.0" customHeight="1">
      <c r="A360" s="10" t="s">
        <v>2383</v>
      </c>
      <c r="B360" s="15" t="s">
        <v>3219</v>
      </c>
      <c r="C360" s="12" t="s">
        <v>3220</v>
      </c>
      <c r="D360" s="13">
        <v>43871.0</v>
      </c>
      <c r="E360" s="14">
        <v>2020.0</v>
      </c>
      <c r="F360" s="15" t="s">
        <v>2386</v>
      </c>
      <c r="G360" s="15" t="s">
        <v>42</v>
      </c>
      <c r="H360" s="14">
        <v>25.0</v>
      </c>
      <c r="I360" s="14">
        <v>271.0</v>
      </c>
      <c r="J360" s="16" t="s">
        <v>3222</v>
      </c>
      <c r="K360" s="15" t="s">
        <v>3223</v>
      </c>
      <c r="L360" s="15" t="s">
        <v>3224</v>
      </c>
      <c r="M360" s="17" t="s">
        <v>59</v>
      </c>
      <c r="N360" s="16" t="s">
        <v>3225</v>
      </c>
      <c r="O360" s="15" t="s">
        <v>3226</v>
      </c>
      <c r="P360" s="14">
        <v>11.0</v>
      </c>
      <c r="Q360" s="14"/>
      <c r="R360" s="14">
        <v>51.0</v>
      </c>
      <c r="S360" s="14">
        <v>2018.0</v>
      </c>
      <c r="T360" s="15" t="s">
        <v>3227</v>
      </c>
      <c r="U360" s="14">
        <v>6.2</v>
      </c>
      <c r="V360" s="14">
        <v>0.1317452600875061</v>
      </c>
      <c r="W360" s="14">
        <v>2.0</v>
      </c>
      <c r="X360" s="14" t="s">
        <v>4495</v>
      </c>
      <c r="Y360" s="18" t="s">
        <v>4495</v>
      </c>
      <c r="Z360" s="18">
        <v>0.5156394588873553</v>
      </c>
      <c r="AA360" s="18">
        <v>1.0</v>
      </c>
      <c r="AB360" s="18">
        <v>1.0</v>
      </c>
      <c r="AC360" s="18">
        <v>0.19794016647757803</v>
      </c>
      <c r="AD360" s="18">
        <v>0.49870388136959665</v>
      </c>
      <c r="AE360" s="19" t="s">
        <v>4501</v>
      </c>
    </row>
    <row r="361" ht="21.0" customHeight="1">
      <c r="A361" s="20" t="s">
        <v>2383</v>
      </c>
      <c r="B361" s="21" t="s">
        <v>3229</v>
      </c>
      <c r="C361" s="22" t="s">
        <v>3230</v>
      </c>
      <c r="D361" s="23">
        <v>44508.0</v>
      </c>
      <c r="E361" s="24">
        <v>2021.0</v>
      </c>
      <c r="F361" s="21" t="s">
        <v>2386</v>
      </c>
      <c r="G361" s="21" t="s">
        <v>42</v>
      </c>
      <c r="H361" s="24">
        <v>25.0</v>
      </c>
      <c r="I361" s="24">
        <v>95.0</v>
      </c>
      <c r="J361" s="25" t="s">
        <v>3232</v>
      </c>
      <c r="K361" s="21" t="s">
        <v>3233</v>
      </c>
      <c r="L361" s="21" t="s">
        <v>3234</v>
      </c>
      <c r="M361" s="26" t="s">
        <v>59</v>
      </c>
      <c r="N361" s="25" t="s">
        <v>3235</v>
      </c>
      <c r="O361" s="21" t="s">
        <v>3236</v>
      </c>
      <c r="P361" s="24">
        <v>16.0</v>
      </c>
      <c r="Q361" s="24"/>
      <c r="R361" s="24">
        <v>54.0</v>
      </c>
      <c r="S361" s="24">
        <v>2021.0</v>
      </c>
      <c r="T361" s="21" t="s">
        <v>3237</v>
      </c>
      <c r="U361" s="24">
        <v>12.6666666666666</v>
      </c>
      <c r="V361" s="24">
        <v>0.06690140845070422</v>
      </c>
      <c r="W361" s="24">
        <v>0.0</v>
      </c>
      <c r="X361" s="24" t="s">
        <v>4495</v>
      </c>
      <c r="Y361" s="27" t="s">
        <v>4495</v>
      </c>
      <c r="Z361" s="27">
        <v>0.5353050503378812</v>
      </c>
      <c r="AA361" s="27">
        <v>1.0</v>
      </c>
      <c r="AB361" s="27">
        <v>1.0</v>
      </c>
      <c r="AC361" s="27">
        <v>0.46784371396551677</v>
      </c>
      <c r="AD361" s="27">
        <v>0.530610633981022</v>
      </c>
      <c r="AE361" s="28" t="s">
        <v>4501</v>
      </c>
    </row>
    <row r="362" ht="21.0" customHeight="1">
      <c r="A362" s="10" t="s">
        <v>2383</v>
      </c>
      <c r="B362" s="15" t="s">
        <v>3238</v>
      </c>
      <c r="C362" s="12" t="s">
        <v>3239</v>
      </c>
      <c r="D362" s="13">
        <v>43557.0</v>
      </c>
      <c r="E362" s="14">
        <v>2019.0</v>
      </c>
      <c r="F362" s="15" t="s">
        <v>2386</v>
      </c>
      <c r="G362" s="15" t="s">
        <v>42</v>
      </c>
      <c r="H362" s="14">
        <v>25.0</v>
      </c>
      <c r="I362" s="14">
        <v>377.0</v>
      </c>
      <c r="J362" s="16"/>
      <c r="K362" s="15" t="s">
        <v>3242</v>
      </c>
      <c r="L362" s="15" t="s">
        <v>3243</v>
      </c>
      <c r="M362" s="17" t="s">
        <v>59</v>
      </c>
      <c r="N362" s="29" t="s">
        <v>3244</v>
      </c>
      <c r="O362" s="15" t="s">
        <v>3245</v>
      </c>
      <c r="P362" s="14"/>
      <c r="Q362" s="14"/>
      <c r="R362" s="14">
        <v>103.0</v>
      </c>
      <c r="S362" s="14">
        <v>2019.0</v>
      </c>
      <c r="T362" s="15" t="s">
        <v>3246</v>
      </c>
      <c r="U362" s="14">
        <v>6.75</v>
      </c>
      <c r="V362" s="14">
        <v>0.15900463939266132</v>
      </c>
      <c r="W362" s="14">
        <v>0.0</v>
      </c>
      <c r="X362" s="14" t="s">
        <v>4495</v>
      </c>
      <c r="Y362" s="18" t="s">
        <v>4495</v>
      </c>
      <c r="Z362" s="18">
        <v>0.7586645771823989</v>
      </c>
      <c r="AA362" s="18">
        <v>1.0</v>
      </c>
      <c r="AB362" s="18">
        <v>1.0</v>
      </c>
      <c r="AC362" s="18">
        <v>0.22894149172909226</v>
      </c>
      <c r="AD362" s="18">
        <v>0.562560293468509</v>
      </c>
      <c r="AE362" s="19" t="s">
        <v>4499</v>
      </c>
    </row>
    <row r="363" ht="21.0" customHeight="1">
      <c r="A363" s="20" t="s">
        <v>2383</v>
      </c>
      <c r="B363" s="21" t="s">
        <v>3248</v>
      </c>
      <c r="C363" s="22" t="s">
        <v>3249</v>
      </c>
      <c r="D363" s="23">
        <v>43620.0</v>
      </c>
      <c r="E363" s="24">
        <v>2019.0</v>
      </c>
      <c r="F363" s="21" t="s">
        <v>2398</v>
      </c>
      <c r="G363" s="21" t="s">
        <v>42</v>
      </c>
      <c r="H363" s="24">
        <v>25.0</v>
      </c>
      <c r="I363" s="24">
        <v>107.0</v>
      </c>
      <c r="J363" s="25" t="s">
        <v>3251</v>
      </c>
      <c r="K363" s="21" t="s">
        <v>3252</v>
      </c>
      <c r="L363" s="21" t="s">
        <v>3253</v>
      </c>
      <c r="M363" s="26" t="s">
        <v>59</v>
      </c>
      <c r="N363" s="25" t="s">
        <v>3254</v>
      </c>
      <c r="P363" s="24"/>
      <c r="Q363" s="24"/>
      <c r="R363" s="24">
        <v>38.0</v>
      </c>
      <c r="S363" s="24">
        <v>2019.0</v>
      </c>
      <c r="T363" s="21" t="s">
        <v>3255</v>
      </c>
      <c r="U363" s="24">
        <v>46.5</v>
      </c>
      <c r="V363" s="24">
        <v>0.04636048526863085</v>
      </c>
      <c r="W363" s="24">
        <v>0.0</v>
      </c>
      <c r="X363" s="24" t="s">
        <v>4495</v>
      </c>
      <c r="Y363" s="27" t="s">
        <v>4495</v>
      </c>
      <c r="Z363" s="27">
        <v>0.4147749215282351</v>
      </c>
      <c r="AA363" s="27">
        <v>1.0</v>
      </c>
      <c r="AB363" s="27">
        <v>1.0</v>
      </c>
      <c r="AC363" s="27">
        <v>0.9924947859739995</v>
      </c>
      <c r="AD363" s="27">
        <v>0.5529432089794587</v>
      </c>
      <c r="AE363" s="28" t="s">
        <v>4501</v>
      </c>
    </row>
    <row r="364" ht="21.0" customHeight="1">
      <c r="A364" s="10" t="s">
        <v>2383</v>
      </c>
      <c r="B364" s="15" t="s">
        <v>3257</v>
      </c>
      <c r="C364" s="12" t="s">
        <v>3258</v>
      </c>
      <c r="D364" s="13">
        <v>41063.0</v>
      </c>
      <c r="E364" s="14">
        <v>2012.0</v>
      </c>
      <c r="F364" s="15" t="s">
        <v>2398</v>
      </c>
      <c r="G364" s="15" t="s">
        <v>42</v>
      </c>
      <c r="H364" s="14">
        <v>25.0</v>
      </c>
      <c r="I364" s="14">
        <v>211.0</v>
      </c>
      <c r="J364" s="16"/>
      <c r="K364" s="15" t="s">
        <v>3260</v>
      </c>
      <c r="L364" s="15" t="s">
        <v>3261</v>
      </c>
      <c r="M364" s="17" t="s">
        <v>31</v>
      </c>
      <c r="N364" s="29"/>
      <c r="O364" s="15" t="s">
        <v>3262</v>
      </c>
      <c r="P364" s="14">
        <v>6.0</v>
      </c>
      <c r="Q364" s="14"/>
      <c r="R364" s="14">
        <v>19.0</v>
      </c>
      <c r="S364" s="14"/>
      <c r="T364" s="15" t="s">
        <v>3263</v>
      </c>
      <c r="U364" s="14">
        <v>24.5</v>
      </c>
      <c r="V364" s="14">
        <v>0.0433710174717369</v>
      </c>
      <c r="W364" s="14" t="s">
        <v>4495</v>
      </c>
      <c r="X364" s="14" t="s">
        <v>4495</v>
      </c>
      <c r="Y364" s="18" t="s">
        <v>4495</v>
      </c>
      <c r="Z364" s="18">
        <v>0.18062650857502485</v>
      </c>
      <c r="AA364" s="18" t="s">
        <v>4495</v>
      </c>
      <c r="AB364" s="18">
        <v>1.0</v>
      </c>
      <c r="AC364" s="18">
        <v>0.7305203626336032</v>
      </c>
      <c r="AD364" s="18">
        <v>0.2682086634071165</v>
      </c>
      <c r="AE364" s="19" t="s">
        <v>4497</v>
      </c>
    </row>
    <row r="365" ht="21.0" customHeight="1">
      <c r="A365" s="20" t="s">
        <v>2383</v>
      </c>
      <c r="B365" s="21" t="s">
        <v>3265</v>
      </c>
      <c r="C365" s="22" t="s">
        <v>3266</v>
      </c>
      <c r="D365" s="23">
        <v>41804.0</v>
      </c>
      <c r="E365" s="24">
        <v>2014.0</v>
      </c>
      <c r="F365" s="21" t="s">
        <v>2386</v>
      </c>
      <c r="G365" s="21" t="s">
        <v>1119</v>
      </c>
      <c r="H365" s="24">
        <v>25.0</v>
      </c>
      <c r="I365" s="24">
        <v>430.0</v>
      </c>
      <c r="J365" s="25"/>
      <c r="K365" s="21" t="s">
        <v>3269</v>
      </c>
      <c r="L365" s="21" t="s">
        <v>3270</v>
      </c>
      <c r="M365" s="26" t="s">
        <v>59</v>
      </c>
      <c r="N365" s="25" t="s">
        <v>3271</v>
      </c>
      <c r="O365" s="21" t="s">
        <v>3272</v>
      </c>
      <c r="P365" s="24">
        <v>10.0</v>
      </c>
      <c r="Q365" s="24"/>
      <c r="R365" s="24">
        <v>62.0</v>
      </c>
      <c r="S365" s="24"/>
      <c r="T365" s="21" t="s">
        <v>3273</v>
      </c>
      <c r="U365" s="24">
        <v>48.3333333333333</v>
      </c>
      <c r="V365" s="24">
        <v>0.10426770126091174</v>
      </c>
      <c r="W365" s="24" t="s">
        <v>4495</v>
      </c>
      <c r="X365" s="24" t="s">
        <v>4495</v>
      </c>
      <c r="Y365" s="27" t="s">
        <v>4495</v>
      </c>
      <c r="Z365" s="27">
        <v>0.5829185825435077</v>
      </c>
      <c r="AA365" s="27" t="s">
        <v>4495</v>
      </c>
      <c r="AB365" s="27">
        <v>1.0</v>
      </c>
      <c r="AC365" s="27">
        <v>1.0</v>
      </c>
      <c r="AD365" s="27">
        <v>0.39572964563587687</v>
      </c>
      <c r="AE365" s="28" t="s">
        <v>4499</v>
      </c>
    </row>
    <row r="366" ht="21.0" customHeight="1">
      <c r="A366" s="10" t="s">
        <v>2383</v>
      </c>
      <c r="B366" s="15" t="s">
        <v>3275</v>
      </c>
      <c r="C366" s="12" t="s">
        <v>3276</v>
      </c>
      <c r="D366" s="13">
        <v>43409.0</v>
      </c>
      <c r="E366" s="14">
        <v>2018.0</v>
      </c>
      <c r="F366" s="15" t="s">
        <v>2417</v>
      </c>
      <c r="G366" s="15" t="s">
        <v>42</v>
      </c>
      <c r="H366" s="14">
        <v>24.0</v>
      </c>
      <c r="I366" s="14">
        <v>135.0</v>
      </c>
      <c r="J366" s="16" t="s">
        <v>3279</v>
      </c>
      <c r="K366" s="15" t="s">
        <v>3280</v>
      </c>
      <c r="L366" s="15" t="s">
        <v>3281</v>
      </c>
      <c r="M366" s="17" t="s">
        <v>59</v>
      </c>
      <c r="N366" s="29" t="s">
        <v>3282</v>
      </c>
      <c r="O366" s="15" t="s">
        <v>3283</v>
      </c>
      <c r="P366" s="14">
        <v>8.0</v>
      </c>
      <c r="Q366" s="14"/>
      <c r="R366" s="14">
        <v>17.0</v>
      </c>
      <c r="S366" s="14"/>
      <c r="T366" s="15" t="s">
        <v>3284</v>
      </c>
      <c r="U366" s="14">
        <v>22.8</v>
      </c>
      <c r="V366" s="14">
        <v>0.053592695514092896</v>
      </c>
      <c r="W366" s="14" t="s">
        <v>4495</v>
      </c>
      <c r="X366" s="14" t="s">
        <v>4495</v>
      </c>
      <c r="Y366" s="18" t="s">
        <v>4495</v>
      </c>
      <c r="Z366" s="18">
        <v>0.14368593880932898</v>
      </c>
      <c r="AA366" s="18" t="s">
        <v>4495</v>
      </c>
      <c r="AB366" s="18">
        <v>1.0</v>
      </c>
      <c r="AC366" s="18">
        <v>0.701464288130925</v>
      </c>
      <c r="AD366" s="18">
        <v>0.25606791351542474</v>
      </c>
      <c r="AE366" s="19" t="s">
        <v>4501</v>
      </c>
    </row>
    <row r="367" ht="21.0" customHeight="1">
      <c r="A367" s="20" t="s">
        <v>2383</v>
      </c>
      <c r="B367" s="21" t="s">
        <v>3285</v>
      </c>
      <c r="C367" s="22" t="s">
        <v>3286</v>
      </c>
      <c r="D367" s="23">
        <v>42767.0</v>
      </c>
      <c r="E367" s="24">
        <v>2017.0</v>
      </c>
      <c r="F367" s="21" t="s">
        <v>2386</v>
      </c>
      <c r="G367" s="21" t="s">
        <v>42</v>
      </c>
      <c r="H367" s="24">
        <v>24.0</v>
      </c>
      <c r="I367" s="24">
        <v>524.0</v>
      </c>
      <c r="J367" s="25"/>
      <c r="K367" s="21" t="s">
        <v>3288</v>
      </c>
      <c r="L367" s="21" t="s">
        <v>3289</v>
      </c>
      <c r="M367" s="26" t="s">
        <v>31</v>
      </c>
      <c r="N367" s="25"/>
      <c r="O367" s="21" t="s">
        <v>3290</v>
      </c>
      <c r="P367" s="24">
        <v>14.0</v>
      </c>
      <c r="Q367" s="24"/>
      <c r="R367" s="24">
        <v>65.0</v>
      </c>
      <c r="S367" s="24"/>
      <c r="T367" s="21" t="s">
        <v>3291</v>
      </c>
      <c r="U367" s="24">
        <v>25.4</v>
      </c>
      <c r="V367" s="24">
        <v>0.16577032584625118</v>
      </c>
      <c r="W367" s="24" t="s">
        <v>4495</v>
      </c>
      <c r="X367" s="24" t="s">
        <v>4495</v>
      </c>
      <c r="Y367" s="27" t="s">
        <v>4495</v>
      </c>
      <c r="Z367" s="27">
        <v>0.5992290179313052</v>
      </c>
      <c r="AA367" s="27" t="s">
        <v>4495</v>
      </c>
      <c r="AB367" s="27">
        <v>1.0</v>
      </c>
      <c r="AC367" s="27">
        <v>0.7451280479689457</v>
      </c>
      <c r="AD367" s="27">
        <v>0.3743200592797209</v>
      </c>
      <c r="AE367" s="28" t="s">
        <v>4497</v>
      </c>
    </row>
    <row r="368" ht="21.0" customHeight="1">
      <c r="A368" s="10" t="s">
        <v>2383</v>
      </c>
      <c r="B368" s="15" t="s">
        <v>3292</v>
      </c>
      <c r="C368" s="12" t="s">
        <v>3293</v>
      </c>
      <c r="D368" s="13">
        <v>42528.0</v>
      </c>
      <c r="E368" s="14">
        <v>2016.0</v>
      </c>
      <c r="F368" s="15" t="s">
        <v>2386</v>
      </c>
      <c r="G368" s="15" t="s">
        <v>1119</v>
      </c>
      <c r="H368" s="14">
        <v>24.0</v>
      </c>
      <c r="I368" s="14">
        <v>552.0</v>
      </c>
      <c r="J368" s="16" t="s">
        <v>3296</v>
      </c>
      <c r="K368" s="15" t="s">
        <v>3297</v>
      </c>
      <c r="L368" s="15" t="s">
        <v>3298</v>
      </c>
      <c r="M368" s="17" t="s">
        <v>59</v>
      </c>
      <c r="N368" s="29" t="s">
        <v>3299</v>
      </c>
      <c r="P368" s="14"/>
      <c r="Q368" s="14"/>
      <c r="R368" s="14">
        <v>53.0</v>
      </c>
      <c r="S368" s="14">
        <v>2015.0</v>
      </c>
      <c r="T368" s="15" t="s">
        <v>3300</v>
      </c>
      <c r="U368" s="14">
        <v>4.0</v>
      </c>
      <c r="V368" s="14">
        <v>0.1623529411764706</v>
      </c>
      <c r="W368" s="14">
        <v>1.0</v>
      </c>
      <c r="X368" s="14" t="s">
        <v>4495</v>
      </c>
      <c r="Y368" s="18" t="s">
        <v>4495</v>
      </c>
      <c r="Z368" s="18">
        <v>0.5288716380402964</v>
      </c>
      <c r="AA368" s="18">
        <v>1.0</v>
      </c>
      <c r="AB368" s="18">
        <v>1.0</v>
      </c>
      <c r="AC368" s="18">
        <v>0.044372163770186025</v>
      </c>
      <c r="AD368" s="18">
        <v>0.48665512588709275</v>
      </c>
      <c r="AE368" s="19" t="s">
        <v>4499</v>
      </c>
    </row>
    <row r="369" ht="21.0" customHeight="1">
      <c r="A369" s="20" t="s">
        <v>2383</v>
      </c>
      <c r="B369" s="21" t="s">
        <v>3301</v>
      </c>
      <c r="C369" s="22" t="s">
        <v>3302</v>
      </c>
      <c r="D369" s="23">
        <v>42625.0</v>
      </c>
      <c r="E369" s="24">
        <v>2016.0</v>
      </c>
      <c r="F369" s="21" t="s">
        <v>2417</v>
      </c>
      <c r="G369" s="21" t="s">
        <v>42</v>
      </c>
      <c r="H369" s="24">
        <v>24.0</v>
      </c>
      <c r="I369" s="24">
        <v>321.0</v>
      </c>
      <c r="J369" s="25" t="s">
        <v>3303</v>
      </c>
      <c r="K369" s="21" t="s">
        <v>3304</v>
      </c>
      <c r="L369" s="21" t="s">
        <v>3305</v>
      </c>
      <c r="M369" s="26" t="s">
        <v>59</v>
      </c>
      <c r="N369" s="25" t="s">
        <v>3306</v>
      </c>
      <c r="P369" s="24"/>
      <c r="Q369" s="24"/>
      <c r="R369" s="24">
        <v>56.0</v>
      </c>
      <c r="S369" s="24">
        <v>2015.0</v>
      </c>
      <c r="T369" s="21" t="s">
        <v>3307</v>
      </c>
      <c r="U369" s="24">
        <v>33.0</v>
      </c>
      <c r="V369" s="24">
        <v>0.0971843778383288</v>
      </c>
      <c r="W369" s="24">
        <v>1.0</v>
      </c>
      <c r="X369" s="24" t="s">
        <v>4495</v>
      </c>
      <c r="Y369" s="27" t="s">
        <v>4495</v>
      </c>
      <c r="Z369" s="27">
        <v>0.5478282077467163</v>
      </c>
      <c r="AA369" s="27">
        <v>1.0</v>
      </c>
      <c r="AB369" s="27">
        <v>1.0</v>
      </c>
      <c r="AC369" s="27">
        <v>0.8516765277574855</v>
      </c>
      <c r="AD369" s="27">
        <v>0.5721247047124276</v>
      </c>
      <c r="AE369" s="28" t="s">
        <v>4501</v>
      </c>
    </row>
    <row r="370" ht="21.0" customHeight="1">
      <c r="A370" s="10" t="s">
        <v>2383</v>
      </c>
      <c r="B370" s="15" t="s">
        <v>3308</v>
      </c>
      <c r="C370" s="12" t="s">
        <v>3309</v>
      </c>
      <c r="D370" s="13">
        <v>44607.0</v>
      </c>
      <c r="E370" s="14">
        <v>2022.0</v>
      </c>
      <c r="F370" s="15" t="s">
        <v>2386</v>
      </c>
      <c r="G370" s="15" t="s">
        <v>42</v>
      </c>
      <c r="H370" s="14">
        <v>24.0</v>
      </c>
      <c r="I370" s="14">
        <v>192.0</v>
      </c>
      <c r="J370" s="16" t="s">
        <v>3311</v>
      </c>
      <c r="K370" s="15" t="s">
        <v>3312</v>
      </c>
      <c r="L370" s="15" t="s">
        <v>3313</v>
      </c>
      <c r="M370" s="17" t="s">
        <v>59</v>
      </c>
      <c r="N370" s="16" t="s">
        <v>3314</v>
      </c>
      <c r="O370" s="15" t="s">
        <v>1650</v>
      </c>
      <c r="P370" s="14">
        <v>26.0</v>
      </c>
      <c r="Q370" s="14"/>
      <c r="R370" s="14">
        <v>70.0</v>
      </c>
      <c r="S370" s="14">
        <v>2022.0</v>
      </c>
      <c r="T370" s="15" t="s">
        <v>2853</v>
      </c>
      <c r="U370" s="14">
        <v>16.3333333333333</v>
      </c>
      <c r="V370" s="14">
        <v>0.1453444360333081</v>
      </c>
      <c r="W370" s="14">
        <v>0.0</v>
      </c>
      <c r="X370" s="14" t="s">
        <v>4495</v>
      </c>
      <c r="Y370" s="18" t="s">
        <v>4495</v>
      </c>
      <c r="Z370" s="18">
        <v>0.6248324432545804</v>
      </c>
      <c r="AA370" s="18">
        <v>1.0</v>
      </c>
      <c r="AB370" s="18">
        <v>1.0</v>
      </c>
      <c r="AC370" s="18">
        <v>0.5679381885870348</v>
      </c>
      <c r="AD370" s="18">
        <v>0.5630019296723486</v>
      </c>
      <c r="AE370" s="19" t="s">
        <v>4501</v>
      </c>
    </row>
    <row r="371" ht="21.0" customHeight="1">
      <c r="A371" s="20" t="s">
        <v>2383</v>
      </c>
      <c r="B371" s="21" t="s">
        <v>3315</v>
      </c>
      <c r="C371" s="22" t="s">
        <v>3316</v>
      </c>
      <c r="D371" s="23"/>
      <c r="E371" s="24"/>
      <c r="F371" s="21" t="s">
        <v>2386</v>
      </c>
      <c r="G371" s="21" t="s">
        <v>42</v>
      </c>
      <c r="H371" s="24">
        <v>24.0</v>
      </c>
      <c r="I371" s="24">
        <v>346.0</v>
      </c>
      <c r="J371" s="25" t="s">
        <v>3318</v>
      </c>
      <c r="K371" s="21" t="s">
        <v>3319</v>
      </c>
      <c r="L371" s="21" t="s">
        <v>3320</v>
      </c>
      <c r="M371" s="26" t="s">
        <v>59</v>
      </c>
      <c r="N371" s="25" t="s">
        <v>3321</v>
      </c>
      <c r="O371" s="21" t="s">
        <v>3322</v>
      </c>
      <c r="P371" s="24">
        <v>10.0</v>
      </c>
      <c r="Q371" s="24"/>
      <c r="R371" s="24">
        <v>29.0</v>
      </c>
      <c r="S371" s="24">
        <v>2019.0</v>
      </c>
      <c r="T371" s="21" t="s">
        <v>3323</v>
      </c>
      <c r="U371" s="24">
        <v>9.4</v>
      </c>
      <c r="V371" s="24" t="s">
        <v>4495</v>
      </c>
      <c r="W371" s="24" t="s">
        <v>4495</v>
      </c>
      <c r="X371" s="24" t="s">
        <v>4495</v>
      </c>
      <c r="Y371" s="27" t="s">
        <v>4495</v>
      </c>
      <c r="Z371" s="27">
        <v>0.3227870895109485</v>
      </c>
      <c r="AA371" s="27" t="s">
        <v>4495</v>
      </c>
      <c r="AB371" s="27" t="s">
        <v>4495</v>
      </c>
      <c r="AC371" s="27">
        <v>0.3528060008387848</v>
      </c>
      <c r="AD371" s="27">
        <v>0.1159773724616156</v>
      </c>
      <c r="AE371" s="28" t="s">
        <v>4501</v>
      </c>
    </row>
    <row r="372" ht="21.0" customHeight="1">
      <c r="A372" s="10" t="s">
        <v>2383</v>
      </c>
      <c r="B372" s="15" t="s">
        <v>3325</v>
      </c>
      <c r="C372" s="12" t="s">
        <v>3326</v>
      </c>
      <c r="D372" s="13">
        <v>40987.0</v>
      </c>
      <c r="E372" s="14">
        <v>2012.0</v>
      </c>
      <c r="F372" s="15" t="s">
        <v>2398</v>
      </c>
      <c r="G372" s="15" t="s">
        <v>42</v>
      </c>
      <c r="H372" s="14">
        <v>24.0</v>
      </c>
      <c r="I372" s="14">
        <v>164.0</v>
      </c>
      <c r="J372" s="16"/>
      <c r="K372" s="15" t="s">
        <v>3328</v>
      </c>
      <c r="L372" s="15" t="s">
        <v>3329</v>
      </c>
      <c r="M372" s="17" t="s">
        <v>59</v>
      </c>
      <c r="N372" s="29" t="s">
        <v>3330</v>
      </c>
      <c r="O372" s="15" t="s">
        <v>3331</v>
      </c>
      <c r="P372" s="14">
        <v>7.0</v>
      </c>
      <c r="Q372" s="14"/>
      <c r="R372" s="14">
        <v>27.0</v>
      </c>
      <c r="S372" s="14"/>
      <c r="T372" s="15" t="s">
        <v>3332</v>
      </c>
      <c r="U372" s="14">
        <v>28.6666666666666</v>
      </c>
      <c r="V372" s="14">
        <v>0.03319166160696215</v>
      </c>
      <c r="W372" s="14" t="s">
        <v>4495</v>
      </c>
      <c r="X372" s="14" t="s">
        <v>4495</v>
      </c>
      <c r="Y372" s="18" t="s">
        <v>4495</v>
      </c>
      <c r="Z372" s="18">
        <v>0.29859742067166056</v>
      </c>
      <c r="AA372" s="18" t="s">
        <v>4495</v>
      </c>
      <c r="AB372" s="18">
        <v>1.0</v>
      </c>
      <c r="AC372" s="18">
        <v>0.794258974669697</v>
      </c>
      <c r="AD372" s="18">
        <v>0.30407525263488483</v>
      </c>
      <c r="AE372" s="19" t="s">
        <v>4499</v>
      </c>
    </row>
    <row r="373" ht="21.0" customHeight="1">
      <c r="A373" s="20" t="s">
        <v>2383</v>
      </c>
      <c r="B373" s="21" t="s">
        <v>3334</v>
      </c>
      <c r="C373" s="22" t="s">
        <v>3335</v>
      </c>
      <c r="D373" s="23">
        <v>45069.0</v>
      </c>
      <c r="E373" s="24">
        <v>2023.0</v>
      </c>
      <c r="F373" s="21" t="s">
        <v>2417</v>
      </c>
      <c r="G373" s="21" t="s">
        <v>42</v>
      </c>
      <c r="H373" s="24">
        <v>24.0</v>
      </c>
      <c r="I373" s="24">
        <v>264.0</v>
      </c>
      <c r="J373" s="25" t="s">
        <v>3337</v>
      </c>
      <c r="K373" s="21" t="s">
        <v>3338</v>
      </c>
      <c r="L373" s="21" t="s">
        <v>3339</v>
      </c>
      <c r="M373" s="26" t="s">
        <v>59</v>
      </c>
      <c r="N373" s="30" t="s">
        <v>3340</v>
      </c>
      <c r="P373" s="24"/>
      <c r="Q373" s="24"/>
      <c r="R373" s="24">
        <v>41.0</v>
      </c>
      <c r="S373" s="24">
        <v>2022.0</v>
      </c>
      <c r="T373" s="21" t="s">
        <v>3341</v>
      </c>
      <c r="U373" s="24">
        <v>18.7142857142857</v>
      </c>
      <c r="V373" s="24">
        <v>0.3073341094295693</v>
      </c>
      <c r="W373" s="24">
        <v>1.0</v>
      </c>
      <c r="X373" s="24" t="s">
        <v>4495</v>
      </c>
      <c r="Y373" s="27" t="s">
        <v>4495</v>
      </c>
      <c r="Z373" s="27">
        <v>0.4407580016075842</v>
      </c>
      <c r="AA373" s="27">
        <v>1.0</v>
      </c>
      <c r="AB373" s="27">
        <v>1.0</v>
      </c>
      <c r="AC373" s="27">
        <v>0.6221447821989444</v>
      </c>
      <c r="AD373" s="27">
        <v>0.5224039786217906</v>
      </c>
      <c r="AE373" s="28" t="s">
        <v>4501</v>
      </c>
    </row>
    <row r="374" ht="21.0" customHeight="1">
      <c r="A374" s="10" t="s">
        <v>2383</v>
      </c>
      <c r="B374" s="15" t="s">
        <v>3343</v>
      </c>
      <c r="C374" s="12" t="s">
        <v>3344</v>
      </c>
      <c r="D374" s="13">
        <v>45057.0</v>
      </c>
      <c r="E374" s="14">
        <v>2023.0</v>
      </c>
      <c r="F374" s="15" t="s">
        <v>2632</v>
      </c>
      <c r="G374" s="15" t="s">
        <v>42</v>
      </c>
      <c r="H374" s="14">
        <v>24.0</v>
      </c>
      <c r="I374" s="14">
        <v>132.0</v>
      </c>
      <c r="J374" s="16" t="s">
        <v>3346</v>
      </c>
      <c r="K374" s="15" t="s">
        <v>3347</v>
      </c>
      <c r="L374" s="15" t="s">
        <v>3348</v>
      </c>
      <c r="M374" s="17" t="s">
        <v>59</v>
      </c>
      <c r="N374" s="16" t="s">
        <v>3349</v>
      </c>
      <c r="P374" s="14"/>
      <c r="Q374" s="14"/>
      <c r="R374" s="14">
        <v>55.0</v>
      </c>
      <c r="S374" s="14">
        <v>2023.0</v>
      </c>
      <c r="T374" s="15" t="s">
        <v>3350</v>
      </c>
      <c r="U374" s="14">
        <v>25.5</v>
      </c>
      <c r="V374" s="14">
        <v>0.1515499425947187</v>
      </c>
      <c r="W374" s="14">
        <v>0.0</v>
      </c>
      <c r="X374" s="14" t="s">
        <v>4495</v>
      </c>
      <c r="Y374" s="18" t="s">
        <v>4495</v>
      </c>
      <c r="Z374" s="18">
        <v>0.5416225389667044</v>
      </c>
      <c r="AA374" s="18">
        <v>1.0</v>
      </c>
      <c r="AB374" s="18">
        <v>1.0</v>
      </c>
      <c r="AC374" s="18">
        <v>0.7467202844151569</v>
      </c>
      <c r="AD374" s="18">
        <v>0.5600776631831917</v>
      </c>
      <c r="AE374" s="19" t="s">
        <v>4499</v>
      </c>
    </row>
    <row r="375" ht="21.0" customHeight="1">
      <c r="A375" s="20" t="s">
        <v>2383</v>
      </c>
      <c r="B375" s="21" t="s">
        <v>3351</v>
      </c>
      <c r="C375" s="22" t="s">
        <v>3352</v>
      </c>
      <c r="D375" s="23"/>
      <c r="E375" s="24"/>
      <c r="G375" s="21" t="s">
        <v>42</v>
      </c>
      <c r="H375" s="24">
        <v>24.0</v>
      </c>
      <c r="I375" s="24">
        <v>174.0</v>
      </c>
      <c r="J375" s="25"/>
      <c r="K375" s="21" t="s">
        <v>3353</v>
      </c>
      <c r="M375" s="26" t="s">
        <v>31</v>
      </c>
      <c r="N375" s="30"/>
      <c r="O375" s="32"/>
      <c r="P375" s="24"/>
      <c r="Q375" s="24"/>
      <c r="R375" s="24">
        <v>15.0</v>
      </c>
      <c r="S375" s="24"/>
      <c r="T375" s="21" t="s">
        <v>3354</v>
      </c>
      <c r="U375" s="24">
        <v>18.0</v>
      </c>
      <c r="V375" s="24" t="s">
        <v>4495</v>
      </c>
      <c r="W375" s="24" t="s">
        <v>4495</v>
      </c>
      <c r="X375" s="24" t="s">
        <v>4495</v>
      </c>
      <c r="Y375" s="27" t="s">
        <v>4495</v>
      </c>
      <c r="Z375" s="27">
        <v>0.10238989523252559</v>
      </c>
      <c r="AA375" s="27" t="s">
        <v>4495</v>
      </c>
      <c r="AB375" s="27" t="s">
        <v>4495</v>
      </c>
      <c r="AC375" s="27">
        <v>0.606602574247684</v>
      </c>
      <c r="AD375" s="27">
        <v>0.08625773123289981</v>
      </c>
      <c r="AE375" s="28" t="s">
        <v>4497</v>
      </c>
    </row>
    <row r="376" ht="21.0" customHeight="1">
      <c r="A376" s="10" t="s">
        <v>2383</v>
      </c>
      <c r="B376" s="15" t="s">
        <v>3355</v>
      </c>
      <c r="C376" s="12" t="s">
        <v>3356</v>
      </c>
      <c r="D376" s="13">
        <v>41794.0</v>
      </c>
      <c r="E376" s="14">
        <v>2014.0</v>
      </c>
      <c r="F376" s="15" t="s">
        <v>2417</v>
      </c>
      <c r="G376" s="15" t="s">
        <v>42</v>
      </c>
      <c r="H376" s="14">
        <v>23.0</v>
      </c>
      <c r="I376" s="14">
        <v>126.0</v>
      </c>
      <c r="J376" s="16"/>
      <c r="K376" s="15" t="s">
        <v>3359</v>
      </c>
      <c r="L376" s="15" t="s">
        <v>3360</v>
      </c>
      <c r="M376" s="17" t="s">
        <v>31</v>
      </c>
      <c r="N376" s="29"/>
      <c r="P376" s="14"/>
      <c r="Q376" s="14"/>
      <c r="R376" s="14">
        <v>30.0</v>
      </c>
      <c r="S376" s="14"/>
      <c r="T376" s="15" t="s">
        <v>3361</v>
      </c>
      <c r="U376" s="14">
        <v>4.33333333333333</v>
      </c>
      <c r="V376" s="14">
        <v>0.030478955007256895</v>
      </c>
      <c r="W376" s="14" t="s">
        <v>4495</v>
      </c>
      <c r="X376" s="14" t="s">
        <v>4495</v>
      </c>
      <c r="Y376" s="18" t="s">
        <v>4495</v>
      </c>
      <c r="Z376" s="18">
        <v>0.33428356644099017</v>
      </c>
      <c r="AA376" s="18" t="s">
        <v>4495</v>
      </c>
      <c r="AB376" s="18">
        <v>1.0</v>
      </c>
      <c r="AC376" s="18">
        <v>0.07155230626969915</v>
      </c>
      <c r="AD376" s="18">
        <v>0.24072612223721743</v>
      </c>
      <c r="AE376" s="19" t="s">
        <v>4497</v>
      </c>
    </row>
    <row r="377" ht="21.0" customHeight="1">
      <c r="A377" s="20" t="s">
        <v>2383</v>
      </c>
      <c r="B377" s="21" t="s">
        <v>3362</v>
      </c>
      <c r="C377" s="22" t="s">
        <v>3363</v>
      </c>
      <c r="D377" s="23">
        <v>43370.0</v>
      </c>
      <c r="E377" s="24">
        <v>2018.0</v>
      </c>
      <c r="F377" s="21" t="s">
        <v>2632</v>
      </c>
      <c r="G377" s="21" t="s">
        <v>42</v>
      </c>
      <c r="H377" s="24">
        <v>23.0</v>
      </c>
      <c r="I377" s="24">
        <v>210.0</v>
      </c>
      <c r="J377" s="25" t="s">
        <v>3365</v>
      </c>
      <c r="K377" s="21" t="s">
        <v>3366</v>
      </c>
      <c r="L377" s="21" t="s">
        <v>3367</v>
      </c>
      <c r="M377" s="26" t="s">
        <v>59</v>
      </c>
      <c r="N377" s="25" t="s">
        <v>3368</v>
      </c>
      <c r="P377" s="24"/>
      <c r="Q377" s="24"/>
      <c r="R377" s="24">
        <v>32.0</v>
      </c>
      <c r="S377" s="24"/>
      <c r="T377" s="21" t="s">
        <v>3369</v>
      </c>
      <c r="U377" s="24">
        <v>31.5</v>
      </c>
      <c r="V377" s="24">
        <v>0.08209538702111024</v>
      </c>
      <c r="W377" s="24" t="s">
        <v>4495</v>
      </c>
      <c r="X377" s="24" t="s">
        <v>4495</v>
      </c>
      <c r="Y377" s="27" t="s">
        <v>4495</v>
      </c>
      <c r="Z377" s="27">
        <v>0.35620389963626176</v>
      </c>
      <c r="AA377" s="27" t="s">
        <v>4495</v>
      </c>
      <c r="AB377" s="27">
        <v>1.0</v>
      </c>
      <c r="AC377" s="27">
        <v>0.832674235189469</v>
      </c>
      <c r="AD377" s="27">
        <v>0.32231839842801235</v>
      </c>
      <c r="AE377" s="28" t="s">
        <v>4501</v>
      </c>
    </row>
    <row r="378" ht="21.0" customHeight="1">
      <c r="A378" s="10" t="s">
        <v>2383</v>
      </c>
      <c r="B378" s="15" t="s">
        <v>3371</v>
      </c>
      <c r="C378" s="12" t="s">
        <v>3372</v>
      </c>
      <c r="D378" s="13">
        <v>44682.0</v>
      </c>
      <c r="E378" s="14">
        <v>2022.0</v>
      </c>
      <c r="F378" s="15" t="s">
        <v>2386</v>
      </c>
      <c r="G378" s="15" t="s">
        <v>42</v>
      </c>
      <c r="H378" s="14">
        <v>23.0</v>
      </c>
      <c r="I378" s="14">
        <v>112.0</v>
      </c>
      <c r="J378" s="16" t="s">
        <v>3374</v>
      </c>
      <c r="K378" s="15" t="s">
        <v>3375</v>
      </c>
      <c r="L378" s="15" t="s">
        <v>3376</v>
      </c>
      <c r="M378" s="17" t="s">
        <v>31</v>
      </c>
      <c r="N378" s="16"/>
      <c r="O378" s="15" t="s">
        <v>3377</v>
      </c>
      <c r="P378" s="14">
        <v>15.0</v>
      </c>
      <c r="Q378" s="14"/>
      <c r="R378" s="14">
        <v>62.0</v>
      </c>
      <c r="S378" s="14"/>
      <c r="T378" s="15" t="s">
        <v>3378</v>
      </c>
      <c r="U378" s="14">
        <v>14.6666666666666</v>
      </c>
      <c r="V378" s="14">
        <v>0.0898876404494382</v>
      </c>
      <c r="W378" s="14" t="s">
        <v>4495</v>
      </c>
      <c r="X378" s="14" t="s">
        <v>4495</v>
      </c>
      <c r="Y378" s="18" t="s">
        <v>4495</v>
      </c>
      <c r="Z378" s="18">
        <v>0.5829185825435077</v>
      </c>
      <c r="AA378" s="18" t="s">
        <v>4495</v>
      </c>
      <c r="AB378" s="18">
        <v>1.0</v>
      </c>
      <c r="AC378" s="18">
        <v>0.5253619594718052</v>
      </c>
      <c r="AD378" s="18">
        <v>0.3482658415830574</v>
      </c>
      <c r="AE378" s="19" t="s">
        <v>4497</v>
      </c>
    </row>
    <row r="379" ht="21.0" customHeight="1">
      <c r="A379" s="20" t="s">
        <v>2383</v>
      </c>
      <c r="B379" s="21" t="s">
        <v>3379</v>
      </c>
      <c r="C379" s="22" t="s">
        <v>3380</v>
      </c>
      <c r="D379" s="23"/>
      <c r="E379" s="24"/>
      <c r="F379" s="21" t="s">
        <v>2386</v>
      </c>
      <c r="G379" s="21" t="s">
        <v>42</v>
      </c>
      <c r="H379" s="24">
        <v>23.0</v>
      </c>
      <c r="I379" s="24">
        <v>132.0</v>
      </c>
      <c r="J379" s="25"/>
      <c r="K379" s="21" t="s">
        <v>3381</v>
      </c>
      <c r="M379" s="26" t="s">
        <v>31</v>
      </c>
      <c r="N379" s="30"/>
      <c r="O379" s="21" t="s">
        <v>3382</v>
      </c>
      <c r="P379" s="24">
        <v>17.0</v>
      </c>
      <c r="Q379" s="24"/>
      <c r="R379" s="24">
        <v>45.0</v>
      </c>
      <c r="S379" s="24"/>
      <c r="T379" s="21" t="s">
        <v>3383</v>
      </c>
      <c r="U379" s="24">
        <v>14.0</v>
      </c>
      <c r="V379" s="24" t="s">
        <v>4495</v>
      </c>
      <c r="W379" s="24" t="s">
        <v>4495</v>
      </c>
      <c r="X379" s="24" t="s">
        <v>4495</v>
      </c>
      <c r="Y379" s="27" t="s">
        <v>4495</v>
      </c>
      <c r="Z379" s="27">
        <v>0.47265371983310933</v>
      </c>
      <c r="AA379" s="27" t="s">
        <v>4495</v>
      </c>
      <c r="AB379" s="27" t="s">
        <v>4495</v>
      </c>
      <c r="AC379" s="27">
        <v>0.5070483768501975</v>
      </c>
      <c r="AD379" s="27">
        <v>0.1688682676432971</v>
      </c>
      <c r="AE379" s="28" t="s">
        <v>4497</v>
      </c>
    </row>
    <row r="380" ht="21.0" customHeight="1">
      <c r="A380" s="10" t="s">
        <v>2383</v>
      </c>
      <c r="B380" s="15" t="s">
        <v>3384</v>
      </c>
      <c r="C380" s="12" t="s">
        <v>3385</v>
      </c>
      <c r="D380" s="13">
        <v>42845.0</v>
      </c>
      <c r="E380" s="14">
        <v>2017.0</v>
      </c>
      <c r="F380" s="15" t="s">
        <v>2386</v>
      </c>
      <c r="G380" s="15" t="s">
        <v>1801</v>
      </c>
      <c r="H380" s="14">
        <v>23.0</v>
      </c>
      <c r="I380" s="14">
        <v>104.0</v>
      </c>
      <c r="J380" s="16" t="s">
        <v>3387</v>
      </c>
      <c r="K380" s="15" t="s">
        <v>3388</v>
      </c>
      <c r="L380" s="15" t="s">
        <v>3389</v>
      </c>
      <c r="M380" s="17" t="s">
        <v>59</v>
      </c>
      <c r="N380" s="29" t="s">
        <v>3390</v>
      </c>
      <c r="O380" s="15" t="s">
        <v>3391</v>
      </c>
      <c r="P380" s="14">
        <v>12.0</v>
      </c>
      <c r="Q380" s="14"/>
      <c r="R380" s="14">
        <v>58.0</v>
      </c>
      <c r="S380" s="14">
        <v>2017.0</v>
      </c>
      <c r="T380" s="15" t="s">
        <v>3392</v>
      </c>
      <c r="U380" s="14">
        <v>30.0</v>
      </c>
      <c r="V380" s="14">
        <v>0.03373337658125203</v>
      </c>
      <c r="W380" s="14">
        <v>0.0</v>
      </c>
      <c r="X380" s="14" t="s">
        <v>4495</v>
      </c>
      <c r="Y380" s="18" t="s">
        <v>4495</v>
      </c>
      <c r="Z380" s="18">
        <v>0.559919445011029</v>
      </c>
      <c r="AA380" s="18">
        <v>1.0</v>
      </c>
      <c r="AB380" s="18">
        <v>1.0</v>
      </c>
      <c r="AC380" s="18">
        <v>0.812773869932986</v>
      </c>
      <c r="AD380" s="18">
        <v>0.5712572482460558</v>
      </c>
      <c r="AE380" s="19" t="s">
        <v>4501</v>
      </c>
    </row>
    <row r="381" ht="21.0" customHeight="1">
      <c r="A381" s="20" t="s">
        <v>2383</v>
      </c>
      <c r="B381" s="21" t="s">
        <v>3393</v>
      </c>
      <c r="C381" s="22" t="s">
        <v>3394</v>
      </c>
      <c r="D381" s="23"/>
      <c r="E381" s="24"/>
      <c r="F381" s="21" t="s">
        <v>2386</v>
      </c>
      <c r="G381" s="21" t="s">
        <v>42</v>
      </c>
      <c r="H381" s="24">
        <v>23.0</v>
      </c>
      <c r="I381" s="24">
        <v>246.0</v>
      </c>
      <c r="J381" s="25" t="s">
        <v>3396</v>
      </c>
      <c r="K381" s="21" t="s">
        <v>3397</v>
      </c>
      <c r="L381" s="21" t="s">
        <v>3398</v>
      </c>
      <c r="M381" s="26" t="s">
        <v>59</v>
      </c>
      <c r="N381" s="25" t="s">
        <v>3399</v>
      </c>
      <c r="O381" s="21" t="s">
        <v>3400</v>
      </c>
      <c r="P381" s="24">
        <v>11.0</v>
      </c>
      <c r="Q381" s="24"/>
      <c r="R381" s="24">
        <v>60.0</v>
      </c>
      <c r="S381" s="24">
        <v>2020.0</v>
      </c>
      <c r="T381" s="21" t="s">
        <v>3401</v>
      </c>
      <c r="U381" s="24">
        <v>9.66666666666666</v>
      </c>
      <c r="V381" s="24" t="s">
        <v>4495</v>
      </c>
      <c r="W381" s="24" t="s">
        <v>4495</v>
      </c>
      <c r="X381" s="24" t="s">
        <v>4495</v>
      </c>
      <c r="Y381" s="27" t="s">
        <v>4495</v>
      </c>
      <c r="Z381" s="27">
        <v>0.5716075650904038</v>
      </c>
      <c r="AA381" s="27" t="s">
        <v>4495</v>
      </c>
      <c r="AB381" s="27" t="s">
        <v>4495</v>
      </c>
      <c r="AC381" s="27">
        <v>0.3634684953716459</v>
      </c>
      <c r="AD381" s="27">
        <v>0.17924874080976555</v>
      </c>
      <c r="AE381" s="28" t="s">
        <v>4501</v>
      </c>
    </row>
    <row r="382" ht="21.0" customHeight="1">
      <c r="A382" s="10" t="s">
        <v>2383</v>
      </c>
      <c r="B382" s="15" t="s">
        <v>3402</v>
      </c>
      <c r="C382" s="12" t="s">
        <v>3403</v>
      </c>
      <c r="D382" s="13">
        <v>42583.0</v>
      </c>
      <c r="E382" s="14">
        <v>2016.0</v>
      </c>
      <c r="F382" s="15" t="s">
        <v>2386</v>
      </c>
      <c r="G382" s="15" t="s">
        <v>232</v>
      </c>
      <c r="H382" s="14">
        <v>23.0</v>
      </c>
      <c r="I382" s="14">
        <v>168.0</v>
      </c>
      <c r="J382" s="16"/>
      <c r="K382" s="15" t="s">
        <v>3404</v>
      </c>
      <c r="L382" s="15" t="s">
        <v>3405</v>
      </c>
      <c r="M382" s="17" t="s">
        <v>59</v>
      </c>
      <c r="N382" s="29" t="s">
        <v>3406</v>
      </c>
      <c r="O382" s="15" t="s">
        <v>3407</v>
      </c>
      <c r="P382" s="14">
        <v>12.0</v>
      </c>
      <c r="Q382" s="14"/>
      <c r="R382" s="14">
        <v>30.0</v>
      </c>
      <c r="S382" s="14"/>
      <c r="T382" s="15" t="s">
        <v>3408</v>
      </c>
      <c r="U382" s="14">
        <v>29.8</v>
      </c>
      <c r="V382" s="14">
        <v>0.05022421524663677</v>
      </c>
      <c r="W382" s="14" t="s">
        <v>4495</v>
      </c>
      <c r="X382" s="14" t="s">
        <v>4495</v>
      </c>
      <c r="Y382" s="18" t="s">
        <v>4495</v>
      </c>
      <c r="Z382" s="18">
        <v>0.33428356644099017</v>
      </c>
      <c r="AA382" s="18" t="s">
        <v>4495</v>
      </c>
      <c r="AB382" s="18">
        <v>1.0</v>
      </c>
      <c r="AC382" s="18">
        <v>0.8100479960906362</v>
      </c>
      <c r="AD382" s="18">
        <v>0.31457569121931117</v>
      </c>
      <c r="AE382" s="19" t="s">
        <v>4499</v>
      </c>
    </row>
    <row r="383" ht="21.0" customHeight="1">
      <c r="A383" s="20" t="s">
        <v>2383</v>
      </c>
      <c r="B383" s="21" t="s">
        <v>3410</v>
      </c>
      <c r="C383" s="22" t="s">
        <v>3411</v>
      </c>
      <c r="D383" s="23">
        <v>42823.0</v>
      </c>
      <c r="E383" s="24">
        <v>2017.0</v>
      </c>
      <c r="F383" s="21" t="s">
        <v>41</v>
      </c>
      <c r="G383" s="21" t="s">
        <v>42</v>
      </c>
      <c r="H383" s="24">
        <v>23.0</v>
      </c>
      <c r="I383" s="24">
        <v>427.0</v>
      </c>
      <c r="J383" s="25" t="s">
        <v>3414</v>
      </c>
      <c r="K383" s="21" t="s">
        <v>3415</v>
      </c>
      <c r="L383" s="21" t="s">
        <v>3416</v>
      </c>
      <c r="M383" s="26" t="s">
        <v>59</v>
      </c>
      <c r="N383" s="25" t="s">
        <v>3417</v>
      </c>
      <c r="O383" s="21" t="s">
        <v>3418</v>
      </c>
      <c r="P383" s="24"/>
      <c r="Q383" s="24"/>
      <c r="R383" s="24">
        <v>95.0</v>
      </c>
      <c r="S383" s="24">
        <v>2016.0</v>
      </c>
      <c r="T383" s="21" t="s">
        <v>3419</v>
      </c>
      <c r="U383" s="24">
        <v>12.8333333333333</v>
      </c>
      <c r="V383" s="24">
        <v>0.13752012882447665</v>
      </c>
      <c r="W383" s="24">
        <v>1.0</v>
      </c>
      <c r="X383" s="24" t="s">
        <v>4495</v>
      </c>
      <c r="Y383" s="27" t="s">
        <v>4495</v>
      </c>
      <c r="Z383" s="27">
        <v>0.7306007127585364</v>
      </c>
      <c r="AA383" s="27">
        <v>1.0</v>
      </c>
      <c r="AB383" s="27">
        <v>1.0</v>
      </c>
      <c r="AC383" s="27">
        <v>0.47294857693340075</v>
      </c>
      <c r="AD383" s="27">
        <v>0.5799450358829742</v>
      </c>
      <c r="AE383" s="28" t="s">
        <v>4500</v>
      </c>
    </row>
    <row r="384" ht="21.0" customHeight="1">
      <c r="A384" s="10" t="s">
        <v>2383</v>
      </c>
      <c r="B384" s="15" t="s">
        <v>3421</v>
      </c>
      <c r="C384" s="12" t="s">
        <v>3422</v>
      </c>
      <c r="D384" s="13">
        <v>42642.0</v>
      </c>
      <c r="E384" s="14">
        <v>2016.0</v>
      </c>
      <c r="F384" s="15" t="s">
        <v>2386</v>
      </c>
      <c r="G384" s="15" t="s">
        <v>232</v>
      </c>
      <c r="H384" s="14">
        <v>23.0</v>
      </c>
      <c r="I384" s="14">
        <v>310.0</v>
      </c>
      <c r="J384" s="16" t="s">
        <v>3424</v>
      </c>
      <c r="K384" s="15" t="s">
        <v>3425</v>
      </c>
      <c r="L384" s="15" t="s">
        <v>3426</v>
      </c>
      <c r="M384" s="17" t="s">
        <v>59</v>
      </c>
      <c r="N384" s="16" t="s">
        <v>3427</v>
      </c>
      <c r="O384" s="15" t="s">
        <v>3428</v>
      </c>
      <c r="P384" s="14"/>
      <c r="Q384" s="14"/>
      <c r="R384" s="14">
        <v>46.0</v>
      </c>
      <c r="S384" s="14">
        <v>2015.0</v>
      </c>
      <c r="T384" s="15" t="s">
        <v>3429</v>
      </c>
      <c r="U384" s="14">
        <v>11.6666666666666</v>
      </c>
      <c r="V384" s="14">
        <v>0.09433962264150944</v>
      </c>
      <c r="W384" s="14">
        <v>1.0</v>
      </c>
      <c r="X384" s="14" t="s">
        <v>4495</v>
      </c>
      <c r="Y384" s="18" t="s">
        <v>4495</v>
      </c>
      <c r="Z384" s="18">
        <v>0.4801940348116395</v>
      </c>
      <c r="AA384" s="18">
        <v>1.0</v>
      </c>
      <c r="AB384" s="18">
        <v>1.0</v>
      </c>
      <c r="AC384" s="18">
        <v>0.43584255026961716</v>
      </c>
      <c r="AD384" s="18">
        <v>0.5136327637298717</v>
      </c>
      <c r="AE384" s="19" t="s">
        <v>4501</v>
      </c>
    </row>
    <row r="385" ht="21.0" customHeight="1">
      <c r="A385" s="20" t="s">
        <v>2383</v>
      </c>
      <c r="B385" s="21" t="s">
        <v>3431</v>
      </c>
      <c r="C385" s="22" t="s">
        <v>3432</v>
      </c>
      <c r="D385" s="23">
        <v>40544.0</v>
      </c>
      <c r="E385" s="24">
        <v>2011.0</v>
      </c>
      <c r="F385" s="21" t="s">
        <v>2554</v>
      </c>
      <c r="G385" s="21" t="s">
        <v>3434</v>
      </c>
      <c r="H385" s="24">
        <v>23.0</v>
      </c>
      <c r="I385" s="24">
        <v>155.0</v>
      </c>
      <c r="J385" s="25"/>
      <c r="K385" s="21" t="s">
        <v>3436</v>
      </c>
      <c r="L385" s="21" t="s">
        <v>3437</v>
      </c>
      <c r="M385" s="26" t="s">
        <v>31</v>
      </c>
      <c r="N385" s="25"/>
      <c r="P385" s="24"/>
      <c r="Q385" s="24"/>
      <c r="R385" s="24">
        <v>16.0</v>
      </c>
      <c r="S385" s="24"/>
      <c r="T385" s="21" t="s">
        <v>3438</v>
      </c>
      <c r="U385" s="24">
        <v>52.5</v>
      </c>
      <c r="V385" s="24">
        <v>0.0287890044576523</v>
      </c>
      <c r="W385" s="24" t="s">
        <v>4495</v>
      </c>
      <c r="X385" s="24" t="s">
        <v>4495</v>
      </c>
      <c r="Y385" s="27" t="s">
        <v>4495</v>
      </c>
      <c r="Z385" s="27">
        <v>0.12364556257381001</v>
      </c>
      <c r="AA385" s="27" t="s">
        <v>4495</v>
      </c>
      <c r="AB385" s="27">
        <v>1.0</v>
      </c>
      <c r="AC385" s="27">
        <v>1.0</v>
      </c>
      <c r="AD385" s="27">
        <v>0.2809113906434525</v>
      </c>
      <c r="AE385" s="28" t="s">
        <v>4497</v>
      </c>
    </row>
    <row r="386" ht="21.0" customHeight="1">
      <c r="A386" s="10" t="s">
        <v>2383</v>
      </c>
      <c r="B386" s="15" t="s">
        <v>3440</v>
      </c>
      <c r="C386" s="12" t="s">
        <v>3441</v>
      </c>
      <c r="D386" s="13">
        <v>41704.0</v>
      </c>
      <c r="E386" s="14">
        <v>2014.0</v>
      </c>
      <c r="F386" s="15" t="s">
        <v>2398</v>
      </c>
      <c r="G386" s="15" t="s">
        <v>232</v>
      </c>
      <c r="H386" s="14">
        <v>23.0</v>
      </c>
      <c r="I386" s="14">
        <v>198.0</v>
      </c>
      <c r="J386" s="16"/>
      <c r="K386" s="15" t="s">
        <v>3444</v>
      </c>
      <c r="L386" s="15" t="s">
        <v>3445</v>
      </c>
      <c r="M386" s="17" t="s">
        <v>31</v>
      </c>
      <c r="N386" s="29"/>
      <c r="O386" s="15" t="s">
        <v>3446</v>
      </c>
      <c r="P386" s="14">
        <v>2.0</v>
      </c>
      <c r="Q386" s="14"/>
      <c r="R386" s="14">
        <v>7.0</v>
      </c>
      <c r="S386" s="14"/>
      <c r="T386" s="15" t="s">
        <v>3447</v>
      </c>
      <c r="U386" s="14">
        <v>29.8</v>
      </c>
      <c r="V386" s="14">
        <v>0.046875</v>
      </c>
      <c r="W386" s="14" t="s">
        <v>4495</v>
      </c>
      <c r="X386" s="14" t="s">
        <v>4495</v>
      </c>
      <c r="Y386" s="18" t="s">
        <v>4495</v>
      </c>
      <c r="Z386" s="18">
        <v>0.0</v>
      </c>
      <c r="AA386" s="18" t="s">
        <v>4495</v>
      </c>
      <c r="AB386" s="18">
        <v>1.0</v>
      </c>
      <c r="AC386" s="18">
        <v>0.8100479960906362</v>
      </c>
      <c r="AD386" s="18">
        <v>0.23100479960906362</v>
      </c>
      <c r="AE386" s="19" t="s">
        <v>4497</v>
      </c>
    </row>
    <row r="387" ht="21.0" customHeight="1">
      <c r="A387" s="20" t="s">
        <v>2383</v>
      </c>
      <c r="B387" s="21" t="s">
        <v>3448</v>
      </c>
      <c r="C387" s="22" t="s">
        <v>3449</v>
      </c>
      <c r="D387" s="23">
        <v>41087.0</v>
      </c>
      <c r="E387" s="24">
        <v>2012.0</v>
      </c>
      <c r="F387" s="21" t="s">
        <v>2386</v>
      </c>
      <c r="G387" s="21" t="s">
        <v>1119</v>
      </c>
      <c r="H387" s="24">
        <v>23.0</v>
      </c>
      <c r="I387" s="24">
        <v>262.0</v>
      </c>
      <c r="J387" s="25" t="s">
        <v>3451</v>
      </c>
      <c r="K387" s="21" t="s">
        <v>3452</v>
      </c>
      <c r="L387" s="21" t="s">
        <v>3453</v>
      </c>
      <c r="M387" s="26" t="s">
        <v>59</v>
      </c>
      <c r="N387" s="30" t="s">
        <v>3454</v>
      </c>
      <c r="O387" s="32" t="s">
        <v>3455</v>
      </c>
      <c r="P387" s="24">
        <v>2.0</v>
      </c>
      <c r="Q387" s="24"/>
      <c r="R387" s="24">
        <v>7.0</v>
      </c>
      <c r="S387" s="24">
        <v>2010.0</v>
      </c>
      <c r="T387" s="21" t="s">
        <v>3457</v>
      </c>
      <c r="U387" s="24">
        <v>39.5555555555555</v>
      </c>
      <c r="V387" s="24">
        <v>0.05412104936996488</v>
      </c>
      <c r="W387" s="24">
        <v>2.0</v>
      </c>
      <c r="X387" s="24" t="s">
        <v>4495</v>
      </c>
      <c r="Y387" s="27" t="s">
        <v>4495</v>
      </c>
      <c r="Z387" s="27">
        <v>0.0</v>
      </c>
      <c r="AA387" s="27">
        <v>1.0</v>
      </c>
      <c r="AB387" s="27">
        <v>1.0</v>
      </c>
      <c r="AC387" s="27">
        <v>0.9259297340480559</v>
      </c>
      <c r="AD387" s="27">
        <v>0.4425929734048056</v>
      </c>
      <c r="AE387" s="28" t="s">
        <v>4501</v>
      </c>
    </row>
    <row r="388" ht="21.0" customHeight="1">
      <c r="A388" s="10" t="s">
        <v>2383</v>
      </c>
      <c r="B388" s="15" t="s">
        <v>3459</v>
      </c>
      <c r="C388" s="12" t="s">
        <v>3460</v>
      </c>
      <c r="D388" s="13">
        <v>43622.0</v>
      </c>
      <c r="E388" s="14">
        <v>2019.0</v>
      </c>
      <c r="F388" s="15" t="s">
        <v>2386</v>
      </c>
      <c r="G388" s="15" t="s">
        <v>232</v>
      </c>
      <c r="H388" s="14">
        <v>23.0</v>
      </c>
      <c r="I388" s="14">
        <v>171.0</v>
      </c>
      <c r="J388" s="16" t="s">
        <v>3462</v>
      </c>
      <c r="K388" s="15" t="s">
        <v>3463</v>
      </c>
      <c r="L388" s="15" t="s">
        <v>3464</v>
      </c>
      <c r="M388" s="17" t="s">
        <v>59</v>
      </c>
      <c r="N388" s="29" t="s">
        <v>3465</v>
      </c>
      <c r="O388" s="15" t="s">
        <v>3466</v>
      </c>
      <c r="P388" s="14">
        <v>12.0</v>
      </c>
      <c r="Q388" s="14"/>
      <c r="R388" s="14">
        <v>36.0</v>
      </c>
      <c r="S388" s="14">
        <v>2019.0</v>
      </c>
      <c r="T388" s="15" t="s">
        <v>3467</v>
      </c>
      <c r="U388" s="14">
        <v>5.25</v>
      </c>
      <c r="V388" s="14">
        <v>0.07415437987857762</v>
      </c>
      <c r="W388" s="14">
        <v>0.0</v>
      </c>
      <c r="X388" s="14" t="s">
        <v>4495</v>
      </c>
      <c r="Y388" s="18" t="s">
        <v>4495</v>
      </c>
      <c r="Z388" s="18">
        <v>0.3963174424868398</v>
      </c>
      <c r="AA388" s="18">
        <v>1.0</v>
      </c>
      <c r="AB388" s="18">
        <v>1.0</v>
      </c>
      <c r="AC388" s="18">
        <v>0.13834818639455485</v>
      </c>
      <c r="AD388" s="18">
        <v>0.4629141792611654</v>
      </c>
      <c r="AE388" s="19" t="s">
        <v>4501</v>
      </c>
    </row>
    <row r="389" ht="21.0" customHeight="1">
      <c r="A389" s="20" t="s">
        <v>2383</v>
      </c>
      <c r="B389" s="21" t="s">
        <v>3469</v>
      </c>
      <c r="C389" s="22" t="s">
        <v>3470</v>
      </c>
      <c r="D389" s="23">
        <v>41134.0</v>
      </c>
      <c r="E389" s="24">
        <v>2012.0</v>
      </c>
      <c r="F389" s="21" t="s">
        <v>2386</v>
      </c>
      <c r="G389" s="21" t="s">
        <v>42</v>
      </c>
      <c r="H389" s="24">
        <v>22.0</v>
      </c>
      <c r="I389" s="24">
        <v>217.0</v>
      </c>
      <c r="J389" s="25"/>
      <c r="K389" s="21" t="s">
        <v>3472</v>
      </c>
      <c r="L389" s="21" t="s">
        <v>3473</v>
      </c>
      <c r="M389" s="26" t="s">
        <v>59</v>
      </c>
      <c r="N389" s="30" t="s">
        <v>3474</v>
      </c>
      <c r="O389" s="21" t="s">
        <v>3475</v>
      </c>
      <c r="P389" s="24">
        <v>12.0</v>
      </c>
      <c r="Q389" s="24"/>
      <c r="R389" s="24">
        <v>34.0</v>
      </c>
      <c r="S389" s="24"/>
      <c r="T389" s="21" t="s">
        <v>3476</v>
      </c>
      <c r="U389" s="24">
        <v>68.25</v>
      </c>
      <c r="V389" s="24">
        <v>0.04526491447642887</v>
      </c>
      <c r="W389" s="24" t="s">
        <v>4495</v>
      </c>
      <c r="X389" s="24" t="s">
        <v>4495</v>
      </c>
      <c r="Y389" s="27" t="s">
        <v>4495</v>
      </c>
      <c r="Z389" s="27">
        <v>0.3768340340141598</v>
      </c>
      <c r="AA389" s="27" t="s">
        <v>4495</v>
      </c>
      <c r="AB389" s="27">
        <v>1.0</v>
      </c>
      <c r="AC389" s="27">
        <v>1.0</v>
      </c>
      <c r="AD389" s="27">
        <v>0.34420850850353996</v>
      </c>
      <c r="AE389" s="28" t="s">
        <v>4499</v>
      </c>
    </row>
    <row r="390" ht="21.0" customHeight="1">
      <c r="A390" s="10" t="s">
        <v>2383</v>
      </c>
      <c r="B390" s="15" t="s">
        <v>3478</v>
      </c>
      <c r="C390" s="12" t="s">
        <v>3479</v>
      </c>
      <c r="D390" s="13">
        <v>42501.0</v>
      </c>
      <c r="E390" s="14">
        <v>2016.0</v>
      </c>
      <c r="F390" s="15" t="s">
        <v>2398</v>
      </c>
      <c r="G390" s="15" t="s">
        <v>42</v>
      </c>
      <c r="H390" s="14">
        <v>22.0</v>
      </c>
      <c r="I390" s="14">
        <v>410.0</v>
      </c>
      <c r="J390" s="16" t="s">
        <v>3482</v>
      </c>
      <c r="K390" s="15" t="s">
        <v>3483</v>
      </c>
      <c r="L390" s="15" t="s">
        <v>3484</v>
      </c>
      <c r="M390" s="17" t="s">
        <v>31</v>
      </c>
      <c r="N390" s="29"/>
      <c r="P390" s="14"/>
      <c r="Q390" s="14"/>
      <c r="R390" s="14">
        <v>58.0</v>
      </c>
      <c r="S390" s="14">
        <v>2016.0</v>
      </c>
      <c r="T390" s="15" t="s">
        <v>3485</v>
      </c>
      <c r="U390" s="14">
        <v>49.0</v>
      </c>
      <c r="V390" s="14">
        <v>0.11963816749343449</v>
      </c>
      <c r="W390" s="14">
        <v>0.0</v>
      </c>
      <c r="X390" s="14" t="s">
        <v>4495</v>
      </c>
      <c r="Y390" s="18" t="s">
        <v>4495</v>
      </c>
      <c r="Z390" s="18">
        <v>0.559919445011029</v>
      </c>
      <c r="AA390" s="18">
        <v>1.0</v>
      </c>
      <c r="AB390" s="18">
        <v>1.0</v>
      </c>
      <c r="AC390" s="18">
        <v>1.0</v>
      </c>
      <c r="AD390" s="18">
        <v>0.5899798612527573</v>
      </c>
      <c r="AE390" s="19" t="s">
        <v>4497</v>
      </c>
    </row>
    <row r="391" ht="21.0" customHeight="1">
      <c r="A391" s="20" t="s">
        <v>2383</v>
      </c>
      <c r="B391" s="21" t="s">
        <v>3486</v>
      </c>
      <c r="C391" s="22" t="s">
        <v>3487</v>
      </c>
      <c r="D391" s="23">
        <v>43800.0</v>
      </c>
      <c r="E391" s="24">
        <v>2019.0</v>
      </c>
      <c r="F391" s="21" t="s">
        <v>2386</v>
      </c>
      <c r="G391" s="21" t="s">
        <v>42</v>
      </c>
      <c r="H391" s="24">
        <v>22.0</v>
      </c>
      <c r="I391" s="24">
        <v>216.0</v>
      </c>
      <c r="J391" s="25" t="s">
        <v>3489</v>
      </c>
      <c r="K391" s="21" t="s">
        <v>3490</v>
      </c>
      <c r="L391" s="21" t="s">
        <v>3491</v>
      </c>
      <c r="M391" s="26" t="s">
        <v>31</v>
      </c>
      <c r="N391" s="30"/>
      <c r="O391" s="21" t="s">
        <v>3492</v>
      </c>
      <c r="P391" s="24">
        <v>14.0</v>
      </c>
      <c r="Q391" s="24"/>
      <c r="R391" s="24">
        <v>57.0</v>
      </c>
      <c r="S391" s="24"/>
      <c r="T391" s="21" t="s">
        <v>3493</v>
      </c>
      <c r="U391" s="24">
        <v>28.3333333333333</v>
      </c>
      <c r="V391" s="24">
        <v>0.10150375939849623</v>
      </c>
      <c r="W391" s="24" t="s">
        <v>4495</v>
      </c>
      <c r="X391" s="24" t="s">
        <v>4495</v>
      </c>
      <c r="Y391" s="27" t="s">
        <v>4495</v>
      </c>
      <c r="Z391" s="27">
        <v>0.5539259463633467</v>
      </c>
      <c r="AA391" s="27" t="s">
        <v>4495</v>
      </c>
      <c r="AB391" s="27">
        <v>1.0</v>
      </c>
      <c r="AC391" s="27">
        <v>0.7895002117391313</v>
      </c>
      <c r="AD391" s="27">
        <v>0.3674315077647498</v>
      </c>
      <c r="AE391" s="28" t="s">
        <v>4497</v>
      </c>
    </row>
    <row r="392" ht="21.0" customHeight="1">
      <c r="A392" s="10" t="s">
        <v>2383</v>
      </c>
      <c r="B392" s="15" t="s">
        <v>3494</v>
      </c>
      <c r="C392" s="12" t="s">
        <v>3495</v>
      </c>
      <c r="D392" s="13"/>
      <c r="E392" s="14"/>
      <c r="F392" s="15" t="s">
        <v>2386</v>
      </c>
      <c r="G392" s="15" t="s">
        <v>42</v>
      </c>
      <c r="H392" s="14">
        <v>22.0</v>
      </c>
      <c r="I392" s="14">
        <v>132.0</v>
      </c>
      <c r="J392" s="16" t="s">
        <v>3496</v>
      </c>
      <c r="K392" s="15" t="s">
        <v>3497</v>
      </c>
      <c r="L392" s="15" t="s">
        <v>3498</v>
      </c>
      <c r="M392" s="17" t="s">
        <v>59</v>
      </c>
      <c r="N392" s="29" t="s">
        <v>3499</v>
      </c>
      <c r="O392" s="15" t="s">
        <v>3500</v>
      </c>
      <c r="P392" s="14">
        <v>10.0</v>
      </c>
      <c r="Q392" s="14"/>
      <c r="R392" s="14">
        <v>54.0</v>
      </c>
      <c r="S392" s="14">
        <v>2020.0</v>
      </c>
      <c r="T392" s="15" t="s">
        <v>3501</v>
      </c>
      <c r="U392" s="14">
        <v>6.0</v>
      </c>
      <c r="V392" s="14" t="s">
        <v>4495</v>
      </c>
      <c r="W392" s="14" t="s">
        <v>4495</v>
      </c>
      <c r="X392" s="14" t="s">
        <v>4495</v>
      </c>
      <c r="Y392" s="18" t="s">
        <v>4495</v>
      </c>
      <c r="Z392" s="18">
        <v>0.5353050503378812</v>
      </c>
      <c r="AA392" s="18" t="s">
        <v>4495</v>
      </c>
      <c r="AB392" s="18" t="s">
        <v>4495</v>
      </c>
      <c r="AC392" s="18">
        <v>0.18607611324557238</v>
      </c>
      <c r="AD392" s="18">
        <v>0.15243387390902755</v>
      </c>
      <c r="AE392" s="19" t="s">
        <v>4501</v>
      </c>
    </row>
    <row r="393" ht="21.0" customHeight="1">
      <c r="A393" s="20" t="s">
        <v>2383</v>
      </c>
      <c r="B393" s="21" t="s">
        <v>3502</v>
      </c>
      <c r="C393" s="22" t="s">
        <v>3503</v>
      </c>
      <c r="D393" s="23"/>
      <c r="E393" s="24"/>
      <c r="H393" s="24">
        <v>22.0</v>
      </c>
      <c r="I393" s="24">
        <v>310.0</v>
      </c>
      <c r="J393" s="25"/>
      <c r="K393" s="21" t="s">
        <v>3504</v>
      </c>
      <c r="M393" s="26" t="s">
        <v>31</v>
      </c>
      <c r="N393" s="30"/>
      <c r="P393" s="24"/>
      <c r="Q393" s="24"/>
      <c r="R393" s="24">
        <v>1.0</v>
      </c>
      <c r="S393" s="24"/>
      <c r="T393" s="21" t="s">
        <v>614</v>
      </c>
      <c r="U393" s="24">
        <v>1.0</v>
      </c>
      <c r="V393" s="24" t="s">
        <v>4495</v>
      </c>
      <c r="W393" s="24" t="s">
        <v>4495</v>
      </c>
      <c r="X393" s="24" t="s">
        <v>4495</v>
      </c>
      <c r="Y393" s="27" t="s">
        <v>4495</v>
      </c>
      <c r="Z393" s="27">
        <v>0.0</v>
      </c>
      <c r="AA393" s="27" t="s">
        <v>4495</v>
      </c>
      <c r="AB393" s="27" t="s">
        <v>4495</v>
      </c>
      <c r="AC393" s="27">
        <v>0.0</v>
      </c>
      <c r="AD393" s="27">
        <v>0.0</v>
      </c>
      <c r="AE393" s="28" t="s">
        <v>4497</v>
      </c>
    </row>
    <row r="394" ht="21.0" customHeight="1">
      <c r="A394" s="10" t="s">
        <v>21</v>
      </c>
      <c r="B394" s="15" t="s">
        <v>88</v>
      </c>
      <c r="C394" s="12" t="s">
        <v>89</v>
      </c>
      <c r="D394" s="13">
        <v>43647.0</v>
      </c>
      <c r="E394" s="14">
        <v>2019.0</v>
      </c>
      <c r="F394" s="15" t="s">
        <v>41</v>
      </c>
      <c r="G394" s="15" t="s">
        <v>42</v>
      </c>
      <c r="H394" s="14">
        <v>63.0</v>
      </c>
      <c r="I394" s="14">
        <v>1287.0</v>
      </c>
      <c r="J394" s="16" t="s">
        <v>94</v>
      </c>
      <c r="K394" s="15" t="s">
        <v>95</v>
      </c>
      <c r="L394" s="15" t="s">
        <v>96</v>
      </c>
      <c r="M394" s="17" t="s">
        <v>59</v>
      </c>
      <c r="N394" s="16" t="s">
        <v>97</v>
      </c>
      <c r="P394" s="14"/>
      <c r="Q394" s="14"/>
      <c r="R394" s="14">
        <v>124.0</v>
      </c>
      <c r="S394" s="14">
        <v>2018.0</v>
      </c>
      <c r="T394" s="15" t="s">
        <v>100</v>
      </c>
      <c r="U394" s="14">
        <v>26.0</v>
      </c>
      <c r="V394" s="14">
        <v>0.564226216571679</v>
      </c>
      <c r="W394" s="14">
        <v>1.0</v>
      </c>
      <c r="X394" s="14" t="s">
        <v>4495</v>
      </c>
      <c r="Y394" s="18" t="s">
        <v>4495</v>
      </c>
      <c r="Z394" s="18">
        <v>0.823149971850111</v>
      </c>
      <c r="AA394" s="18">
        <v>1.0</v>
      </c>
      <c r="AB394" s="18">
        <v>1.0</v>
      </c>
      <c r="AC394" s="18">
        <v>0.7545924021819583</v>
      </c>
      <c r="AD394" s="18">
        <v>0.6312467331807236</v>
      </c>
      <c r="AE394" s="19" t="s">
        <v>4498</v>
      </c>
    </row>
    <row r="395" ht="21.0" customHeight="1">
      <c r="A395" s="20" t="s">
        <v>2383</v>
      </c>
      <c r="B395" s="21" t="s">
        <v>3512</v>
      </c>
      <c r="C395" s="22" t="s">
        <v>3513</v>
      </c>
      <c r="D395" s="23">
        <v>42382.0</v>
      </c>
      <c r="E395" s="24">
        <v>2016.0</v>
      </c>
      <c r="F395" s="21" t="s">
        <v>2398</v>
      </c>
      <c r="G395" s="21" t="s">
        <v>42</v>
      </c>
      <c r="H395" s="24">
        <v>22.0</v>
      </c>
      <c r="I395" s="24">
        <v>339.0</v>
      </c>
      <c r="J395" s="25"/>
      <c r="K395" s="21" t="s">
        <v>3516</v>
      </c>
      <c r="L395" s="21" t="s">
        <v>3517</v>
      </c>
      <c r="M395" s="26" t="s">
        <v>31</v>
      </c>
      <c r="N395" s="25"/>
      <c r="O395" s="21" t="s">
        <v>3518</v>
      </c>
      <c r="P395" s="24">
        <v>6.0</v>
      </c>
      <c r="Q395" s="24"/>
      <c r="R395" s="24">
        <v>24.0</v>
      </c>
      <c r="S395" s="24"/>
      <c r="T395" s="21" t="s">
        <v>3519</v>
      </c>
      <c r="U395" s="24">
        <v>14.0</v>
      </c>
      <c r="V395" s="24">
        <v>0.09560067681895093</v>
      </c>
      <c r="W395" s="24" t="s">
        <v>4495</v>
      </c>
      <c r="X395" s="24" t="s">
        <v>4495</v>
      </c>
      <c r="Y395" s="27" t="s">
        <v>4495</v>
      </c>
      <c r="Z395" s="27">
        <v>0.25886312191752414</v>
      </c>
      <c r="AA395" s="27" t="s">
        <v>4495</v>
      </c>
      <c r="AB395" s="27">
        <v>1.0</v>
      </c>
      <c r="AC395" s="27">
        <v>0.5070483768501975</v>
      </c>
      <c r="AD395" s="27">
        <v>0.26542061816440077</v>
      </c>
      <c r="AE395" s="28" t="s">
        <v>4497</v>
      </c>
    </row>
    <row r="396" ht="21.0" customHeight="1">
      <c r="A396" s="10" t="s">
        <v>2383</v>
      </c>
      <c r="B396" s="15" t="s">
        <v>3520</v>
      </c>
      <c r="C396" s="12" t="s">
        <v>3521</v>
      </c>
      <c r="D396" s="13">
        <v>40956.0</v>
      </c>
      <c r="E396" s="14">
        <v>2012.0</v>
      </c>
      <c r="F396" s="15" t="s">
        <v>2386</v>
      </c>
      <c r="G396" s="15" t="s">
        <v>232</v>
      </c>
      <c r="H396" s="14">
        <v>22.0</v>
      </c>
      <c r="I396" s="14">
        <v>265.0</v>
      </c>
      <c r="J396" s="16" t="s">
        <v>3524</v>
      </c>
      <c r="K396" s="15" t="s">
        <v>3525</v>
      </c>
      <c r="M396" s="17" t="s">
        <v>31</v>
      </c>
      <c r="N396" s="16"/>
      <c r="O396" s="15" t="s">
        <v>3526</v>
      </c>
      <c r="P396" s="14">
        <v>15.0</v>
      </c>
      <c r="Q396" s="14"/>
      <c r="R396" s="14">
        <v>61.0</v>
      </c>
      <c r="S396" s="14">
        <v>2012.0</v>
      </c>
      <c r="T396" s="15" t="s">
        <v>3527</v>
      </c>
      <c r="U396" s="14">
        <v>26.0</v>
      </c>
      <c r="V396" s="14">
        <v>0.05329847144006436</v>
      </c>
      <c r="W396" s="14">
        <v>0.0</v>
      </c>
      <c r="X396" s="14" t="s">
        <v>4495</v>
      </c>
      <c r="Y396" s="18" t="s">
        <v>4495</v>
      </c>
      <c r="Z396" s="18">
        <v>0.5773086847360339</v>
      </c>
      <c r="AA396" s="18">
        <v>1.0</v>
      </c>
      <c r="AB396" s="18">
        <v>1.0</v>
      </c>
      <c r="AC396" s="18">
        <v>0.7545924021819583</v>
      </c>
      <c r="AD396" s="18">
        <v>0.5697864114022043</v>
      </c>
      <c r="AE396" s="19" t="s">
        <v>4497</v>
      </c>
    </row>
    <row r="397" ht="21.0" customHeight="1">
      <c r="A397" s="20" t="s">
        <v>2383</v>
      </c>
      <c r="B397" s="21" t="s">
        <v>3528</v>
      </c>
      <c r="C397" s="22" t="s">
        <v>3529</v>
      </c>
      <c r="D397" s="23">
        <v>41701.0</v>
      </c>
      <c r="E397" s="24">
        <v>2014.0</v>
      </c>
      <c r="F397" s="21" t="s">
        <v>2386</v>
      </c>
      <c r="G397" s="21" t="s">
        <v>42</v>
      </c>
      <c r="H397" s="24">
        <v>22.0</v>
      </c>
      <c r="I397" s="24">
        <v>422.0</v>
      </c>
      <c r="J397" s="25"/>
      <c r="K397" s="21" t="s">
        <v>3531</v>
      </c>
      <c r="L397" s="21" t="s">
        <v>3532</v>
      </c>
      <c r="M397" s="26" t="s">
        <v>31</v>
      </c>
      <c r="N397" s="25"/>
      <c r="O397" s="21" t="s">
        <v>3533</v>
      </c>
      <c r="P397" s="24">
        <v>17.0</v>
      </c>
      <c r="Q397" s="24"/>
      <c r="R397" s="24">
        <v>24.0</v>
      </c>
      <c r="S397" s="24"/>
      <c r="T397" s="21" t="s">
        <v>3534</v>
      </c>
      <c r="U397" s="24">
        <v>26.6666666666666</v>
      </c>
      <c r="V397" s="24">
        <v>0.09983439791814526</v>
      </c>
      <c r="W397" s="24" t="s">
        <v>4495</v>
      </c>
      <c r="X397" s="24" t="s">
        <v>4495</v>
      </c>
      <c r="Y397" s="27" t="s">
        <v>4495</v>
      </c>
      <c r="Z397" s="27">
        <v>0.25886312191752414</v>
      </c>
      <c r="AA397" s="27" t="s">
        <v>4495</v>
      </c>
      <c r="AB397" s="27">
        <v>1.0</v>
      </c>
      <c r="AC397" s="27">
        <v>0.7648647660353476</v>
      </c>
      <c r="AD397" s="27">
        <v>0.2912022570829158</v>
      </c>
      <c r="AE397" s="28" t="s">
        <v>4497</v>
      </c>
    </row>
    <row r="398" ht="21.0" customHeight="1">
      <c r="A398" s="10" t="s">
        <v>2383</v>
      </c>
      <c r="B398" s="15" t="s">
        <v>3535</v>
      </c>
      <c r="C398" s="12" t="s">
        <v>3536</v>
      </c>
      <c r="D398" s="13">
        <v>43367.0</v>
      </c>
      <c r="E398" s="14">
        <v>2018.0</v>
      </c>
      <c r="F398" s="15" t="s">
        <v>2386</v>
      </c>
      <c r="G398" s="15" t="s">
        <v>42</v>
      </c>
      <c r="H398" s="14">
        <v>22.0</v>
      </c>
      <c r="I398" s="14">
        <v>378.0</v>
      </c>
      <c r="J398" s="16" t="s">
        <v>3539</v>
      </c>
      <c r="K398" s="15" t="s">
        <v>3540</v>
      </c>
      <c r="L398" s="15" t="s">
        <v>3541</v>
      </c>
      <c r="M398" s="17" t="s">
        <v>59</v>
      </c>
      <c r="N398" s="16" t="s">
        <v>3542</v>
      </c>
      <c r="O398" s="15" t="s">
        <v>3543</v>
      </c>
      <c r="P398" s="14">
        <v>14.0</v>
      </c>
      <c r="Q398" s="14"/>
      <c r="R398" s="14">
        <v>41.0</v>
      </c>
      <c r="S398" s="14">
        <v>2018.0</v>
      </c>
      <c r="T398" s="15" t="s">
        <v>3544</v>
      </c>
      <c r="U398" s="14">
        <v>5.75</v>
      </c>
      <c r="V398" s="14">
        <v>0.1475985942991019</v>
      </c>
      <c r="W398" s="14">
        <v>0.0</v>
      </c>
      <c r="X398" s="14" t="s">
        <v>4495</v>
      </c>
      <c r="Y398" s="18" t="s">
        <v>4495</v>
      </c>
      <c r="Z398" s="18">
        <v>0.4407580016075842</v>
      </c>
      <c r="AA398" s="18">
        <v>1.0</v>
      </c>
      <c r="AB398" s="18">
        <v>1.0</v>
      </c>
      <c r="AC398" s="18">
        <v>0.17076002397806464</v>
      </c>
      <c r="AD398" s="18">
        <v>0.4772655027997026</v>
      </c>
      <c r="AE398" s="19" t="s">
        <v>4501</v>
      </c>
    </row>
    <row r="399" ht="21.0" customHeight="1">
      <c r="A399" s="20" t="s">
        <v>2383</v>
      </c>
      <c r="B399" s="21" t="s">
        <v>3545</v>
      </c>
      <c r="C399" s="22" t="s">
        <v>3546</v>
      </c>
      <c r="D399" s="23">
        <v>43573.0</v>
      </c>
      <c r="E399" s="24">
        <v>2019.0</v>
      </c>
      <c r="F399" s="21" t="s">
        <v>2417</v>
      </c>
      <c r="G399" s="21" t="s">
        <v>42</v>
      </c>
      <c r="H399" s="24">
        <v>21.0</v>
      </c>
      <c r="I399" s="24">
        <v>192.0</v>
      </c>
      <c r="J399" s="25" t="s">
        <v>3547</v>
      </c>
      <c r="K399" s="21" t="s">
        <v>3548</v>
      </c>
      <c r="L399" s="21" t="s">
        <v>3549</v>
      </c>
      <c r="M399" s="26" t="s">
        <v>31</v>
      </c>
      <c r="N399" s="30"/>
      <c r="P399" s="24"/>
      <c r="Q399" s="24"/>
      <c r="R399" s="24">
        <v>37.0</v>
      </c>
      <c r="S399" s="24"/>
      <c r="T399" s="21" t="s">
        <v>3550</v>
      </c>
      <c r="U399" s="24">
        <v>10.0</v>
      </c>
      <c r="V399" s="24">
        <v>0.08152866242038216</v>
      </c>
      <c r="W399" s="24" t="s">
        <v>4495</v>
      </c>
      <c r="X399" s="24" t="s">
        <v>4495</v>
      </c>
      <c r="Y399" s="27" t="s">
        <v>4495</v>
      </c>
      <c r="Z399" s="27">
        <v>0.40566762681079266</v>
      </c>
      <c r="AA399" s="27" t="s">
        <v>4495</v>
      </c>
      <c r="AB399" s="27">
        <v>1.0</v>
      </c>
      <c r="AC399" s="27">
        <v>0.37642785751330293</v>
      </c>
      <c r="AD399" s="27">
        <v>0.28905969245402846</v>
      </c>
      <c r="AE399" s="28" t="s">
        <v>4497</v>
      </c>
    </row>
    <row r="400" ht="21.0" customHeight="1">
      <c r="A400" s="10" t="s">
        <v>2383</v>
      </c>
      <c r="B400" s="15" t="s">
        <v>3551</v>
      </c>
      <c r="C400" s="12" t="s">
        <v>3552</v>
      </c>
      <c r="D400" s="13">
        <v>43986.0</v>
      </c>
      <c r="E400" s="14">
        <v>2020.0</v>
      </c>
      <c r="F400" s="15" t="s">
        <v>2386</v>
      </c>
      <c r="G400" s="15" t="s">
        <v>42</v>
      </c>
      <c r="H400" s="14">
        <v>21.0</v>
      </c>
      <c r="I400" s="14">
        <v>209.0</v>
      </c>
      <c r="J400" s="16" t="s">
        <v>3553</v>
      </c>
      <c r="K400" s="15" t="s">
        <v>3554</v>
      </c>
      <c r="L400" s="15" t="s">
        <v>3555</v>
      </c>
      <c r="M400" s="17" t="s">
        <v>31</v>
      </c>
      <c r="N400" s="16"/>
      <c r="O400" s="15" t="s">
        <v>3556</v>
      </c>
      <c r="P400" s="14">
        <v>5.0</v>
      </c>
      <c r="Q400" s="14"/>
      <c r="R400" s="14">
        <v>13.0</v>
      </c>
      <c r="S400" s="14"/>
      <c r="T400" s="15" t="s">
        <v>3557</v>
      </c>
      <c r="U400" s="14">
        <v>17.5</v>
      </c>
      <c r="V400" s="14">
        <v>0.10762100926879506</v>
      </c>
      <c r="W400" s="14" t="s">
        <v>4495</v>
      </c>
      <c r="X400" s="14" t="s">
        <v>4495</v>
      </c>
      <c r="Y400" s="18" t="s">
        <v>4495</v>
      </c>
      <c r="Z400" s="18">
        <v>0.055572302376616874</v>
      </c>
      <c r="AA400" s="18" t="s">
        <v>4495</v>
      </c>
      <c r="AB400" s="18">
        <v>1.0</v>
      </c>
      <c r="AC400" s="18">
        <v>0.5953713476386906</v>
      </c>
      <c r="AD400" s="18">
        <v>0.2234302103580233</v>
      </c>
      <c r="AE400" s="19" t="s">
        <v>4497</v>
      </c>
    </row>
    <row r="401" ht="21.0" customHeight="1">
      <c r="A401" s="20" t="s">
        <v>2383</v>
      </c>
      <c r="B401" s="21" t="s">
        <v>3558</v>
      </c>
      <c r="C401" s="22" t="s">
        <v>3559</v>
      </c>
      <c r="D401" s="23">
        <v>43129.0</v>
      </c>
      <c r="E401" s="24">
        <v>2018.0</v>
      </c>
      <c r="F401" s="21" t="s">
        <v>2398</v>
      </c>
      <c r="G401" s="21" t="s">
        <v>1801</v>
      </c>
      <c r="H401" s="24">
        <v>21.0</v>
      </c>
      <c r="I401" s="24">
        <v>123.0</v>
      </c>
      <c r="J401" s="25" t="s">
        <v>3561</v>
      </c>
      <c r="K401" s="21" t="s">
        <v>3562</v>
      </c>
      <c r="L401" s="21" t="s">
        <v>3563</v>
      </c>
      <c r="M401" s="26" t="s">
        <v>31</v>
      </c>
      <c r="N401" s="25"/>
      <c r="O401" s="21" t="s">
        <v>3564</v>
      </c>
      <c r="P401" s="24">
        <v>27.0</v>
      </c>
      <c r="Q401" s="24"/>
      <c r="R401" s="24">
        <v>35.0</v>
      </c>
      <c r="S401" s="24">
        <v>2017.0</v>
      </c>
      <c r="T401" s="21" t="s">
        <v>3565</v>
      </c>
      <c r="U401" s="24">
        <v>50.5</v>
      </c>
      <c r="V401" s="24">
        <v>0.04394426580921758</v>
      </c>
      <c r="W401" s="24">
        <v>1.0</v>
      </c>
      <c r="X401" s="24" t="s">
        <v>4495</v>
      </c>
      <c r="Y401" s="27" t="s">
        <v>4495</v>
      </c>
      <c r="Z401" s="27">
        <v>0.3867110571043727</v>
      </c>
      <c r="AA401" s="27">
        <v>1.0</v>
      </c>
      <c r="AB401" s="27">
        <v>1.0</v>
      </c>
      <c r="AC401" s="27">
        <v>1.0</v>
      </c>
      <c r="AD401" s="27">
        <v>0.5466777642760932</v>
      </c>
      <c r="AE401" s="28" t="s">
        <v>4497</v>
      </c>
    </row>
    <row r="402" ht="21.0" customHeight="1">
      <c r="A402" s="10" t="s">
        <v>2383</v>
      </c>
      <c r="B402" s="15" t="s">
        <v>3567</v>
      </c>
      <c r="C402" s="12" t="s">
        <v>3568</v>
      </c>
      <c r="D402" s="13">
        <v>41426.0</v>
      </c>
      <c r="E402" s="14">
        <v>2013.0</v>
      </c>
      <c r="F402" s="15" t="s">
        <v>2386</v>
      </c>
      <c r="G402" s="15" t="s">
        <v>232</v>
      </c>
      <c r="H402" s="14">
        <v>21.0</v>
      </c>
      <c r="I402" s="14">
        <v>295.0</v>
      </c>
      <c r="J402" s="16"/>
      <c r="K402" s="15" t="s">
        <v>3570</v>
      </c>
      <c r="L402" s="15" t="s">
        <v>3571</v>
      </c>
      <c r="M402" s="17" t="s">
        <v>31</v>
      </c>
      <c r="N402" s="29"/>
      <c r="O402" s="31" t="s">
        <v>3572</v>
      </c>
      <c r="P402" s="14">
        <v>13.0</v>
      </c>
      <c r="Q402" s="14"/>
      <c r="R402" s="14">
        <v>28.0</v>
      </c>
      <c r="S402" s="14"/>
      <c r="T402" s="15" t="s">
        <v>3573</v>
      </c>
      <c r="U402" s="14">
        <v>21.0</v>
      </c>
      <c r="V402" s="14">
        <v>0.0655264326965793</v>
      </c>
      <c r="W402" s="14" t="s">
        <v>4495</v>
      </c>
      <c r="X402" s="14" t="s">
        <v>4495</v>
      </c>
      <c r="Y402" s="18" t="s">
        <v>4495</v>
      </c>
      <c r="Z402" s="18">
        <v>0.31090082806830316</v>
      </c>
      <c r="AA402" s="18" t="s">
        <v>4495</v>
      </c>
      <c r="AB402" s="18">
        <v>1.0</v>
      </c>
      <c r="AC402" s="18">
        <v>0.6683440466152498</v>
      </c>
      <c r="AD402" s="18">
        <v>0.2945596116786008</v>
      </c>
      <c r="AE402" s="19" t="s">
        <v>4497</v>
      </c>
    </row>
    <row r="403" ht="21.0" customHeight="1">
      <c r="A403" s="20" t="s">
        <v>2383</v>
      </c>
      <c r="B403" s="21" t="s">
        <v>3574</v>
      </c>
      <c r="C403" s="22" t="s">
        <v>3575</v>
      </c>
      <c r="D403" s="23">
        <v>41699.0</v>
      </c>
      <c r="E403" s="24">
        <v>2014.0</v>
      </c>
      <c r="F403" s="21" t="s">
        <v>2386</v>
      </c>
      <c r="G403" s="21" t="s">
        <v>42</v>
      </c>
      <c r="H403" s="24">
        <v>21.0</v>
      </c>
      <c r="I403" s="24">
        <v>521.0</v>
      </c>
      <c r="J403" s="25"/>
      <c r="K403" s="21" t="s">
        <v>3577</v>
      </c>
      <c r="L403" s="21" t="s">
        <v>3578</v>
      </c>
      <c r="M403" s="26" t="s">
        <v>31</v>
      </c>
      <c r="N403" s="30"/>
      <c r="O403" s="21" t="s">
        <v>3579</v>
      </c>
      <c r="P403" s="24">
        <v>11.0</v>
      </c>
      <c r="Q403" s="24"/>
      <c r="R403" s="24">
        <v>16.0</v>
      </c>
      <c r="S403" s="24"/>
      <c r="T403" s="21" t="s">
        <v>3580</v>
      </c>
      <c r="U403" s="24">
        <v>13.3333333333333</v>
      </c>
      <c r="V403" s="24">
        <v>0.12319697327973517</v>
      </c>
      <c r="W403" s="24" t="s">
        <v>4495</v>
      </c>
      <c r="X403" s="24" t="s">
        <v>4495</v>
      </c>
      <c r="Y403" s="27" t="s">
        <v>4495</v>
      </c>
      <c r="Z403" s="27">
        <v>0.12364556257381001</v>
      </c>
      <c r="AA403" s="27" t="s">
        <v>4495</v>
      </c>
      <c r="AB403" s="27">
        <v>1.0</v>
      </c>
      <c r="AC403" s="27">
        <v>0.48790207811275793</v>
      </c>
      <c r="AD403" s="27">
        <v>0.2297015984547283</v>
      </c>
      <c r="AE403" s="28" t="s">
        <v>4497</v>
      </c>
    </row>
    <row r="404" ht="21.0" customHeight="1">
      <c r="A404" s="10" t="s">
        <v>2383</v>
      </c>
      <c r="B404" s="15" t="s">
        <v>3582</v>
      </c>
      <c r="C404" s="12" t="s">
        <v>3583</v>
      </c>
      <c r="D404" s="13">
        <v>41974.0</v>
      </c>
      <c r="E404" s="14">
        <v>2014.0</v>
      </c>
      <c r="F404" s="15" t="s">
        <v>2398</v>
      </c>
      <c r="G404" s="15" t="s">
        <v>42</v>
      </c>
      <c r="H404" s="14">
        <v>21.0</v>
      </c>
      <c r="I404" s="14">
        <v>225.0</v>
      </c>
      <c r="J404" s="16" t="s">
        <v>3585</v>
      </c>
      <c r="K404" s="15" t="s">
        <v>3586</v>
      </c>
      <c r="L404" s="15" t="s">
        <v>3587</v>
      </c>
      <c r="M404" s="17" t="s">
        <v>59</v>
      </c>
      <c r="N404" s="16" t="s">
        <v>3588</v>
      </c>
      <c r="O404" s="15" t="s">
        <v>3283</v>
      </c>
      <c r="P404" s="14">
        <v>8.0</v>
      </c>
      <c r="Q404" s="14"/>
      <c r="R404" s="14">
        <v>21.0</v>
      </c>
      <c r="S404" s="14">
        <v>2014.0</v>
      </c>
      <c r="T404" s="15" t="s">
        <v>3589</v>
      </c>
      <c r="U404" s="14">
        <v>48.4</v>
      </c>
      <c r="V404" s="14">
        <v>0.05690440060698027</v>
      </c>
      <c r="W404" s="14">
        <v>0.0</v>
      </c>
      <c r="X404" s="14" t="s">
        <v>4495</v>
      </c>
      <c r="Y404" s="18" t="s">
        <v>4495</v>
      </c>
      <c r="Z404" s="18">
        <v>0.21404331870033824</v>
      </c>
      <c r="AA404" s="18">
        <v>1.0</v>
      </c>
      <c r="AB404" s="18">
        <v>1.0</v>
      </c>
      <c r="AC404" s="18">
        <v>1.0</v>
      </c>
      <c r="AD404" s="18">
        <v>0.5035108296750845</v>
      </c>
      <c r="AE404" s="19" t="s">
        <v>4501</v>
      </c>
    </row>
    <row r="405" ht="21.0" customHeight="1">
      <c r="A405" s="20" t="s">
        <v>2383</v>
      </c>
      <c r="B405" s="21" t="s">
        <v>3591</v>
      </c>
      <c r="C405" s="22" t="s">
        <v>3592</v>
      </c>
      <c r="D405" s="23"/>
      <c r="E405" s="24"/>
      <c r="G405" s="21" t="s">
        <v>42</v>
      </c>
      <c r="H405" s="24">
        <v>21.0</v>
      </c>
      <c r="I405" s="24">
        <v>252.0</v>
      </c>
      <c r="J405" s="25"/>
      <c r="K405" s="21" t="s">
        <v>3593</v>
      </c>
      <c r="L405" s="21" t="s">
        <v>3594</v>
      </c>
      <c r="M405" s="26" t="s">
        <v>31</v>
      </c>
      <c r="N405" s="30"/>
      <c r="O405" s="21" t="s">
        <v>3595</v>
      </c>
      <c r="P405" s="24">
        <v>8.0</v>
      </c>
      <c r="Q405" s="24"/>
      <c r="R405" s="24">
        <v>3.0</v>
      </c>
      <c r="S405" s="24"/>
      <c r="T405" s="21" t="s">
        <v>3596</v>
      </c>
      <c r="U405" s="24">
        <v>5.0</v>
      </c>
      <c r="V405" s="24" t="s">
        <v>4495</v>
      </c>
      <c r="W405" s="24" t="s">
        <v>4495</v>
      </c>
      <c r="X405" s="24" t="s">
        <v>4495</v>
      </c>
      <c r="Y405" s="27" t="s">
        <v>4495</v>
      </c>
      <c r="Z405" s="27">
        <v>0.0</v>
      </c>
      <c r="AA405" s="27" t="s">
        <v>4495</v>
      </c>
      <c r="AB405" s="27" t="s">
        <v>4495</v>
      </c>
      <c r="AC405" s="27">
        <v>0.12115616512388203</v>
      </c>
      <c r="AD405" s="27">
        <v>0.012115616512388204</v>
      </c>
      <c r="AE405" s="28" t="s">
        <v>4497</v>
      </c>
    </row>
    <row r="406" ht="21.0" customHeight="1">
      <c r="A406" s="10" t="s">
        <v>2383</v>
      </c>
      <c r="B406" s="15" t="s">
        <v>3597</v>
      </c>
      <c r="C406" s="12" t="s">
        <v>3598</v>
      </c>
      <c r="D406" s="13">
        <v>40725.0</v>
      </c>
      <c r="E406" s="14">
        <v>2011.0</v>
      </c>
      <c r="F406" s="15" t="s">
        <v>2386</v>
      </c>
      <c r="G406" s="15" t="s">
        <v>42</v>
      </c>
      <c r="H406" s="14">
        <v>21.0</v>
      </c>
      <c r="I406" s="14">
        <v>430.0</v>
      </c>
      <c r="J406" s="16"/>
      <c r="K406" s="15" t="s">
        <v>3600</v>
      </c>
      <c r="L406" s="15" t="s">
        <v>3601</v>
      </c>
      <c r="M406" s="17" t="s">
        <v>31</v>
      </c>
      <c r="N406" s="29"/>
      <c r="O406" s="15" t="s">
        <v>3602</v>
      </c>
      <c r="P406" s="14">
        <v>16.0</v>
      </c>
      <c r="Q406" s="14"/>
      <c r="R406" s="14">
        <v>40.0</v>
      </c>
      <c r="S406" s="14"/>
      <c r="T406" s="15" t="s">
        <v>3603</v>
      </c>
      <c r="U406" s="14">
        <v>11.8</v>
      </c>
      <c r="V406" s="14">
        <v>0.08264462809917356</v>
      </c>
      <c r="W406" s="14" t="s">
        <v>4495</v>
      </c>
      <c r="X406" s="14" t="s">
        <v>4495</v>
      </c>
      <c r="Y406" s="18" t="s">
        <v>4495</v>
      </c>
      <c r="Z406" s="18">
        <v>0.43230913174650915</v>
      </c>
      <c r="AA406" s="18" t="s">
        <v>4495</v>
      </c>
      <c r="AB406" s="18">
        <v>1.0</v>
      </c>
      <c r="AC406" s="18">
        <v>0.44025249672534217</v>
      </c>
      <c r="AD406" s="18">
        <v>0.30210253260916153</v>
      </c>
      <c r="AE406" s="19" t="s">
        <v>4497</v>
      </c>
    </row>
    <row r="407" ht="21.0" customHeight="1">
      <c r="A407" s="20" t="s">
        <v>2383</v>
      </c>
      <c r="B407" s="21" t="s">
        <v>3604</v>
      </c>
      <c r="C407" s="22" t="s">
        <v>3605</v>
      </c>
      <c r="D407" s="23">
        <v>43987.0</v>
      </c>
      <c r="E407" s="24">
        <v>2020.0</v>
      </c>
      <c r="F407" s="21" t="s">
        <v>2386</v>
      </c>
      <c r="G407" s="21" t="s">
        <v>42</v>
      </c>
      <c r="H407" s="24">
        <v>21.0</v>
      </c>
      <c r="I407" s="24">
        <v>184.0</v>
      </c>
      <c r="J407" s="25" t="s">
        <v>3608</v>
      </c>
      <c r="K407" s="21" t="s">
        <v>3609</v>
      </c>
      <c r="L407" s="21" t="s">
        <v>3610</v>
      </c>
      <c r="M407" s="26" t="s">
        <v>59</v>
      </c>
      <c r="N407" s="30" t="s">
        <v>3611</v>
      </c>
      <c r="O407" s="21" t="s">
        <v>3612</v>
      </c>
      <c r="P407" s="24">
        <v>9.0</v>
      </c>
      <c r="Q407" s="24"/>
      <c r="R407" s="24">
        <v>34.0</v>
      </c>
      <c r="S407" s="24">
        <v>2020.0</v>
      </c>
      <c r="T407" s="21" t="s">
        <v>3613</v>
      </c>
      <c r="U407" s="24">
        <v>20.6</v>
      </c>
      <c r="V407" s="24">
        <v>0.09479649665121072</v>
      </c>
      <c r="W407" s="24">
        <v>0.0</v>
      </c>
      <c r="X407" s="24" t="s">
        <v>4495</v>
      </c>
      <c r="Y407" s="27" t="s">
        <v>4495</v>
      </c>
      <c r="Z407" s="27">
        <v>0.3768340340141598</v>
      </c>
      <c r="AA407" s="27">
        <v>1.0</v>
      </c>
      <c r="AB407" s="27">
        <v>1.0</v>
      </c>
      <c r="AC407" s="27">
        <v>0.6606163795575896</v>
      </c>
      <c r="AD407" s="27">
        <v>0.5102701464592989</v>
      </c>
      <c r="AE407" s="28" t="s">
        <v>4501</v>
      </c>
    </row>
    <row r="408" ht="21.0" customHeight="1">
      <c r="A408" s="10" t="s">
        <v>2383</v>
      </c>
      <c r="B408" s="15" t="s">
        <v>3614</v>
      </c>
      <c r="C408" s="12" t="s">
        <v>3615</v>
      </c>
      <c r="D408" s="13"/>
      <c r="E408" s="14"/>
      <c r="F408" s="15" t="s">
        <v>2386</v>
      </c>
      <c r="G408" s="15" t="s">
        <v>42</v>
      </c>
      <c r="H408" s="14">
        <v>21.0</v>
      </c>
      <c r="I408" s="14">
        <v>539.0</v>
      </c>
      <c r="J408" s="16" t="s">
        <v>3617</v>
      </c>
      <c r="K408" s="15" t="s">
        <v>3618</v>
      </c>
      <c r="L408" s="15" t="s">
        <v>3619</v>
      </c>
      <c r="M408" s="17" t="s">
        <v>31</v>
      </c>
      <c r="N408" s="29"/>
      <c r="O408" s="15" t="s">
        <v>3620</v>
      </c>
      <c r="P408" s="14">
        <v>43.0</v>
      </c>
      <c r="Q408" s="14"/>
      <c r="R408" s="14">
        <v>181.0</v>
      </c>
      <c r="S408" s="14"/>
      <c r="T408" s="15" t="s">
        <v>3621</v>
      </c>
      <c r="U408" s="14">
        <v>25.25</v>
      </c>
      <c r="V408" s="14" t="s">
        <v>4495</v>
      </c>
      <c r="W408" s="14" t="s">
        <v>4495</v>
      </c>
      <c r="X408" s="14" t="s">
        <v>4495</v>
      </c>
      <c r="Y408" s="18" t="s">
        <v>4495</v>
      </c>
      <c r="Z408" s="18">
        <v>0.9548721026215339</v>
      </c>
      <c r="AA408" s="18" t="s">
        <v>4495</v>
      </c>
      <c r="AB408" s="18" t="s">
        <v>4495</v>
      </c>
      <c r="AC408" s="18">
        <v>0.7427283489499527</v>
      </c>
      <c r="AD408" s="18">
        <v>0.3129908605503787</v>
      </c>
      <c r="AE408" s="19" t="s">
        <v>4497</v>
      </c>
    </row>
    <row r="409" ht="21.0" customHeight="1">
      <c r="A409" s="20" t="s">
        <v>2383</v>
      </c>
      <c r="B409" s="21" t="s">
        <v>3622</v>
      </c>
      <c r="C409" s="22" t="s">
        <v>3623</v>
      </c>
      <c r="D409" s="23">
        <v>43009.0</v>
      </c>
      <c r="E409" s="24">
        <v>2017.0</v>
      </c>
      <c r="F409" s="21" t="s">
        <v>2386</v>
      </c>
      <c r="G409" s="21" t="s">
        <v>42</v>
      </c>
      <c r="H409" s="24">
        <v>21.0</v>
      </c>
      <c r="I409" s="24">
        <v>411.0</v>
      </c>
      <c r="J409" s="25"/>
      <c r="K409" s="21" t="s">
        <v>3626</v>
      </c>
      <c r="L409" s="21" t="s">
        <v>3627</v>
      </c>
      <c r="M409" s="26" t="s">
        <v>59</v>
      </c>
      <c r="N409" s="25" t="s">
        <v>3628</v>
      </c>
      <c r="O409" s="21" t="s">
        <v>3629</v>
      </c>
      <c r="P409" s="24">
        <v>11.0</v>
      </c>
      <c r="Q409" s="24"/>
      <c r="R409" s="24">
        <v>37.0</v>
      </c>
      <c r="S409" s="24">
        <v>2016.0</v>
      </c>
      <c r="T409" s="21" t="s">
        <v>3630</v>
      </c>
      <c r="U409" s="24">
        <v>9.0</v>
      </c>
      <c r="V409" s="24">
        <v>0.1408016443987667</v>
      </c>
      <c r="W409" s="24">
        <v>1.0</v>
      </c>
      <c r="X409" s="24" t="s">
        <v>4495</v>
      </c>
      <c r="Y409" s="27" t="s">
        <v>4495</v>
      </c>
      <c r="Z409" s="27">
        <v>0.40566762681079266</v>
      </c>
      <c r="AA409" s="27">
        <v>1.0</v>
      </c>
      <c r="AB409" s="27">
        <v>1.0</v>
      </c>
      <c r="AC409" s="27">
        <v>0.336288352872133</v>
      </c>
      <c r="AD409" s="27">
        <v>0.48504574198991146</v>
      </c>
      <c r="AE409" s="28" t="s">
        <v>4499</v>
      </c>
    </row>
    <row r="410" ht="21.0" customHeight="1">
      <c r="A410" s="10" t="s">
        <v>2383</v>
      </c>
      <c r="B410" s="15" t="s">
        <v>3631</v>
      </c>
      <c r="C410" s="12" t="s">
        <v>3632</v>
      </c>
      <c r="D410" s="13">
        <v>41661.0</v>
      </c>
      <c r="E410" s="14">
        <v>2014.0</v>
      </c>
      <c r="F410" s="15" t="s">
        <v>2386</v>
      </c>
      <c r="G410" s="15" t="s">
        <v>1801</v>
      </c>
      <c r="H410" s="14">
        <v>21.0</v>
      </c>
      <c r="I410" s="14">
        <v>397.0</v>
      </c>
      <c r="J410" s="16" t="s">
        <v>3635</v>
      </c>
      <c r="K410" s="15" t="s">
        <v>3636</v>
      </c>
      <c r="L410" s="15" t="s">
        <v>3637</v>
      </c>
      <c r="M410" s="17" t="s">
        <v>59</v>
      </c>
      <c r="N410" s="29" t="s">
        <v>3638</v>
      </c>
      <c r="O410" s="15" t="s">
        <v>3639</v>
      </c>
      <c r="P410" s="14">
        <v>28.0</v>
      </c>
      <c r="Q410" s="14"/>
      <c r="R410" s="14">
        <v>65.0</v>
      </c>
      <c r="S410" s="14">
        <v>2012.0</v>
      </c>
      <c r="T410" s="15" t="s">
        <v>3640</v>
      </c>
      <c r="U410" s="14">
        <v>31.75</v>
      </c>
      <c r="V410" s="14">
        <v>0.09303960628075932</v>
      </c>
      <c r="W410" s="14">
        <v>2.0</v>
      </c>
      <c r="X410" s="14" t="s">
        <v>4495</v>
      </c>
      <c r="Y410" s="18" t="s">
        <v>4495</v>
      </c>
      <c r="Z410" s="18">
        <v>0.5992290179313052</v>
      </c>
      <c r="AA410" s="18">
        <v>1.0</v>
      </c>
      <c r="AB410" s="18">
        <v>1.0</v>
      </c>
      <c r="AC410" s="18">
        <v>0.8359014236888187</v>
      </c>
      <c r="AD410" s="18">
        <v>0.5833973968517082</v>
      </c>
      <c r="AE410" s="19" t="s">
        <v>4501</v>
      </c>
    </row>
    <row r="411" ht="21.0" customHeight="1">
      <c r="A411" s="20" t="s">
        <v>2383</v>
      </c>
      <c r="B411" s="21" t="s">
        <v>3642</v>
      </c>
      <c r="C411" s="22" t="s">
        <v>3643</v>
      </c>
      <c r="D411" s="23">
        <v>42897.0</v>
      </c>
      <c r="E411" s="24">
        <v>2017.0</v>
      </c>
      <c r="F411" s="21" t="s">
        <v>2386</v>
      </c>
      <c r="G411" s="21" t="s">
        <v>232</v>
      </c>
      <c r="H411" s="24">
        <v>20.0</v>
      </c>
      <c r="I411" s="24">
        <v>178.0</v>
      </c>
      <c r="J411" s="25"/>
      <c r="K411" s="21" t="s">
        <v>3645</v>
      </c>
      <c r="L411" s="21" t="s">
        <v>3646</v>
      </c>
      <c r="M411" s="26" t="s">
        <v>59</v>
      </c>
      <c r="N411" s="25" t="s">
        <v>3647</v>
      </c>
      <c r="O411" s="21" t="s">
        <v>3648</v>
      </c>
      <c r="P411" s="24">
        <v>7.0</v>
      </c>
      <c r="Q411" s="24"/>
      <c r="R411" s="24">
        <v>12.0</v>
      </c>
      <c r="S411" s="24"/>
      <c r="T411" s="21" t="s">
        <v>3649</v>
      </c>
      <c r="U411" s="24">
        <v>16.5</v>
      </c>
      <c r="V411" s="24">
        <v>0.058726492906631476</v>
      </c>
      <c r="W411" s="24" t="s">
        <v>4495</v>
      </c>
      <c r="X411" s="24" t="s">
        <v>4495</v>
      </c>
      <c r="Y411" s="27" t="s">
        <v>4495</v>
      </c>
      <c r="Z411" s="27">
        <v>0.029589222297267914</v>
      </c>
      <c r="AA411" s="27" t="s">
        <v>4495</v>
      </c>
      <c r="AB411" s="27">
        <v>1.0</v>
      </c>
      <c r="AC411" s="27">
        <v>0.5719683249718881</v>
      </c>
      <c r="AD411" s="27">
        <v>0.2145941380715058</v>
      </c>
      <c r="AE411" s="28" t="s">
        <v>4499</v>
      </c>
    </row>
    <row r="412" ht="21.0" customHeight="1">
      <c r="A412" s="10" t="s">
        <v>2383</v>
      </c>
      <c r="B412" s="15" t="s">
        <v>3650</v>
      </c>
      <c r="C412" s="12" t="s">
        <v>3651</v>
      </c>
      <c r="D412" s="13"/>
      <c r="E412" s="14"/>
      <c r="G412" s="15" t="s">
        <v>42</v>
      </c>
      <c r="H412" s="14">
        <v>20.0</v>
      </c>
      <c r="I412" s="14">
        <v>463.0</v>
      </c>
      <c r="J412" s="16"/>
      <c r="K412" s="15" t="s">
        <v>3653</v>
      </c>
      <c r="L412" s="15" t="s">
        <v>3654</v>
      </c>
      <c r="M412" s="17" t="s">
        <v>59</v>
      </c>
      <c r="N412" s="16" t="s">
        <v>3655</v>
      </c>
      <c r="O412" s="15" t="s">
        <v>3656</v>
      </c>
      <c r="P412" s="14">
        <v>10.0</v>
      </c>
      <c r="Q412" s="14"/>
      <c r="R412" s="14">
        <v>20.0</v>
      </c>
      <c r="S412" s="14">
        <v>2010.0</v>
      </c>
      <c r="T412" s="15" t="s">
        <v>1006</v>
      </c>
      <c r="U412" s="14">
        <v>10.0</v>
      </c>
      <c r="V412" s="14" t="s">
        <v>4495</v>
      </c>
      <c r="W412" s="14" t="s">
        <v>4495</v>
      </c>
      <c r="X412" s="14" t="s">
        <v>4495</v>
      </c>
      <c r="Y412" s="18" t="s">
        <v>4495</v>
      </c>
      <c r="Z412" s="18">
        <v>0.19773288331254052</v>
      </c>
      <c r="AA412" s="18" t="s">
        <v>4495</v>
      </c>
      <c r="AB412" s="18" t="s">
        <v>4495</v>
      </c>
      <c r="AC412" s="18">
        <v>0.37642785751330293</v>
      </c>
      <c r="AD412" s="18">
        <v>0.08707600657946543</v>
      </c>
      <c r="AE412" s="19" t="s">
        <v>4499</v>
      </c>
    </row>
    <row r="413" ht="21.0" customHeight="1">
      <c r="A413" s="20" t="s">
        <v>2383</v>
      </c>
      <c r="B413" s="21" t="s">
        <v>3657</v>
      </c>
      <c r="C413" s="22" t="s">
        <v>3658</v>
      </c>
      <c r="D413" s="23">
        <v>43648.0</v>
      </c>
      <c r="E413" s="24">
        <v>2019.0</v>
      </c>
      <c r="F413" s="21" t="s">
        <v>2386</v>
      </c>
      <c r="G413" s="21" t="s">
        <v>42</v>
      </c>
      <c r="H413" s="24">
        <v>20.0</v>
      </c>
      <c r="I413" s="24">
        <v>388.0</v>
      </c>
      <c r="J413" s="25" t="s">
        <v>3661</v>
      </c>
      <c r="K413" s="21" t="s">
        <v>3662</v>
      </c>
      <c r="L413" s="21" t="s">
        <v>3663</v>
      </c>
      <c r="M413" s="26" t="s">
        <v>59</v>
      </c>
      <c r="N413" s="25" t="s">
        <v>3664</v>
      </c>
      <c r="O413" s="21" t="s">
        <v>3665</v>
      </c>
      <c r="P413" s="24">
        <v>12.0</v>
      </c>
      <c r="Q413" s="24"/>
      <c r="R413" s="24">
        <v>53.0</v>
      </c>
      <c r="S413" s="24"/>
      <c r="T413" s="21" t="s">
        <v>3666</v>
      </c>
      <c r="U413" s="24">
        <v>14.6</v>
      </c>
      <c r="V413" s="24">
        <v>0.17017543859649123</v>
      </c>
      <c r="W413" s="24" t="s">
        <v>4495</v>
      </c>
      <c r="X413" s="24" t="s">
        <v>4495</v>
      </c>
      <c r="Y413" s="27" t="s">
        <v>4495</v>
      </c>
      <c r="Z413" s="27">
        <v>0.5288716380402964</v>
      </c>
      <c r="AA413" s="27" t="s">
        <v>4495</v>
      </c>
      <c r="AB413" s="27">
        <v>1.0</v>
      </c>
      <c r="AC413" s="27">
        <v>0.5235660248168494</v>
      </c>
      <c r="AD413" s="27">
        <v>0.334574511991759</v>
      </c>
      <c r="AE413" s="28" t="s">
        <v>4499</v>
      </c>
    </row>
    <row r="414" ht="21.0" customHeight="1">
      <c r="A414" s="10" t="s">
        <v>2383</v>
      </c>
      <c r="B414" s="15" t="s">
        <v>3668</v>
      </c>
      <c r="C414" s="12" t="s">
        <v>3669</v>
      </c>
      <c r="D414" s="13">
        <v>42979.0</v>
      </c>
      <c r="E414" s="14">
        <v>2017.0</v>
      </c>
      <c r="F414" s="15" t="s">
        <v>2398</v>
      </c>
      <c r="G414" s="15" t="s">
        <v>42</v>
      </c>
      <c r="H414" s="14">
        <v>20.0</v>
      </c>
      <c r="I414" s="14">
        <v>408.0</v>
      </c>
      <c r="J414" s="16"/>
      <c r="K414" s="15" t="s">
        <v>3670</v>
      </c>
      <c r="L414" s="15" t="s">
        <v>3671</v>
      </c>
      <c r="M414" s="17" t="s">
        <v>31</v>
      </c>
      <c r="N414" s="16"/>
      <c r="O414" s="15" t="s">
        <v>3672</v>
      </c>
      <c r="P414" s="14">
        <v>7.0</v>
      </c>
      <c r="Q414" s="14"/>
      <c r="R414" s="14">
        <v>31.0</v>
      </c>
      <c r="S414" s="14"/>
      <c r="T414" s="15" t="s">
        <v>3673</v>
      </c>
      <c r="U414" s="14">
        <v>22.3333333333333</v>
      </c>
      <c r="V414" s="14">
        <v>0.13835198372329605</v>
      </c>
      <c r="W414" s="14" t="s">
        <v>4495</v>
      </c>
      <c r="X414" s="14" t="s">
        <v>4495</v>
      </c>
      <c r="Y414" s="18" t="s">
        <v>4495</v>
      </c>
      <c r="Z414" s="18">
        <v>0.3454150135275693</v>
      </c>
      <c r="AA414" s="18" t="s">
        <v>4495</v>
      </c>
      <c r="AB414" s="18">
        <v>1.0</v>
      </c>
      <c r="AC414" s="18">
        <v>0.6931244900957695</v>
      </c>
      <c r="AD414" s="18">
        <v>0.30566620239146924</v>
      </c>
      <c r="AE414" s="19" t="s">
        <v>4497</v>
      </c>
    </row>
    <row r="415" ht="21.0" customHeight="1">
      <c r="A415" s="20" t="s">
        <v>2383</v>
      </c>
      <c r="B415" s="21" t="s">
        <v>3674</v>
      </c>
      <c r="C415" s="22" t="s">
        <v>3675</v>
      </c>
      <c r="D415" s="23">
        <v>41794.0</v>
      </c>
      <c r="E415" s="24">
        <v>2014.0</v>
      </c>
      <c r="F415" s="21" t="s">
        <v>2386</v>
      </c>
      <c r="G415" s="21" t="s">
        <v>42</v>
      </c>
      <c r="H415" s="24">
        <v>20.0</v>
      </c>
      <c r="I415" s="24">
        <v>174.0</v>
      </c>
      <c r="J415" s="25" t="s">
        <v>3676</v>
      </c>
      <c r="K415" s="21" t="s">
        <v>3677</v>
      </c>
      <c r="L415" s="21" t="s">
        <v>3678</v>
      </c>
      <c r="M415" s="26" t="s">
        <v>59</v>
      </c>
      <c r="N415" s="30" t="s">
        <v>3679</v>
      </c>
      <c r="O415" s="21" t="s">
        <v>3680</v>
      </c>
      <c r="P415" s="24">
        <v>10.0</v>
      </c>
      <c r="Q415" s="24"/>
      <c r="R415" s="24">
        <v>49.0</v>
      </c>
      <c r="S415" s="24">
        <v>2014.0</v>
      </c>
      <c r="T415" s="21" t="s">
        <v>3681</v>
      </c>
      <c r="U415" s="24">
        <v>5.5</v>
      </c>
      <c r="V415" s="24">
        <v>0.0420899854862119</v>
      </c>
      <c r="W415" s="24">
        <v>0.0</v>
      </c>
      <c r="X415" s="24" t="s">
        <v>4495</v>
      </c>
      <c r="Y415" s="27" t="s">
        <v>4495</v>
      </c>
      <c r="Z415" s="27">
        <v>0.5018882402125678</v>
      </c>
      <c r="AA415" s="27">
        <v>1.0</v>
      </c>
      <c r="AB415" s="27">
        <v>1.0</v>
      </c>
      <c r="AC415" s="27">
        <v>0.15486583436120666</v>
      </c>
      <c r="AD415" s="27">
        <v>0.49095864348926266</v>
      </c>
      <c r="AE415" s="28" t="s">
        <v>4499</v>
      </c>
    </row>
    <row r="416" ht="21.0" customHeight="1">
      <c r="A416" s="10" t="s">
        <v>2383</v>
      </c>
      <c r="B416" s="15" t="s">
        <v>3683</v>
      </c>
      <c r="C416" s="12" t="s">
        <v>3684</v>
      </c>
      <c r="D416" s="13">
        <v>41612.0</v>
      </c>
      <c r="E416" s="14">
        <v>2013.0</v>
      </c>
      <c r="F416" s="15" t="s">
        <v>2398</v>
      </c>
      <c r="G416" s="15" t="s">
        <v>42</v>
      </c>
      <c r="H416" s="14">
        <v>20.0</v>
      </c>
      <c r="I416" s="14">
        <v>158.0</v>
      </c>
      <c r="J416" s="16"/>
      <c r="K416" s="15" t="s">
        <v>3686</v>
      </c>
      <c r="L416" s="15" t="s">
        <v>3687</v>
      </c>
      <c r="M416" s="17" t="s">
        <v>31</v>
      </c>
      <c r="N416" s="16"/>
      <c r="O416" s="15" t="s">
        <v>3688</v>
      </c>
      <c r="P416" s="14">
        <v>6.0</v>
      </c>
      <c r="Q416" s="14"/>
      <c r="R416" s="14">
        <v>22.0</v>
      </c>
      <c r="S416" s="14"/>
      <c r="T416" s="15" t="s">
        <v>3689</v>
      </c>
      <c r="U416" s="14">
        <v>8.33333333333333</v>
      </c>
      <c r="V416" s="14">
        <v>0.0366079703429101</v>
      </c>
      <c r="W416" s="14" t="s">
        <v>4495</v>
      </c>
      <c r="X416" s="14" t="s">
        <v>4495</v>
      </c>
      <c r="Y416" s="18" t="s">
        <v>4495</v>
      </c>
      <c r="Z416" s="18">
        <v>0.22962860153806564</v>
      </c>
      <c r="AA416" s="18" t="s">
        <v>4495</v>
      </c>
      <c r="AB416" s="18">
        <v>1.0</v>
      </c>
      <c r="AC416" s="18">
        <v>0.3072322783694543</v>
      </c>
      <c r="AD416" s="18">
        <v>0.23813037822146182</v>
      </c>
      <c r="AE416" s="19" t="s">
        <v>4497</v>
      </c>
    </row>
    <row r="417" ht="21.0" customHeight="1">
      <c r="A417" s="20" t="s">
        <v>2383</v>
      </c>
      <c r="B417" s="21" t="s">
        <v>3690</v>
      </c>
      <c r="C417" s="22" t="s">
        <v>3691</v>
      </c>
      <c r="D417" s="23"/>
      <c r="E417" s="24"/>
      <c r="F417" s="21" t="s">
        <v>2386</v>
      </c>
      <c r="G417" s="21" t="s">
        <v>42</v>
      </c>
      <c r="H417" s="24">
        <v>20.0</v>
      </c>
      <c r="I417" s="24">
        <v>225.0</v>
      </c>
      <c r="J417" s="25" t="s">
        <v>3692</v>
      </c>
      <c r="K417" s="21" t="s">
        <v>3693</v>
      </c>
      <c r="L417" s="21" t="s">
        <v>3694</v>
      </c>
      <c r="M417" s="26" t="s">
        <v>59</v>
      </c>
      <c r="N417" s="30" t="s">
        <v>3695</v>
      </c>
      <c r="O417" s="32" t="s">
        <v>3696</v>
      </c>
      <c r="P417" s="24">
        <v>22.0</v>
      </c>
      <c r="Q417" s="24"/>
      <c r="R417" s="24">
        <v>98.0</v>
      </c>
      <c r="S417" s="24">
        <v>2020.0</v>
      </c>
      <c r="T417" s="21" t="s">
        <v>3697</v>
      </c>
      <c r="U417" s="24">
        <v>25.0</v>
      </c>
      <c r="V417" s="24" t="s">
        <v>4495</v>
      </c>
      <c r="W417" s="24" t="s">
        <v>4495</v>
      </c>
      <c r="X417" s="24" t="s">
        <v>4495</v>
      </c>
      <c r="Y417" s="27" t="s">
        <v>4495</v>
      </c>
      <c r="Z417" s="27">
        <v>0.7413895988672289</v>
      </c>
      <c r="AA417" s="27" t="s">
        <v>4495</v>
      </c>
      <c r="AB417" s="27" t="s">
        <v>4495</v>
      </c>
      <c r="AC417" s="27">
        <v>0.7386982125651004</v>
      </c>
      <c r="AD417" s="27">
        <v>0.25921722097331723</v>
      </c>
      <c r="AE417" s="28" t="s">
        <v>4501</v>
      </c>
    </row>
    <row r="418" ht="21.0" customHeight="1">
      <c r="A418" s="10" t="s">
        <v>2383</v>
      </c>
      <c r="B418" s="15" t="s">
        <v>3698</v>
      </c>
      <c r="C418" s="12" t="s">
        <v>3699</v>
      </c>
      <c r="D418" s="13">
        <v>42095.0</v>
      </c>
      <c r="E418" s="14">
        <v>2015.0</v>
      </c>
      <c r="F418" s="15" t="s">
        <v>2386</v>
      </c>
      <c r="G418" s="15" t="s">
        <v>42</v>
      </c>
      <c r="H418" s="14">
        <v>20.0</v>
      </c>
      <c r="I418" s="14">
        <v>497.0</v>
      </c>
      <c r="J418" s="16"/>
      <c r="K418" s="15" t="s">
        <v>3701</v>
      </c>
      <c r="L418" s="15" t="s">
        <v>3702</v>
      </c>
      <c r="M418" s="17" t="s">
        <v>31</v>
      </c>
      <c r="N418" s="29"/>
      <c r="O418" s="15" t="s">
        <v>3703</v>
      </c>
      <c r="P418" s="14">
        <v>9.0</v>
      </c>
      <c r="Q418" s="14"/>
      <c r="R418" s="14">
        <v>40.0</v>
      </c>
      <c r="S418" s="14"/>
      <c r="T418" s="15" t="s">
        <v>1951</v>
      </c>
      <c r="U418" s="14">
        <v>26.6666666666666</v>
      </c>
      <c r="V418" s="14">
        <v>0.12966344899556484</v>
      </c>
      <c r="W418" s="14" t="s">
        <v>4495</v>
      </c>
      <c r="X418" s="14" t="s">
        <v>4495</v>
      </c>
      <c r="Y418" s="18" t="s">
        <v>4495</v>
      </c>
      <c r="Z418" s="18">
        <v>0.43230913174650915</v>
      </c>
      <c r="AA418" s="18" t="s">
        <v>4495</v>
      </c>
      <c r="AB418" s="18">
        <v>1.0</v>
      </c>
      <c r="AC418" s="18">
        <v>0.7648647660353476</v>
      </c>
      <c r="AD418" s="18">
        <v>0.33456375954016204</v>
      </c>
      <c r="AE418" s="19" t="s">
        <v>4497</v>
      </c>
    </row>
    <row r="419" ht="21.0" customHeight="1">
      <c r="A419" s="20" t="s">
        <v>2383</v>
      </c>
      <c r="B419" s="21" t="s">
        <v>3704</v>
      </c>
      <c r="C419" s="22" t="s">
        <v>3705</v>
      </c>
      <c r="D419" s="23">
        <v>42481.0</v>
      </c>
      <c r="E419" s="24">
        <v>2016.0</v>
      </c>
      <c r="F419" s="21" t="s">
        <v>2825</v>
      </c>
      <c r="G419" s="21" t="s">
        <v>42</v>
      </c>
      <c r="H419" s="24">
        <v>20.0</v>
      </c>
      <c r="I419" s="24">
        <v>517.0</v>
      </c>
      <c r="J419" s="25"/>
      <c r="K419" s="21" t="s">
        <v>3708</v>
      </c>
      <c r="L419" s="21" t="s">
        <v>3709</v>
      </c>
      <c r="M419" s="26" t="s">
        <v>31</v>
      </c>
      <c r="N419" s="25"/>
      <c r="O419" s="21" t="s">
        <v>1322</v>
      </c>
      <c r="P419" s="24">
        <v>5.0</v>
      </c>
      <c r="Q419" s="24"/>
      <c r="R419" s="24">
        <v>23.0</v>
      </c>
      <c r="S419" s="24"/>
      <c r="T419" s="21" t="s">
        <v>3710</v>
      </c>
      <c r="U419" s="24">
        <v>7.5</v>
      </c>
      <c r="V419" s="24">
        <v>0.14998549463301422</v>
      </c>
      <c r="W419" s="24" t="s">
        <v>4495</v>
      </c>
      <c r="X419" s="24" t="s">
        <v>4495</v>
      </c>
      <c r="Y419" s="27" t="s">
        <v>4495</v>
      </c>
      <c r="Z419" s="27">
        <v>0.24455047616844922</v>
      </c>
      <c r="AA419" s="27" t="s">
        <v>4495</v>
      </c>
      <c r="AB419" s="27">
        <v>1.0</v>
      </c>
      <c r="AC419" s="27">
        <v>0.26784414955359176</v>
      </c>
      <c r="AD419" s="27">
        <v>0.2379220339974715</v>
      </c>
      <c r="AE419" s="28" t="s">
        <v>4497</v>
      </c>
    </row>
    <row r="420" ht="21.0" customHeight="1">
      <c r="A420" s="10" t="s">
        <v>2383</v>
      </c>
      <c r="B420" s="15" t="s">
        <v>3711</v>
      </c>
      <c r="C420" s="12" t="s">
        <v>3712</v>
      </c>
      <c r="D420" s="13">
        <v>44153.0</v>
      </c>
      <c r="E420" s="14">
        <v>2020.0</v>
      </c>
      <c r="F420" s="15" t="s">
        <v>2386</v>
      </c>
      <c r="G420" s="15" t="s">
        <v>42</v>
      </c>
      <c r="H420" s="14">
        <v>20.0</v>
      </c>
      <c r="I420" s="14">
        <v>228.0</v>
      </c>
      <c r="J420" s="16" t="s">
        <v>3714</v>
      </c>
      <c r="K420" s="15" t="s">
        <v>3715</v>
      </c>
      <c r="L420" s="15" t="s">
        <v>3716</v>
      </c>
      <c r="M420" s="17" t="s">
        <v>59</v>
      </c>
      <c r="N420" s="16" t="s">
        <v>3717</v>
      </c>
      <c r="O420" s="31"/>
      <c r="P420" s="14"/>
      <c r="Q420" s="14"/>
      <c r="R420" s="14">
        <v>15.0</v>
      </c>
      <c r="S420" s="14">
        <v>2020.0</v>
      </c>
      <c r="T420" s="15" t="s">
        <v>3718</v>
      </c>
      <c r="U420" s="14">
        <v>29.0</v>
      </c>
      <c r="V420" s="14">
        <v>0.12845070422535212</v>
      </c>
      <c r="W420" s="14">
        <v>0.0</v>
      </c>
      <c r="X420" s="14" t="s">
        <v>4495</v>
      </c>
      <c r="Y420" s="18" t="s">
        <v>4495</v>
      </c>
      <c r="Z420" s="18">
        <v>0.10238989523252559</v>
      </c>
      <c r="AA420" s="18">
        <v>1.0</v>
      </c>
      <c r="AB420" s="18">
        <v>1.0</v>
      </c>
      <c r="AC420" s="18">
        <v>0.7989645659521445</v>
      </c>
      <c r="AD420" s="18">
        <v>0.45549393040334585</v>
      </c>
      <c r="AE420" s="19" t="s">
        <v>4501</v>
      </c>
    </row>
    <row r="421" ht="21.0" customHeight="1">
      <c r="A421" s="20" t="s">
        <v>2383</v>
      </c>
      <c r="B421" s="21" t="s">
        <v>3719</v>
      </c>
      <c r="C421" s="22" t="s">
        <v>3720</v>
      </c>
      <c r="D421" s="23"/>
      <c r="E421" s="24"/>
      <c r="H421" s="24">
        <v>20.0</v>
      </c>
      <c r="I421" s="24">
        <v>414.0</v>
      </c>
      <c r="J421" s="25"/>
      <c r="K421" s="21" t="s">
        <v>3722</v>
      </c>
      <c r="M421" s="26" t="s">
        <v>31</v>
      </c>
      <c r="N421" s="25"/>
      <c r="P421" s="24"/>
      <c r="Q421" s="24"/>
      <c r="R421" s="24">
        <v>103.0</v>
      </c>
      <c r="S421" s="24"/>
      <c r="T421" s="21" t="s">
        <v>487</v>
      </c>
      <c r="U421" s="24">
        <v>12.0</v>
      </c>
      <c r="V421" s="24" t="s">
        <v>4495</v>
      </c>
      <c r="W421" s="24" t="s">
        <v>4495</v>
      </c>
      <c r="X421" s="24" t="s">
        <v>4495</v>
      </c>
      <c r="Y421" s="27" t="s">
        <v>4495</v>
      </c>
      <c r="Z421" s="27">
        <v>0.7586645771823989</v>
      </c>
      <c r="AA421" s="27" t="s">
        <v>4495</v>
      </c>
      <c r="AB421" s="27" t="s">
        <v>4495</v>
      </c>
      <c r="AC421" s="27">
        <v>0.4467820234631535</v>
      </c>
      <c r="AD421" s="27">
        <v>0.23434434664191506</v>
      </c>
      <c r="AE421" s="28" t="s">
        <v>4497</v>
      </c>
    </row>
    <row r="422" ht="21.0" customHeight="1">
      <c r="A422" s="10" t="s">
        <v>2383</v>
      </c>
      <c r="B422" s="15" t="s">
        <v>3723</v>
      </c>
      <c r="C422" s="12" t="s">
        <v>3724</v>
      </c>
      <c r="D422" s="13">
        <v>43556.0</v>
      </c>
      <c r="E422" s="14">
        <v>2019.0</v>
      </c>
      <c r="F422" s="15" t="s">
        <v>2386</v>
      </c>
      <c r="G422" s="15" t="s">
        <v>42</v>
      </c>
      <c r="H422" s="14">
        <v>20.0</v>
      </c>
      <c r="I422" s="14">
        <v>404.0</v>
      </c>
      <c r="J422" s="16" t="s">
        <v>3726</v>
      </c>
      <c r="K422" s="15" t="s">
        <v>3727</v>
      </c>
      <c r="L422" s="15" t="s">
        <v>3728</v>
      </c>
      <c r="M422" s="17" t="s">
        <v>31</v>
      </c>
      <c r="N422" s="16"/>
      <c r="O422" s="31" t="s">
        <v>3729</v>
      </c>
      <c r="P422" s="14">
        <v>10.0</v>
      </c>
      <c r="Q422" s="14"/>
      <c r="R422" s="14">
        <v>65.0</v>
      </c>
      <c r="S422" s="14"/>
      <c r="T422" s="15" t="s">
        <v>3730</v>
      </c>
      <c r="U422" s="14">
        <v>40.8</v>
      </c>
      <c r="V422" s="14">
        <v>0.1703204047217538</v>
      </c>
      <c r="W422" s="14" t="s">
        <v>4495</v>
      </c>
      <c r="X422" s="14" t="s">
        <v>4495</v>
      </c>
      <c r="Y422" s="18" t="s">
        <v>4495</v>
      </c>
      <c r="Z422" s="18">
        <v>0.5992290179313052</v>
      </c>
      <c r="AA422" s="18" t="s">
        <v>4495</v>
      </c>
      <c r="AB422" s="18">
        <v>1.0</v>
      </c>
      <c r="AC422" s="18">
        <v>0.9386582679908009</v>
      </c>
      <c r="AD422" s="18">
        <v>0.39367308128190637</v>
      </c>
      <c r="AE422" s="19" t="s">
        <v>4497</v>
      </c>
    </row>
    <row r="423" ht="21.0" customHeight="1">
      <c r="A423" s="20" t="s">
        <v>2383</v>
      </c>
      <c r="B423" s="21" t="s">
        <v>3732</v>
      </c>
      <c r="C423" s="22" t="s">
        <v>3733</v>
      </c>
      <c r="D423" s="23">
        <v>42504.0</v>
      </c>
      <c r="E423" s="24">
        <v>2016.0</v>
      </c>
      <c r="F423" s="21" t="s">
        <v>2386</v>
      </c>
      <c r="G423" s="21" t="s">
        <v>42</v>
      </c>
      <c r="H423" s="24">
        <v>20.0</v>
      </c>
      <c r="I423" s="24">
        <v>448.0</v>
      </c>
      <c r="J423" s="25" t="s">
        <v>3736</v>
      </c>
      <c r="K423" s="21" t="s">
        <v>3737</v>
      </c>
      <c r="L423" s="21" t="s">
        <v>3738</v>
      </c>
      <c r="M423" s="26" t="s">
        <v>59</v>
      </c>
      <c r="N423" s="25" t="s">
        <v>3739</v>
      </c>
      <c r="O423" s="21" t="s">
        <v>2226</v>
      </c>
      <c r="P423" s="24">
        <v>6.0</v>
      </c>
      <c r="Q423" s="24"/>
      <c r="R423" s="24">
        <v>21.0</v>
      </c>
      <c r="S423" s="24">
        <v>2016.0</v>
      </c>
      <c r="T423" s="21" t="s">
        <v>3740</v>
      </c>
      <c r="U423" s="24">
        <v>11.4285714285714</v>
      </c>
      <c r="V423" s="24">
        <v>0.1308411214953271</v>
      </c>
      <c r="W423" s="24">
        <v>0.0</v>
      </c>
      <c r="X423" s="24" t="s">
        <v>4495</v>
      </c>
      <c r="Y423" s="27" t="s">
        <v>4495</v>
      </c>
      <c r="Z423" s="27">
        <v>0.21404331870033824</v>
      </c>
      <c r="AA423" s="27">
        <v>1.0</v>
      </c>
      <c r="AB423" s="27">
        <v>1.0</v>
      </c>
      <c r="AC423" s="27">
        <v>0.42785092454560963</v>
      </c>
      <c r="AD423" s="27">
        <v>0.44629592212964553</v>
      </c>
      <c r="AE423" s="28" t="s">
        <v>4499</v>
      </c>
    </row>
    <row r="424" ht="21.0" customHeight="1">
      <c r="A424" s="10" t="s">
        <v>2383</v>
      </c>
      <c r="B424" s="15" t="s">
        <v>3741</v>
      </c>
      <c r="C424" s="12" t="s">
        <v>3742</v>
      </c>
      <c r="D424" s="13"/>
      <c r="E424" s="14"/>
      <c r="F424" s="15" t="s">
        <v>2386</v>
      </c>
      <c r="G424" s="15" t="s">
        <v>42</v>
      </c>
      <c r="H424" s="14">
        <v>20.0</v>
      </c>
      <c r="I424" s="14">
        <v>201.0</v>
      </c>
      <c r="J424" s="16"/>
      <c r="K424" s="15" t="s">
        <v>3743</v>
      </c>
      <c r="M424" s="17" t="s">
        <v>31</v>
      </c>
      <c r="N424" s="16"/>
      <c r="P424" s="14"/>
      <c r="Q424" s="14"/>
      <c r="R424" s="14">
        <v>8.0</v>
      </c>
      <c r="S424" s="14"/>
      <c r="T424" s="15" t="s">
        <v>3744</v>
      </c>
      <c r="U424" s="14">
        <v>43.0</v>
      </c>
      <c r="V424" s="14" t="s">
        <v>4495</v>
      </c>
      <c r="W424" s="14" t="s">
        <v>4495</v>
      </c>
      <c r="X424" s="14" t="s">
        <v>4495</v>
      </c>
      <c r="Y424" s="18" t="s">
        <v>4495</v>
      </c>
      <c r="Z424" s="18">
        <v>0.0</v>
      </c>
      <c r="AA424" s="18" t="s">
        <v>4495</v>
      </c>
      <c r="AB424" s="18" t="s">
        <v>4495</v>
      </c>
      <c r="AC424" s="18">
        <v>0.9602602357171964</v>
      </c>
      <c r="AD424" s="18">
        <v>0.09602602357171965</v>
      </c>
      <c r="AE424" s="19" t="s">
        <v>4497</v>
      </c>
    </row>
    <row r="425" ht="21.0" customHeight="1">
      <c r="A425" s="20" t="s">
        <v>2383</v>
      </c>
      <c r="B425" s="21" t="s">
        <v>3745</v>
      </c>
      <c r="C425" s="22" t="s">
        <v>3746</v>
      </c>
      <c r="D425" s="23">
        <v>41974.0</v>
      </c>
      <c r="E425" s="24">
        <v>2014.0</v>
      </c>
      <c r="F425" s="21" t="s">
        <v>2825</v>
      </c>
      <c r="G425" s="21" t="s">
        <v>42</v>
      </c>
      <c r="H425" s="24">
        <v>20.0</v>
      </c>
      <c r="I425" s="24">
        <v>176.0</v>
      </c>
      <c r="J425" s="25"/>
      <c r="K425" s="21" t="s">
        <v>3747</v>
      </c>
      <c r="L425" s="21" t="s">
        <v>3748</v>
      </c>
      <c r="M425" s="26" t="s">
        <v>31</v>
      </c>
      <c r="N425" s="25"/>
      <c r="O425" s="21" t="s">
        <v>2226</v>
      </c>
      <c r="P425" s="24">
        <v>6.0</v>
      </c>
      <c r="Q425" s="24"/>
      <c r="R425" s="24">
        <v>19.0</v>
      </c>
      <c r="S425" s="24"/>
      <c r="T425" s="21" t="s">
        <v>3749</v>
      </c>
      <c r="U425" s="24">
        <v>3.0</v>
      </c>
      <c r="V425" s="24">
        <v>0.04451188669701568</v>
      </c>
      <c r="W425" s="24" t="s">
        <v>4495</v>
      </c>
      <c r="X425" s="24" t="s">
        <v>4495</v>
      </c>
      <c r="Y425" s="27" t="s">
        <v>4495</v>
      </c>
      <c r="Z425" s="27">
        <v>0.18062650857502485</v>
      </c>
      <c r="AA425" s="27" t="s">
        <v>4495</v>
      </c>
      <c r="AB425" s="27">
        <v>1.0</v>
      </c>
      <c r="AC425" s="27">
        <v>0.0</v>
      </c>
      <c r="AD425" s="27">
        <v>0.1951566271437562</v>
      </c>
      <c r="AE425" s="28" t="s">
        <v>4497</v>
      </c>
    </row>
    <row r="426" ht="21.0" customHeight="1">
      <c r="A426" s="10" t="s">
        <v>2383</v>
      </c>
      <c r="B426" s="15" t="s">
        <v>3750</v>
      </c>
      <c r="C426" s="12" t="s">
        <v>3751</v>
      </c>
      <c r="D426" s="13">
        <v>44136.0</v>
      </c>
      <c r="E426" s="14">
        <v>2020.0</v>
      </c>
      <c r="F426" s="15" t="s">
        <v>2386</v>
      </c>
      <c r="G426" s="15" t="s">
        <v>42</v>
      </c>
      <c r="H426" s="14">
        <v>20.0</v>
      </c>
      <c r="I426" s="14">
        <v>249.0</v>
      </c>
      <c r="J426" s="16" t="s">
        <v>3753</v>
      </c>
      <c r="K426" s="15" t="s">
        <v>3754</v>
      </c>
      <c r="L426" s="15" t="s">
        <v>3755</v>
      </c>
      <c r="M426" s="17" t="s">
        <v>31</v>
      </c>
      <c r="N426" s="16"/>
      <c r="O426" s="15" t="s">
        <v>3756</v>
      </c>
      <c r="P426" s="14">
        <v>13.0</v>
      </c>
      <c r="Q426" s="14"/>
      <c r="R426" s="14">
        <v>66.0</v>
      </c>
      <c r="S426" s="14"/>
      <c r="T426" s="15" t="s">
        <v>3757</v>
      </c>
      <c r="U426" s="14">
        <v>41.0</v>
      </c>
      <c r="V426" s="14">
        <v>0.13895089285714285</v>
      </c>
      <c r="W426" s="14" t="s">
        <v>4495</v>
      </c>
      <c r="X426" s="14" t="s">
        <v>4495</v>
      </c>
      <c r="Y426" s="18" t="s">
        <v>4495</v>
      </c>
      <c r="Z426" s="18">
        <v>0.6045014651516367</v>
      </c>
      <c r="AA426" s="18" t="s">
        <v>4495</v>
      </c>
      <c r="AB426" s="18">
        <v>1.0</v>
      </c>
      <c r="AC426" s="18">
        <v>0.9406685154275308</v>
      </c>
      <c r="AD426" s="18">
        <v>0.3951922178306623</v>
      </c>
      <c r="AE426" s="19" t="s">
        <v>4497</v>
      </c>
    </row>
    <row r="427" ht="21.0" customHeight="1">
      <c r="A427" s="20" t="s">
        <v>2383</v>
      </c>
      <c r="B427" s="21" t="s">
        <v>3758</v>
      </c>
      <c r="C427" s="22" t="s">
        <v>3759</v>
      </c>
      <c r="D427" s="23">
        <v>45147.0</v>
      </c>
      <c r="E427" s="24">
        <v>2023.0</v>
      </c>
      <c r="F427" s="21" t="s">
        <v>2386</v>
      </c>
      <c r="G427" s="21" t="s">
        <v>42</v>
      </c>
      <c r="H427" s="24">
        <v>20.0</v>
      </c>
      <c r="I427" s="24">
        <v>59.0</v>
      </c>
      <c r="J427" s="25" t="s">
        <v>3761</v>
      </c>
      <c r="K427" s="21" t="s">
        <v>3762</v>
      </c>
      <c r="L427" s="21" t="s">
        <v>3763</v>
      </c>
      <c r="M427" s="26" t="s">
        <v>59</v>
      </c>
      <c r="N427" s="30" t="s">
        <v>3764</v>
      </c>
      <c r="O427" s="21" t="s">
        <v>3765</v>
      </c>
      <c r="P427" s="24">
        <v>19.0</v>
      </c>
      <c r="Q427" s="24"/>
      <c r="R427" s="24">
        <v>83.0</v>
      </c>
      <c r="S427" s="24">
        <v>2023.0</v>
      </c>
      <c r="T427" s="21" t="s">
        <v>3766</v>
      </c>
      <c r="U427" s="24">
        <v>9.28571428571428</v>
      </c>
      <c r="V427" s="24">
        <v>0.07554417413572344</v>
      </c>
      <c r="W427" s="24">
        <v>0.0</v>
      </c>
      <c r="X427" s="24" t="s">
        <v>4495</v>
      </c>
      <c r="Y427" s="27" t="s">
        <v>4495</v>
      </c>
      <c r="Z427" s="27">
        <v>0.6837831199026277</v>
      </c>
      <c r="AA427" s="27">
        <v>1.0</v>
      </c>
      <c r="AB427" s="27">
        <v>1.0</v>
      </c>
      <c r="AC427" s="27">
        <v>0.3481524061041382</v>
      </c>
      <c r="AD427" s="27">
        <v>0.5557610205860708</v>
      </c>
      <c r="AE427" s="28" t="s">
        <v>4501</v>
      </c>
    </row>
    <row r="428" ht="21.0" customHeight="1">
      <c r="A428" s="10" t="s">
        <v>2383</v>
      </c>
      <c r="B428" s="15" t="s">
        <v>3768</v>
      </c>
      <c r="C428" s="12" t="s">
        <v>3769</v>
      </c>
      <c r="D428" s="13">
        <v>43528.0</v>
      </c>
      <c r="E428" s="14">
        <v>2019.0</v>
      </c>
      <c r="F428" s="15" t="s">
        <v>2398</v>
      </c>
      <c r="G428" s="15" t="s">
        <v>42</v>
      </c>
      <c r="H428" s="14">
        <v>19.0</v>
      </c>
      <c r="I428" s="14">
        <v>198.0</v>
      </c>
      <c r="J428" s="16" t="s">
        <v>3771</v>
      </c>
      <c r="K428" s="15" t="s">
        <v>3772</v>
      </c>
      <c r="L428" s="15" t="s">
        <v>3773</v>
      </c>
      <c r="M428" s="17" t="s">
        <v>59</v>
      </c>
      <c r="N428" s="16" t="s">
        <v>3774</v>
      </c>
      <c r="O428" s="15" t="s">
        <v>3775</v>
      </c>
      <c r="P428" s="14">
        <v>8.0</v>
      </c>
      <c r="Q428" s="14"/>
      <c r="R428" s="14">
        <v>36.0</v>
      </c>
      <c r="S428" s="14">
        <v>2019.0</v>
      </c>
      <c r="T428" s="15" t="s">
        <v>3776</v>
      </c>
      <c r="U428" s="14">
        <v>4.5</v>
      </c>
      <c r="V428" s="14">
        <v>0.0825</v>
      </c>
      <c r="W428" s="14">
        <v>0.0</v>
      </c>
      <c r="X428" s="14" t="s">
        <v>4495</v>
      </c>
      <c r="Y428" s="18" t="s">
        <v>4495</v>
      </c>
      <c r="Z428" s="18">
        <v>0.3963174424868398</v>
      </c>
      <c r="AA428" s="18">
        <v>1.0</v>
      </c>
      <c r="AB428" s="18">
        <v>1.0</v>
      </c>
      <c r="AC428" s="18">
        <v>0.08451166841135611</v>
      </c>
      <c r="AD428" s="18">
        <v>0.45753052746284556</v>
      </c>
      <c r="AE428" s="19" t="s">
        <v>4501</v>
      </c>
    </row>
    <row r="429" ht="21.0" customHeight="1">
      <c r="A429" s="20" t="s">
        <v>2383</v>
      </c>
      <c r="B429" s="21" t="s">
        <v>3777</v>
      </c>
      <c r="C429" s="22" t="s">
        <v>3778</v>
      </c>
      <c r="D429" s="23">
        <v>45009.0</v>
      </c>
      <c r="E429" s="24">
        <v>2023.0</v>
      </c>
      <c r="F429" s="21" t="s">
        <v>2417</v>
      </c>
      <c r="G429" s="21" t="s">
        <v>42</v>
      </c>
      <c r="H429" s="24">
        <v>19.0</v>
      </c>
      <c r="I429" s="24">
        <v>226.0</v>
      </c>
      <c r="J429" s="25" t="s">
        <v>3781</v>
      </c>
      <c r="K429" s="21" t="s">
        <v>3782</v>
      </c>
      <c r="L429" s="21" t="s">
        <v>3783</v>
      </c>
      <c r="M429" s="26" t="s">
        <v>59</v>
      </c>
      <c r="N429" s="25" t="s">
        <v>3784</v>
      </c>
      <c r="P429" s="24"/>
      <c r="Q429" s="24"/>
      <c r="R429" s="24">
        <v>85.0</v>
      </c>
      <c r="S429" s="24">
        <v>2022.0</v>
      </c>
      <c r="T429" s="21" t="s">
        <v>3785</v>
      </c>
      <c r="U429" s="24">
        <v>7.85714285714285</v>
      </c>
      <c r="V429" s="24">
        <v>0.24591947769314473</v>
      </c>
      <c r="W429" s="24">
        <v>1.0</v>
      </c>
      <c r="X429" s="24" t="s">
        <v>4495</v>
      </c>
      <c r="Y429" s="27" t="s">
        <v>4495</v>
      </c>
      <c r="Z429" s="27">
        <v>0.6920331742590979</v>
      </c>
      <c r="AA429" s="27">
        <v>1.0</v>
      </c>
      <c r="AB429" s="27">
        <v>1.0</v>
      </c>
      <c r="AC429" s="27">
        <v>0.2851777087312837</v>
      </c>
      <c r="AD429" s="27">
        <v>0.5515260644379029</v>
      </c>
      <c r="AE429" s="28" t="s">
        <v>4501</v>
      </c>
    </row>
    <row r="430" ht="21.0" customHeight="1">
      <c r="A430" s="10" t="s">
        <v>2383</v>
      </c>
      <c r="B430" s="15" t="s">
        <v>3787</v>
      </c>
      <c r="C430" s="12" t="s">
        <v>3788</v>
      </c>
      <c r="D430" s="13">
        <v>43586.0</v>
      </c>
      <c r="E430" s="14">
        <v>2019.0</v>
      </c>
      <c r="F430" s="15" t="s">
        <v>2417</v>
      </c>
      <c r="G430" s="15" t="s">
        <v>42</v>
      </c>
      <c r="H430" s="14">
        <v>19.0</v>
      </c>
      <c r="I430" s="14">
        <v>99.0</v>
      </c>
      <c r="J430" s="16" t="s">
        <v>3789</v>
      </c>
      <c r="K430" s="15" t="s">
        <v>3790</v>
      </c>
      <c r="L430" s="15" t="s">
        <v>3791</v>
      </c>
      <c r="M430" s="17" t="s">
        <v>31</v>
      </c>
      <c r="N430" s="29"/>
      <c r="O430" s="15" t="s">
        <v>3792</v>
      </c>
      <c r="P430" s="14">
        <v>12.0</v>
      </c>
      <c r="Q430" s="14"/>
      <c r="R430" s="14">
        <v>83.0</v>
      </c>
      <c r="S430" s="14"/>
      <c r="T430" s="15" t="s">
        <v>3793</v>
      </c>
      <c r="U430" s="14">
        <v>17.25</v>
      </c>
      <c r="V430" s="14">
        <v>0.042271562766865924</v>
      </c>
      <c r="W430" s="14" t="s">
        <v>4495</v>
      </c>
      <c r="X430" s="14" t="s">
        <v>4495</v>
      </c>
      <c r="Y430" s="18" t="s">
        <v>4495</v>
      </c>
      <c r="Z430" s="18">
        <v>0.6837831199026277</v>
      </c>
      <c r="AA430" s="18" t="s">
        <v>4495</v>
      </c>
      <c r="AB430" s="18">
        <v>1.0</v>
      </c>
      <c r="AC430" s="18">
        <v>0.5896413811759237</v>
      </c>
      <c r="AD430" s="18">
        <v>0.3799099180932493</v>
      </c>
      <c r="AE430" s="19" t="s">
        <v>4497</v>
      </c>
    </row>
    <row r="431" ht="21.0" customHeight="1">
      <c r="A431" s="20" t="s">
        <v>2383</v>
      </c>
      <c r="B431" s="21" t="s">
        <v>3794</v>
      </c>
      <c r="C431" s="22" t="s">
        <v>3795</v>
      </c>
      <c r="D431" s="23">
        <v>42705.0</v>
      </c>
      <c r="E431" s="24">
        <v>2016.0</v>
      </c>
      <c r="F431" s="21" t="s">
        <v>2398</v>
      </c>
      <c r="G431" s="21" t="s">
        <v>42</v>
      </c>
      <c r="H431" s="24">
        <v>19.0</v>
      </c>
      <c r="I431" s="24">
        <v>238.0</v>
      </c>
      <c r="J431" s="25"/>
      <c r="K431" s="21" t="s">
        <v>3797</v>
      </c>
      <c r="L431" s="21" t="s">
        <v>3798</v>
      </c>
      <c r="M431" s="26" t="s">
        <v>31</v>
      </c>
      <c r="N431" s="25"/>
      <c r="O431" s="21" t="s">
        <v>3799</v>
      </c>
      <c r="P431" s="24">
        <v>6.0</v>
      </c>
      <c r="Q431" s="24"/>
      <c r="R431" s="24">
        <v>21.0</v>
      </c>
      <c r="S431" s="24"/>
      <c r="T431" s="21" t="s">
        <v>3800</v>
      </c>
      <c r="U431" s="24">
        <v>7.5</v>
      </c>
      <c r="V431" s="24">
        <v>0.07384424449270865</v>
      </c>
      <c r="W431" s="24" t="s">
        <v>4495</v>
      </c>
      <c r="X431" s="24" t="s">
        <v>4495</v>
      </c>
      <c r="Y431" s="27" t="s">
        <v>4495</v>
      </c>
      <c r="Z431" s="27">
        <v>0.21404331870033824</v>
      </c>
      <c r="AA431" s="27" t="s">
        <v>4495</v>
      </c>
      <c r="AB431" s="27">
        <v>1.0</v>
      </c>
      <c r="AC431" s="27">
        <v>0.26784414955359176</v>
      </c>
      <c r="AD431" s="27">
        <v>0.23029524463044374</v>
      </c>
      <c r="AE431" s="28" t="s">
        <v>4497</v>
      </c>
    </row>
    <row r="432" ht="21.0" customHeight="1">
      <c r="A432" s="10" t="s">
        <v>2383</v>
      </c>
      <c r="B432" s="15" t="s">
        <v>3801</v>
      </c>
      <c r="C432" s="12" t="s">
        <v>3802</v>
      </c>
      <c r="D432" s="13"/>
      <c r="E432" s="14"/>
      <c r="H432" s="14">
        <v>19.0</v>
      </c>
      <c r="I432" s="14">
        <v>298.0</v>
      </c>
      <c r="J432" s="16"/>
      <c r="K432" s="15" t="s">
        <v>3803</v>
      </c>
      <c r="M432" s="17" t="s">
        <v>31</v>
      </c>
      <c r="N432" s="16"/>
      <c r="P432" s="14"/>
      <c r="Q432" s="14"/>
      <c r="R432" s="14">
        <v>20.0</v>
      </c>
      <c r="S432" s="14"/>
      <c r="T432" s="15" t="s">
        <v>3804</v>
      </c>
      <c r="U432" s="14">
        <v>12.0</v>
      </c>
      <c r="V432" s="14" t="s">
        <v>4495</v>
      </c>
      <c r="W432" s="14" t="s">
        <v>4495</v>
      </c>
      <c r="X432" s="14" t="s">
        <v>4495</v>
      </c>
      <c r="Y432" s="18" t="s">
        <v>4495</v>
      </c>
      <c r="Z432" s="18">
        <v>0.19773288331254052</v>
      </c>
      <c r="AA432" s="18" t="s">
        <v>4495</v>
      </c>
      <c r="AB432" s="18" t="s">
        <v>4495</v>
      </c>
      <c r="AC432" s="18">
        <v>0.4467820234631535</v>
      </c>
      <c r="AD432" s="18">
        <v>0.09411142317445048</v>
      </c>
      <c r="AE432" s="19" t="s">
        <v>4497</v>
      </c>
    </row>
    <row r="433" ht="21.0" customHeight="1">
      <c r="A433" s="20" t="s">
        <v>2383</v>
      </c>
      <c r="B433" s="21" t="s">
        <v>3805</v>
      </c>
      <c r="C433" s="22" t="s">
        <v>3806</v>
      </c>
      <c r="D433" s="23">
        <v>42970.0</v>
      </c>
      <c r="E433" s="24">
        <v>2017.0</v>
      </c>
      <c r="F433" s="21" t="s">
        <v>41</v>
      </c>
      <c r="G433" s="21" t="s">
        <v>42</v>
      </c>
      <c r="H433" s="24">
        <v>19.0</v>
      </c>
      <c r="I433" s="24">
        <v>342.0</v>
      </c>
      <c r="J433" s="25"/>
      <c r="K433" s="21" t="s">
        <v>3809</v>
      </c>
      <c r="L433" s="21" t="s">
        <v>3810</v>
      </c>
      <c r="M433" s="26" t="s">
        <v>31</v>
      </c>
      <c r="N433" s="25"/>
      <c r="O433" s="32" t="s">
        <v>3811</v>
      </c>
      <c r="P433" s="24">
        <v>23.0</v>
      </c>
      <c r="Q433" s="24"/>
      <c r="R433" s="24">
        <v>129.0</v>
      </c>
      <c r="S433" s="24"/>
      <c r="T433" s="21" t="s">
        <v>3812</v>
      </c>
      <c r="U433" s="24">
        <v>24.0</v>
      </c>
      <c r="V433" s="24">
        <v>0.11561866125760649</v>
      </c>
      <c r="W433" s="24" t="s">
        <v>4495</v>
      </c>
      <c r="X433" s="24" t="s">
        <v>4495</v>
      </c>
      <c r="Y433" s="27" t="s">
        <v>4495</v>
      </c>
      <c r="Z433" s="27">
        <v>0.8369011905248982</v>
      </c>
      <c r="AA433" s="27" t="s">
        <v>4495</v>
      </c>
      <c r="AB433" s="27">
        <v>1.0</v>
      </c>
      <c r="AC433" s="27">
        <v>0.7221805645984484</v>
      </c>
      <c r="AD433" s="27">
        <v>0.43144335409106943</v>
      </c>
      <c r="AE433" s="28" t="s">
        <v>4497</v>
      </c>
    </row>
    <row r="434" ht="21.0" customHeight="1">
      <c r="A434" s="10" t="s">
        <v>2383</v>
      </c>
      <c r="B434" s="15" t="s">
        <v>3813</v>
      </c>
      <c r="C434" s="12" t="s">
        <v>3814</v>
      </c>
      <c r="D434" s="13">
        <v>43957.0</v>
      </c>
      <c r="E434" s="14">
        <v>2020.0</v>
      </c>
      <c r="F434" s="15" t="s">
        <v>2386</v>
      </c>
      <c r="G434" s="15" t="s">
        <v>42</v>
      </c>
      <c r="H434" s="14">
        <v>19.0</v>
      </c>
      <c r="I434" s="14">
        <v>177.0</v>
      </c>
      <c r="J434" s="16" t="s">
        <v>3816</v>
      </c>
      <c r="K434" s="15" t="s">
        <v>3817</v>
      </c>
      <c r="L434" s="15" t="s">
        <v>3818</v>
      </c>
      <c r="M434" s="17" t="s">
        <v>31</v>
      </c>
      <c r="N434" s="16"/>
      <c r="O434" s="15" t="s">
        <v>3819</v>
      </c>
      <c r="P434" s="14">
        <v>13.0</v>
      </c>
      <c r="Q434" s="14"/>
      <c r="R434" s="14">
        <v>45.0</v>
      </c>
      <c r="S434" s="14"/>
      <c r="T434" s="15" t="s">
        <v>3820</v>
      </c>
      <c r="U434" s="14">
        <v>7.33333333333333</v>
      </c>
      <c r="V434" s="14">
        <v>0.0898021308980213</v>
      </c>
      <c r="W434" s="14" t="s">
        <v>4495</v>
      </c>
      <c r="X434" s="14" t="s">
        <v>4495</v>
      </c>
      <c r="Y434" s="18" t="s">
        <v>4495</v>
      </c>
      <c r="Z434" s="18">
        <v>0.47265371983310933</v>
      </c>
      <c r="AA434" s="18" t="s">
        <v>4495</v>
      </c>
      <c r="AB434" s="18">
        <v>1.0</v>
      </c>
      <c r="AC434" s="18">
        <v>0.2595043515184367</v>
      </c>
      <c r="AD434" s="18">
        <v>0.29411386511012105</v>
      </c>
      <c r="AE434" s="19" t="s">
        <v>4497</v>
      </c>
    </row>
    <row r="435" ht="21.0" customHeight="1">
      <c r="A435" s="20" t="s">
        <v>2383</v>
      </c>
      <c r="B435" s="21" t="s">
        <v>3821</v>
      </c>
      <c r="C435" s="22" t="s">
        <v>3822</v>
      </c>
      <c r="D435" s="23">
        <v>44341.0</v>
      </c>
      <c r="E435" s="24">
        <v>2021.0</v>
      </c>
      <c r="G435" s="21" t="s">
        <v>42</v>
      </c>
      <c r="H435" s="24">
        <v>19.0</v>
      </c>
      <c r="I435" s="24">
        <v>173.0</v>
      </c>
      <c r="J435" s="25" t="s">
        <v>3823</v>
      </c>
      <c r="K435" s="21" t="s">
        <v>3824</v>
      </c>
      <c r="L435" s="21" t="s">
        <v>3825</v>
      </c>
      <c r="M435" s="26" t="s">
        <v>59</v>
      </c>
      <c r="N435" s="30" t="s">
        <v>3826</v>
      </c>
      <c r="O435" s="21" t="s">
        <v>3827</v>
      </c>
      <c r="P435" s="24"/>
      <c r="Q435" s="24"/>
      <c r="R435" s="24">
        <v>51.0</v>
      </c>
      <c r="S435" s="24">
        <v>2021.0</v>
      </c>
      <c r="T435" s="21" t="s">
        <v>3828</v>
      </c>
      <c r="U435" s="24">
        <v>47.3333333333333</v>
      </c>
      <c r="V435" s="24">
        <v>0.1090107120352867</v>
      </c>
      <c r="W435" s="24">
        <v>0.0</v>
      </c>
      <c r="X435" s="24" t="s">
        <v>4495</v>
      </c>
      <c r="Y435" s="27" t="s">
        <v>4495</v>
      </c>
      <c r="Z435" s="27">
        <v>0.5156394588873553</v>
      </c>
      <c r="AA435" s="27">
        <v>1.0</v>
      </c>
      <c r="AB435" s="27">
        <v>1.0</v>
      </c>
      <c r="AC435" s="27">
        <v>0.9998192495174985</v>
      </c>
      <c r="AD435" s="27">
        <v>0.5788917896735887</v>
      </c>
      <c r="AE435" s="28" t="s">
        <v>4501</v>
      </c>
    </row>
    <row r="436" ht="21.0" customHeight="1">
      <c r="A436" s="10" t="s">
        <v>2383</v>
      </c>
      <c r="B436" s="15" t="s">
        <v>3830</v>
      </c>
      <c r="C436" s="12" t="s">
        <v>3831</v>
      </c>
      <c r="D436" s="13">
        <v>44013.0</v>
      </c>
      <c r="E436" s="14">
        <v>2020.0</v>
      </c>
      <c r="F436" s="15" t="s">
        <v>2398</v>
      </c>
      <c r="G436" s="15" t="s">
        <v>42</v>
      </c>
      <c r="H436" s="14">
        <v>19.0</v>
      </c>
      <c r="I436" s="14">
        <v>89.0</v>
      </c>
      <c r="J436" s="16" t="s">
        <v>3832</v>
      </c>
      <c r="K436" s="15" t="s">
        <v>3833</v>
      </c>
      <c r="L436" s="15" t="s">
        <v>3834</v>
      </c>
      <c r="M436" s="17" t="s">
        <v>31</v>
      </c>
      <c r="N436" s="16"/>
      <c r="O436" s="15" t="s">
        <v>2226</v>
      </c>
      <c r="P436" s="14">
        <v>6.0</v>
      </c>
      <c r="Q436" s="14"/>
      <c r="R436" s="14">
        <v>21.0</v>
      </c>
      <c r="S436" s="14"/>
      <c r="T436" s="15" t="s">
        <v>3835</v>
      </c>
      <c r="U436" s="14">
        <v>11.5</v>
      </c>
      <c r="V436" s="14">
        <v>0.04647519582245431</v>
      </c>
      <c r="W436" s="14" t="s">
        <v>4495</v>
      </c>
      <c r="X436" s="14" t="s">
        <v>4495</v>
      </c>
      <c r="Y436" s="18" t="s">
        <v>4495</v>
      </c>
      <c r="Z436" s="18">
        <v>0.21404331870033824</v>
      </c>
      <c r="AA436" s="18" t="s">
        <v>4495</v>
      </c>
      <c r="AB436" s="18">
        <v>1.0</v>
      </c>
      <c r="AC436" s="18">
        <v>0.4302643754965017</v>
      </c>
      <c r="AD436" s="18">
        <v>0.24653726722473474</v>
      </c>
      <c r="AE436" s="19" t="s">
        <v>4497</v>
      </c>
    </row>
    <row r="437" ht="21.0" customHeight="1">
      <c r="A437" s="20" t="s">
        <v>2383</v>
      </c>
      <c r="B437" s="21" t="s">
        <v>3836</v>
      </c>
      <c r="C437" s="22" t="s">
        <v>3837</v>
      </c>
      <c r="D437" s="23">
        <v>42500.0</v>
      </c>
      <c r="E437" s="24">
        <v>2016.0</v>
      </c>
      <c r="F437" s="21" t="s">
        <v>2386</v>
      </c>
      <c r="G437" s="21" t="s">
        <v>42</v>
      </c>
      <c r="H437" s="24">
        <v>19.0</v>
      </c>
      <c r="I437" s="24">
        <v>313.0</v>
      </c>
      <c r="J437" s="25" t="s">
        <v>3840</v>
      </c>
      <c r="K437" s="21" t="s">
        <v>3841</v>
      </c>
      <c r="L437" s="21" t="s">
        <v>3842</v>
      </c>
      <c r="M437" s="26" t="s">
        <v>59</v>
      </c>
      <c r="N437" s="25" t="s">
        <v>3843</v>
      </c>
      <c r="P437" s="24"/>
      <c r="Q437" s="24"/>
      <c r="R437" s="24">
        <v>50.0</v>
      </c>
      <c r="S437" s="24">
        <v>2016.0</v>
      </c>
      <c r="T437" s="21" t="s">
        <v>3844</v>
      </c>
      <c r="U437" s="24">
        <v>35.6666666666666</v>
      </c>
      <c r="V437" s="24">
        <v>0.0913068844807468</v>
      </c>
      <c r="W437" s="24">
        <v>0.0</v>
      </c>
      <c r="X437" s="24" t="s">
        <v>4495</v>
      </c>
      <c r="Y437" s="27" t="s">
        <v>4495</v>
      </c>
      <c r="Z437" s="27">
        <v>0.5088312618047772</v>
      </c>
      <c r="AA437" s="27">
        <v>1.0</v>
      </c>
      <c r="AB437" s="27">
        <v>1.0</v>
      </c>
      <c r="AC437" s="27">
        <v>0.8834762343634998</v>
      </c>
      <c r="AD437" s="27">
        <v>0.5655554388875442</v>
      </c>
      <c r="AE437" s="28" t="s">
        <v>4501</v>
      </c>
    </row>
    <row r="438" ht="21.0" customHeight="1">
      <c r="A438" s="10" t="s">
        <v>2383</v>
      </c>
      <c r="B438" s="15" t="s">
        <v>3845</v>
      </c>
      <c r="C438" s="12" t="s">
        <v>3846</v>
      </c>
      <c r="D438" s="13">
        <v>41000.0</v>
      </c>
      <c r="E438" s="14">
        <v>2012.0</v>
      </c>
      <c r="F438" s="15" t="s">
        <v>2386</v>
      </c>
      <c r="G438" s="15" t="s">
        <v>42</v>
      </c>
      <c r="H438" s="14">
        <v>19.0</v>
      </c>
      <c r="I438" s="14">
        <v>174.0</v>
      </c>
      <c r="J438" s="16" t="s">
        <v>3848</v>
      </c>
      <c r="K438" s="15" t="s">
        <v>3849</v>
      </c>
      <c r="L438" s="15" t="s">
        <v>3850</v>
      </c>
      <c r="M438" s="17" t="s">
        <v>31</v>
      </c>
      <c r="N438" s="29"/>
      <c r="P438" s="14"/>
      <c r="Q438" s="14"/>
      <c r="R438" s="14">
        <v>35.0</v>
      </c>
      <c r="S438" s="14">
        <v>2012.0</v>
      </c>
      <c r="T438" s="15" t="s">
        <v>3851</v>
      </c>
      <c r="U438" s="14">
        <v>78.5</v>
      </c>
      <c r="V438" s="14">
        <v>0.03530844155844156</v>
      </c>
      <c r="W438" s="14">
        <v>0.0</v>
      </c>
      <c r="X438" s="14" t="s">
        <v>4495</v>
      </c>
      <c r="Y438" s="18" t="s">
        <v>4495</v>
      </c>
      <c r="Z438" s="18">
        <v>0.3867110571043727</v>
      </c>
      <c r="AA438" s="18">
        <v>1.0</v>
      </c>
      <c r="AB438" s="18">
        <v>1.0</v>
      </c>
      <c r="AC438" s="18">
        <v>1.0</v>
      </c>
      <c r="AD438" s="18">
        <v>0.5466777642760932</v>
      </c>
      <c r="AE438" s="19" t="s">
        <v>4497</v>
      </c>
    </row>
    <row r="439" ht="21.0" customHeight="1">
      <c r="A439" s="20" t="s">
        <v>2383</v>
      </c>
      <c r="B439" s="21" t="s">
        <v>3853</v>
      </c>
      <c r="C439" s="22" t="s">
        <v>3854</v>
      </c>
      <c r="D439" s="23">
        <v>42095.0</v>
      </c>
      <c r="E439" s="24">
        <v>2015.0</v>
      </c>
      <c r="F439" s="21" t="s">
        <v>2386</v>
      </c>
      <c r="G439" s="21" t="s">
        <v>42</v>
      </c>
      <c r="H439" s="24">
        <v>19.0</v>
      </c>
      <c r="I439" s="24">
        <v>262.0</v>
      </c>
      <c r="J439" s="25"/>
      <c r="K439" s="21" t="s">
        <v>3855</v>
      </c>
      <c r="L439" s="21" t="s">
        <v>3856</v>
      </c>
      <c r="M439" s="26" t="s">
        <v>31</v>
      </c>
      <c r="N439" s="25"/>
      <c r="O439" s="21" t="s">
        <v>3857</v>
      </c>
      <c r="P439" s="24">
        <v>11.0</v>
      </c>
      <c r="Q439" s="24"/>
      <c r="R439" s="24">
        <v>43.0</v>
      </c>
      <c r="S439" s="24"/>
      <c r="T439" s="21" t="s">
        <v>3858</v>
      </c>
      <c r="U439" s="24">
        <v>51.3333333333333</v>
      </c>
      <c r="V439" s="24">
        <v>0.06835376989303418</v>
      </c>
      <c r="W439" s="24" t="s">
        <v>4495</v>
      </c>
      <c r="X439" s="24" t="s">
        <v>4495</v>
      </c>
      <c r="Y439" s="27" t="s">
        <v>4495</v>
      </c>
      <c r="Z439" s="27">
        <v>0.4570684369953818</v>
      </c>
      <c r="AA439" s="27" t="s">
        <v>4495</v>
      </c>
      <c r="AB439" s="27">
        <v>1.0</v>
      </c>
      <c r="AC439" s="27">
        <v>1.0</v>
      </c>
      <c r="AD439" s="27">
        <v>0.3642671092488454</v>
      </c>
      <c r="AE439" s="28" t="s">
        <v>4497</v>
      </c>
    </row>
    <row r="440" ht="21.0" customHeight="1">
      <c r="A440" s="10" t="s">
        <v>2383</v>
      </c>
      <c r="B440" s="15" t="s">
        <v>3860</v>
      </c>
      <c r="C440" s="12" t="s">
        <v>3861</v>
      </c>
      <c r="D440" s="13">
        <v>43799.0</v>
      </c>
      <c r="E440" s="14">
        <v>2019.0</v>
      </c>
      <c r="F440" s="15" t="s">
        <v>2386</v>
      </c>
      <c r="G440" s="15" t="s">
        <v>42</v>
      </c>
      <c r="H440" s="14">
        <v>19.0</v>
      </c>
      <c r="I440" s="14">
        <v>307.0</v>
      </c>
      <c r="J440" s="16" t="s">
        <v>3864</v>
      </c>
      <c r="K440" s="15" t="s">
        <v>3865</v>
      </c>
      <c r="L440" s="15" t="s">
        <v>3866</v>
      </c>
      <c r="M440" s="17" t="s">
        <v>31</v>
      </c>
      <c r="N440" s="29"/>
      <c r="O440" s="15" t="s">
        <v>3867</v>
      </c>
      <c r="P440" s="14">
        <v>24.0</v>
      </c>
      <c r="Q440" s="14"/>
      <c r="R440" s="14">
        <v>73.0</v>
      </c>
      <c r="S440" s="14">
        <v>2019.0</v>
      </c>
      <c r="T440" s="15" t="s">
        <v>3868</v>
      </c>
      <c r="U440" s="14">
        <v>27.5</v>
      </c>
      <c r="V440" s="14">
        <v>0.14419915453264442</v>
      </c>
      <c r="W440" s="14">
        <v>0.0</v>
      </c>
      <c r="X440" s="14" t="s">
        <v>4495</v>
      </c>
      <c r="Y440" s="18" t="s">
        <v>4495</v>
      </c>
      <c r="Z440" s="18">
        <v>0.6393425607818833</v>
      </c>
      <c r="AA440" s="18">
        <v>1.0</v>
      </c>
      <c r="AB440" s="18">
        <v>1.0</v>
      </c>
      <c r="AC440" s="18">
        <v>0.7773625982257488</v>
      </c>
      <c r="AD440" s="18">
        <v>0.5875719000180458</v>
      </c>
      <c r="AE440" s="19" t="s">
        <v>4497</v>
      </c>
    </row>
    <row r="441" ht="21.0" customHeight="1">
      <c r="A441" s="20" t="s">
        <v>2383</v>
      </c>
      <c r="B441" s="21" t="s">
        <v>3870</v>
      </c>
      <c r="C441" s="22" t="s">
        <v>3871</v>
      </c>
      <c r="D441" s="23"/>
      <c r="E441" s="24"/>
      <c r="F441" s="21" t="s">
        <v>2386</v>
      </c>
      <c r="G441" s="21" t="s">
        <v>42</v>
      </c>
      <c r="H441" s="24">
        <v>19.0</v>
      </c>
      <c r="I441" s="24">
        <v>157.0</v>
      </c>
      <c r="J441" s="25" t="s">
        <v>3872</v>
      </c>
      <c r="K441" s="21" t="s">
        <v>3873</v>
      </c>
      <c r="L441" s="21" t="s">
        <v>3874</v>
      </c>
      <c r="M441" s="26" t="s">
        <v>59</v>
      </c>
      <c r="N441" s="25" t="s">
        <v>3875</v>
      </c>
      <c r="O441" s="21" t="s">
        <v>3876</v>
      </c>
      <c r="P441" s="24">
        <v>14.0</v>
      </c>
      <c r="Q441" s="24"/>
      <c r="R441" s="24">
        <v>34.0</v>
      </c>
      <c r="S441" s="24">
        <v>2020.0</v>
      </c>
      <c r="T441" s="21" t="s">
        <v>3877</v>
      </c>
      <c r="U441" s="24">
        <v>14.8</v>
      </c>
      <c r="V441" s="24" t="s">
        <v>4495</v>
      </c>
      <c r="W441" s="24" t="s">
        <v>4495</v>
      </c>
      <c r="X441" s="24" t="s">
        <v>4495</v>
      </c>
      <c r="Y441" s="27" t="s">
        <v>4495</v>
      </c>
      <c r="Z441" s="27">
        <v>0.3768340340141598</v>
      </c>
      <c r="AA441" s="27" t="s">
        <v>4495</v>
      </c>
      <c r="AB441" s="27" t="s">
        <v>4495</v>
      </c>
      <c r="AC441" s="27">
        <v>0.5289310150557403</v>
      </c>
      <c r="AD441" s="27">
        <v>0.14710161000911398</v>
      </c>
      <c r="AE441" s="28" t="s">
        <v>4501</v>
      </c>
    </row>
    <row r="442" ht="21.0" customHeight="1">
      <c r="A442" s="10" t="s">
        <v>2383</v>
      </c>
      <c r="B442" s="15" t="s">
        <v>3878</v>
      </c>
      <c r="C442" s="12" t="s">
        <v>3879</v>
      </c>
      <c r="D442" s="13">
        <v>44420.0</v>
      </c>
      <c r="E442" s="14">
        <v>2021.0</v>
      </c>
      <c r="F442" s="15" t="s">
        <v>2386</v>
      </c>
      <c r="G442" s="15" t="s">
        <v>1119</v>
      </c>
      <c r="H442" s="14">
        <v>19.0</v>
      </c>
      <c r="I442" s="14">
        <v>84.0</v>
      </c>
      <c r="J442" s="16" t="s">
        <v>3881</v>
      </c>
      <c r="K442" s="15" t="s">
        <v>3882</v>
      </c>
      <c r="L442" s="15" t="s">
        <v>3883</v>
      </c>
      <c r="M442" s="17" t="s">
        <v>59</v>
      </c>
      <c r="N442" s="16" t="s">
        <v>3884</v>
      </c>
      <c r="O442" s="15" t="s">
        <v>3885</v>
      </c>
      <c r="P442" s="14">
        <v>16.0</v>
      </c>
      <c r="Q442" s="14"/>
      <c r="R442" s="14">
        <v>74.0</v>
      </c>
      <c r="S442" s="14">
        <v>2021.0</v>
      </c>
      <c r="T442" s="15" t="s">
        <v>3886</v>
      </c>
      <c r="U442" s="14">
        <v>22.3333333333333</v>
      </c>
      <c r="V442" s="14">
        <v>0.05570291777188329</v>
      </c>
      <c r="W442" s="14">
        <v>0.0</v>
      </c>
      <c r="X442" s="14" t="s">
        <v>4495</v>
      </c>
      <c r="Y442" s="18" t="s">
        <v>4495</v>
      </c>
      <c r="Z442" s="18">
        <v>0.6440488211484913</v>
      </c>
      <c r="AA442" s="18">
        <v>1.0</v>
      </c>
      <c r="AB442" s="18">
        <v>1.0</v>
      </c>
      <c r="AC442" s="18">
        <v>0.6931244900957695</v>
      </c>
      <c r="AD442" s="18">
        <v>0.5803246542966998</v>
      </c>
      <c r="AE442" s="19" t="s">
        <v>4501</v>
      </c>
    </row>
    <row r="443" ht="21.0" customHeight="1">
      <c r="A443" s="20" t="s">
        <v>2383</v>
      </c>
      <c r="B443" s="21" t="s">
        <v>3887</v>
      </c>
      <c r="C443" s="22" t="s">
        <v>3888</v>
      </c>
      <c r="D443" s="23">
        <v>42135.0</v>
      </c>
      <c r="E443" s="24">
        <v>2015.0</v>
      </c>
      <c r="F443" s="21" t="s">
        <v>2386</v>
      </c>
      <c r="G443" s="21" t="s">
        <v>42</v>
      </c>
      <c r="H443" s="24">
        <v>18.0</v>
      </c>
      <c r="I443" s="24">
        <v>211.0</v>
      </c>
      <c r="J443" s="25"/>
      <c r="K443" s="21" t="s">
        <v>3889</v>
      </c>
      <c r="L443" s="21" t="s">
        <v>3890</v>
      </c>
      <c r="M443" s="26" t="s">
        <v>31</v>
      </c>
      <c r="N443" s="30"/>
      <c r="O443" s="21" t="s">
        <v>3891</v>
      </c>
      <c r="P443" s="24">
        <v>6.0</v>
      </c>
      <c r="Q443" s="24"/>
      <c r="R443" s="24">
        <v>17.0</v>
      </c>
      <c r="S443" s="24"/>
      <c r="T443" s="21" t="s">
        <v>3892</v>
      </c>
      <c r="U443" s="24">
        <v>11.25</v>
      </c>
      <c r="V443" s="24">
        <v>0.05562878987608753</v>
      </c>
      <c r="W443" s="24" t="s">
        <v>4495</v>
      </c>
      <c r="X443" s="24" t="s">
        <v>4495</v>
      </c>
      <c r="Y443" s="27" t="s">
        <v>4495</v>
      </c>
      <c r="Z443" s="27">
        <v>0.14368593880932898</v>
      </c>
      <c r="AA443" s="27" t="s">
        <v>4495</v>
      </c>
      <c r="AB443" s="27">
        <v>1.0</v>
      </c>
      <c r="AC443" s="27">
        <v>0.42175608534532755</v>
      </c>
      <c r="AD443" s="27">
        <v>0.228097093236865</v>
      </c>
      <c r="AE443" s="28" t="s">
        <v>4497</v>
      </c>
    </row>
    <row r="444" ht="21.0" customHeight="1">
      <c r="A444" s="10" t="s">
        <v>2383</v>
      </c>
      <c r="B444" s="15" t="s">
        <v>3894</v>
      </c>
      <c r="C444" s="12" t="s">
        <v>3895</v>
      </c>
      <c r="D444" s="13">
        <v>41760.0</v>
      </c>
      <c r="E444" s="14">
        <v>2014.0</v>
      </c>
      <c r="F444" s="15" t="s">
        <v>2386</v>
      </c>
      <c r="G444" s="15" t="s">
        <v>42</v>
      </c>
      <c r="H444" s="14">
        <v>18.0</v>
      </c>
      <c r="I444" s="14">
        <v>213.0</v>
      </c>
      <c r="J444" s="16"/>
      <c r="K444" s="15" t="s">
        <v>3896</v>
      </c>
      <c r="L444" s="15" t="s">
        <v>3897</v>
      </c>
      <c r="M444" s="17" t="s">
        <v>31</v>
      </c>
      <c r="N444" s="16"/>
      <c r="O444" s="15" t="s">
        <v>3898</v>
      </c>
      <c r="P444" s="14">
        <v>12.0</v>
      </c>
      <c r="Q444" s="14"/>
      <c r="R444" s="14">
        <v>35.0</v>
      </c>
      <c r="S444" s="14"/>
      <c r="T444" s="15" t="s">
        <v>217</v>
      </c>
      <c r="U444" s="14">
        <v>29.0</v>
      </c>
      <c r="V444" s="14">
        <v>0.05110364683301344</v>
      </c>
      <c r="W444" s="14" t="s">
        <v>4495</v>
      </c>
      <c r="X444" s="14" t="s">
        <v>4495</v>
      </c>
      <c r="Y444" s="18" t="s">
        <v>4495</v>
      </c>
      <c r="Z444" s="18">
        <v>0.3867110571043727</v>
      </c>
      <c r="AA444" s="18" t="s">
        <v>4495</v>
      </c>
      <c r="AB444" s="18">
        <v>1.0</v>
      </c>
      <c r="AC444" s="18">
        <v>0.7989645659521445</v>
      </c>
      <c r="AD444" s="18">
        <v>0.3265742208713076</v>
      </c>
      <c r="AE444" s="19" t="s">
        <v>4497</v>
      </c>
    </row>
    <row r="445" ht="21.0" customHeight="1">
      <c r="A445" s="20" t="s">
        <v>2383</v>
      </c>
      <c r="B445" s="21" t="s">
        <v>3899</v>
      </c>
      <c r="C445" s="22" t="s">
        <v>3900</v>
      </c>
      <c r="D445" s="23">
        <v>43002.0</v>
      </c>
      <c r="E445" s="24">
        <v>2017.0</v>
      </c>
      <c r="F445" s="21" t="s">
        <v>2632</v>
      </c>
      <c r="G445" s="21" t="s">
        <v>42</v>
      </c>
      <c r="H445" s="24">
        <v>18.0</v>
      </c>
      <c r="I445" s="24">
        <v>174.0</v>
      </c>
      <c r="J445" s="25" t="s">
        <v>3902</v>
      </c>
      <c r="K445" s="21" t="s">
        <v>3903</v>
      </c>
      <c r="L445" s="21" t="s">
        <v>3904</v>
      </c>
      <c r="M445" s="26" t="s">
        <v>59</v>
      </c>
      <c r="N445" s="25" t="s">
        <v>3905</v>
      </c>
      <c r="P445" s="24"/>
      <c r="Q445" s="24"/>
      <c r="R445" s="24">
        <v>97.0</v>
      </c>
      <c r="S445" s="24">
        <v>2017.0</v>
      </c>
      <c r="T445" s="21" t="s">
        <v>3906</v>
      </c>
      <c r="U445" s="24">
        <v>26.5714285714285</v>
      </c>
      <c r="V445" s="24">
        <v>0.059466848940533154</v>
      </c>
      <c r="W445" s="24">
        <v>0.0</v>
      </c>
      <c r="X445" s="24" t="s">
        <v>4495</v>
      </c>
      <c r="Y445" s="27" t="s">
        <v>4495</v>
      </c>
      <c r="Z445" s="27">
        <v>0.7378300644058394</v>
      </c>
      <c r="AA445" s="27">
        <v>1.0</v>
      </c>
      <c r="AB445" s="27">
        <v>1.0</v>
      </c>
      <c r="AC445" s="27">
        <v>0.7634125368778296</v>
      </c>
      <c r="AD445" s="27">
        <v>0.6107987697892429</v>
      </c>
      <c r="AE445" s="28" t="s">
        <v>4501</v>
      </c>
    </row>
    <row r="446" ht="21.0" customHeight="1">
      <c r="A446" s="10" t="s">
        <v>2383</v>
      </c>
      <c r="B446" s="15" t="s">
        <v>3907</v>
      </c>
      <c r="C446" s="12" t="s">
        <v>3908</v>
      </c>
      <c r="D446" s="13">
        <v>42326.0</v>
      </c>
      <c r="E446" s="14">
        <v>2015.0</v>
      </c>
      <c r="F446" s="15" t="s">
        <v>41</v>
      </c>
      <c r="G446" s="15" t="s">
        <v>3910</v>
      </c>
      <c r="H446" s="14">
        <v>18.0</v>
      </c>
      <c r="I446" s="14">
        <v>350.0</v>
      </c>
      <c r="J446" s="16" t="s">
        <v>3911</v>
      </c>
      <c r="K446" s="15" t="s">
        <v>3912</v>
      </c>
      <c r="L446" s="15" t="s">
        <v>3913</v>
      </c>
      <c r="M446" s="17" t="s">
        <v>59</v>
      </c>
      <c r="N446" s="16" t="s">
        <v>3914</v>
      </c>
      <c r="O446" s="15" t="s">
        <v>3915</v>
      </c>
      <c r="P446" s="14">
        <v>27.0</v>
      </c>
      <c r="Q446" s="14"/>
      <c r="R446" s="14">
        <v>60.0</v>
      </c>
      <c r="S446" s="14">
        <v>2015.0</v>
      </c>
      <c r="T446" s="15" t="s">
        <v>3916</v>
      </c>
      <c r="U446" s="14">
        <v>24.8</v>
      </c>
      <c r="V446" s="14">
        <v>0.0971682398667407</v>
      </c>
      <c r="W446" s="14">
        <v>0.0</v>
      </c>
      <c r="X446" s="14" t="s">
        <v>4495</v>
      </c>
      <c r="Y446" s="18" t="s">
        <v>4495</v>
      </c>
      <c r="Z446" s="18">
        <v>0.5716075650904038</v>
      </c>
      <c r="AA446" s="18">
        <v>1.0</v>
      </c>
      <c r="AB446" s="18">
        <v>1.0</v>
      </c>
      <c r="AC446" s="18">
        <v>0.7354461034445195</v>
      </c>
      <c r="AD446" s="18">
        <v>0.5664465016170529</v>
      </c>
      <c r="AE446" s="19" t="s">
        <v>4500</v>
      </c>
    </row>
    <row r="447" ht="21.0" customHeight="1">
      <c r="A447" s="20" t="s">
        <v>2383</v>
      </c>
      <c r="B447" s="21" t="s">
        <v>3918</v>
      </c>
      <c r="C447" s="22" t="s">
        <v>3919</v>
      </c>
      <c r="D447" s="23">
        <v>44337.0</v>
      </c>
      <c r="E447" s="24">
        <v>2021.0</v>
      </c>
      <c r="F447" s="21" t="s">
        <v>41</v>
      </c>
      <c r="G447" s="21" t="s">
        <v>1119</v>
      </c>
      <c r="H447" s="24">
        <v>18.0</v>
      </c>
      <c r="I447" s="24">
        <v>96.0</v>
      </c>
      <c r="J447" s="25" t="s">
        <v>3921</v>
      </c>
      <c r="K447" s="21" t="s">
        <v>3922</v>
      </c>
      <c r="L447" s="21" t="s">
        <v>3923</v>
      </c>
      <c r="M447" s="26" t="s">
        <v>59</v>
      </c>
      <c r="N447" s="25" t="s">
        <v>3924</v>
      </c>
      <c r="P447" s="24"/>
      <c r="Q447" s="24"/>
      <c r="R447" s="24">
        <v>52.0</v>
      </c>
      <c r="S447" s="24">
        <v>2021.0</v>
      </c>
      <c r="T447" s="21" t="s">
        <v>3925</v>
      </c>
      <c r="U447" s="24">
        <v>29.0</v>
      </c>
      <c r="V447" s="24">
        <v>0.06033940917661848</v>
      </c>
      <c r="W447" s="24">
        <v>0.0</v>
      </c>
      <c r="X447" s="24" t="s">
        <v>4495</v>
      </c>
      <c r="Y447" s="27" t="s">
        <v>4495</v>
      </c>
      <c r="Z447" s="27">
        <v>0.5223179681071728</v>
      </c>
      <c r="AA447" s="27">
        <v>1.0</v>
      </c>
      <c r="AB447" s="27">
        <v>1.0</v>
      </c>
      <c r="AC447" s="27">
        <v>0.7989645659521445</v>
      </c>
      <c r="AD447" s="27">
        <v>0.5604759486220077</v>
      </c>
      <c r="AE447" s="28" t="s">
        <v>4500</v>
      </c>
    </row>
    <row r="448" ht="21.0" customHeight="1">
      <c r="A448" s="10" t="s">
        <v>2383</v>
      </c>
      <c r="B448" s="15" t="s">
        <v>3926</v>
      </c>
      <c r="C448" s="12" t="s">
        <v>3927</v>
      </c>
      <c r="D448" s="13">
        <v>43927.0</v>
      </c>
      <c r="E448" s="14">
        <v>2020.0</v>
      </c>
      <c r="F448" s="15" t="s">
        <v>2398</v>
      </c>
      <c r="G448" s="15" t="s">
        <v>232</v>
      </c>
      <c r="H448" s="14">
        <v>18.0</v>
      </c>
      <c r="I448" s="14">
        <v>96.0</v>
      </c>
      <c r="J448" s="16" t="s">
        <v>3929</v>
      </c>
      <c r="K448" s="15" t="s">
        <v>3930</v>
      </c>
      <c r="L448" s="15" t="s">
        <v>3931</v>
      </c>
      <c r="M448" s="17" t="s">
        <v>59</v>
      </c>
      <c r="N448" s="16" t="s">
        <v>3932</v>
      </c>
      <c r="O448" s="15" t="s">
        <v>3933</v>
      </c>
      <c r="P448" s="14">
        <v>7.0</v>
      </c>
      <c r="Q448" s="14"/>
      <c r="R448" s="14">
        <v>24.0</v>
      </c>
      <c r="S448" s="14">
        <v>2020.0</v>
      </c>
      <c r="T448" s="15" t="s">
        <v>3934</v>
      </c>
      <c r="U448" s="14">
        <v>14.25</v>
      </c>
      <c r="V448" s="14">
        <v>0.047976011994003</v>
      </c>
      <c r="W448" s="14">
        <v>0.0</v>
      </c>
      <c r="X448" s="14" t="s">
        <v>4495</v>
      </c>
      <c r="Y448" s="18" t="s">
        <v>4495</v>
      </c>
      <c r="Z448" s="18">
        <v>0.25886312191752414</v>
      </c>
      <c r="AA448" s="18">
        <v>1.0</v>
      </c>
      <c r="AB448" s="18">
        <v>1.0</v>
      </c>
      <c r="AC448" s="18">
        <v>0.5140096268840141</v>
      </c>
      <c r="AD448" s="18">
        <v>0.4661167431677825</v>
      </c>
      <c r="AE448" s="19" t="s">
        <v>4501</v>
      </c>
    </row>
    <row r="449" ht="21.0" customHeight="1">
      <c r="A449" s="20" t="s">
        <v>2383</v>
      </c>
      <c r="B449" s="21" t="s">
        <v>3936</v>
      </c>
      <c r="C449" s="22" t="s">
        <v>3937</v>
      </c>
      <c r="D449" s="23"/>
      <c r="E449" s="24"/>
      <c r="F449" s="21" t="s">
        <v>2386</v>
      </c>
      <c r="G449" s="21" t="s">
        <v>42</v>
      </c>
      <c r="H449" s="24">
        <v>18.0</v>
      </c>
      <c r="I449" s="24">
        <v>385.0</v>
      </c>
      <c r="J449" s="25"/>
      <c r="K449" s="21" t="s">
        <v>3939</v>
      </c>
      <c r="L449" s="21" t="s">
        <v>3940</v>
      </c>
      <c r="M449" s="26" t="s">
        <v>31</v>
      </c>
      <c r="N449" s="25"/>
      <c r="O449" s="21" t="s">
        <v>3941</v>
      </c>
      <c r="P449" s="24">
        <v>7.0</v>
      </c>
      <c r="Q449" s="24"/>
      <c r="R449" s="24">
        <v>23.0</v>
      </c>
      <c r="S449" s="24"/>
      <c r="T449" s="21" t="s">
        <v>3942</v>
      </c>
      <c r="U449" s="24">
        <v>3.5</v>
      </c>
      <c r="V449" s="24" t="s">
        <v>4495</v>
      </c>
      <c r="W449" s="24" t="s">
        <v>4495</v>
      </c>
      <c r="X449" s="24" t="s">
        <v>4495</v>
      </c>
      <c r="Y449" s="27" t="s">
        <v>4495</v>
      </c>
      <c r="Z449" s="27">
        <v>0.24455047616844922</v>
      </c>
      <c r="AA449" s="27" t="s">
        <v>4495</v>
      </c>
      <c r="AB449" s="27" t="s">
        <v>4495</v>
      </c>
      <c r="AC449" s="27">
        <v>0.0</v>
      </c>
      <c r="AD449" s="27">
        <v>0.061137619042112304</v>
      </c>
      <c r="AE449" s="28" t="s">
        <v>4497</v>
      </c>
    </row>
    <row r="450" ht="21.0" customHeight="1">
      <c r="A450" s="10" t="s">
        <v>2383</v>
      </c>
      <c r="B450" s="15" t="s">
        <v>3943</v>
      </c>
      <c r="C450" s="12" t="s">
        <v>3944</v>
      </c>
      <c r="D450" s="13">
        <v>40999.0</v>
      </c>
      <c r="E450" s="14">
        <v>2012.0</v>
      </c>
      <c r="F450" s="15" t="s">
        <v>2386</v>
      </c>
      <c r="G450" s="15" t="s">
        <v>42</v>
      </c>
      <c r="H450" s="14">
        <v>18.0</v>
      </c>
      <c r="I450" s="14">
        <v>393.0</v>
      </c>
      <c r="J450" s="16" t="s">
        <v>3947</v>
      </c>
      <c r="K450" s="15" t="s">
        <v>3948</v>
      </c>
      <c r="L450" s="15" t="s">
        <v>3949</v>
      </c>
      <c r="M450" s="17" t="s">
        <v>59</v>
      </c>
      <c r="N450" s="16" t="s">
        <v>3950</v>
      </c>
      <c r="P450" s="14"/>
      <c r="Q450" s="14"/>
      <c r="R450" s="14">
        <v>42.0</v>
      </c>
      <c r="S450" s="14">
        <v>2012.0</v>
      </c>
      <c r="T450" s="15" t="s">
        <v>3951</v>
      </c>
      <c r="U450" s="14">
        <v>4.66666666666666</v>
      </c>
      <c r="V450" s="14">
        <v>0.07973219720024345</v>
      </c>
      <c r="W450" s="14">
        <v>0.0</v>
      </c>
      <c r="X450" s="14" t="s">
        <v>4495</v>
      </c>
      <c r="Y450" s="18" t="s">
        <v>4495</v>
      </c>
      <c r="Z450" s="18">
        <v>0.4490080559640544</v>
      </c>
      <c r="AA450" s="18">
        <v>1.0</v>
      </c>
      <c r="AB450" s="18">
        <v>1.0</v>
      </c>
      <c r="AC450" s="18">
        <v>0.09708412557552656</v>
      </c>
      <c r="AD450" s="18">
        <v>0.47196042654856624</v>
      </c>
      <c r="AE450" s="19" t="s">
        <v>4501</v>
      </c>
    </row>
    <row r="451" ht="21.0" customHeight="1">
      <c r="A451" s="20" t="s">
        <v>2383</v>
      </c>
      <c r="B451" s="21" t="s">
        <v>3952</v>
      </c>
      <c r="C451" s="22" t="s">
        <v>3953</v>
      </c>
      <c r="D451" s="23">
        <v>42081.0</v>
      </c>
      <c r="E451" s="24">
        <v>2015.0</v>
      </c>
      <c r="F451" s="21" t="s">
        <v>2386</v>
      </c>
      <c r="G451" s="21" t="s">
        <v>232</v>
      </c>
      <c r="H451" s="24">
        <v>18.0</v>
      </c>
      <c r="I451" s="24">
        <v>374.0</v>
      </c>
      <c r="J451" s="25"/>
      <c r="K451" s="21" t="s">
        <v>3956</v>
      </c>
      <c r="L451" s="21" t="s">
        <v>3957</v>
      </c>
      <c r="M451" s="26" t="s">
        <v>31</v>
      </c>
      <c r="N451" s="25"/>
      <c r="O451" s="21" t="s">
        <v>3958</v>
      </c>
      <c r="P451" s="24">
        <v>10.0</v>
      </c>
      <c r="Q451" s="24"/>
      <c r="R451" s="24">
        <v>22.0</v>
      </c>
      <c r="S451" s="24"/>
      <c r="T451" s="21" t="s">
        <v>3959</v>
      </c>
      <c r="U451" s="24">
        <v>16.6666666666666</v>
      </c>
      <c r="V451" s="24">
        <v>0.09721861190538082</v>
      </c>
      <c r="W451" s="24" t="s">
        <v>4495</v>
      </c>
      <c r="X451" s="24" t="s">
        <v>4495</v>
      </c>
      <c r="Y451" s="27" t="s">
        <v>4495</v>
      </c>
      <c r="Z451" s="27">
        <v>0.22962860153806564</v>
      </c>
      <c r="AA451" s="27" t="s">
        <v>4495</v>
      </c>
      <c r="AB451" s="27">
        <v>1.0</v>
      </c>
      <c r="AC451" s="27">
        <v>0.5759602604370906</v>
      </c>
      <c r="AD451" s="27">
        <v>0.26500317642822546</v>
      </c>
      <c r="AE451" s="28" t="s">
        <v>4497</v>
      </c>
    </row>
    <row r="452" ht="21.0" customHeight="1">
      <c r="A452" s="10" t="s">
        <v>2383</v>
      </c>
      <c r="B452" s="15" t="s">
        <v>3960</v>
      </c>
      <c r="C452" s="12" t="s">
        <v>3961</v>
      </c>
      <c r="D452" s="13">
        <v>42196.0</v>
      </c>
      <c r="E452" s="14">
        <v>2015.0</v>
      </c>
      <c r="F452" s="15" t="s">
        <v>2386</v>
      </c>
      <c r="G452" s="15" t="s">
        <v>42</v>
      </c>
      <c r="H452" s="14">
        <v>18.0</v>
      </c>
      <c r="I452" s="14">
        <v>185.0</v>
      </c>
      <c r="J452" s="16" t="s">
        <v>3963</v>
      </c>
      <c r="K452" s="15" t="s">
        <v>3964</v>
      </c>
      <c r="L452" s="15" t="s">
        <v>3965</v>
      </c>
      <c r="M452" s="17" t="s">
        <v>59</v>
      </c>
      <c r="N452" s="16" t="s">
        <v>3966</v>
      </c>
      <c r="P452" s="14"/>
      <c r="Q452" s="14"/>
      <c r="R452" s="14">
        <v>70.0</v>
      </c>
      <c r="S452" s="14">
        <v>2014.0</v>
      </c>
      <c r="T452" s="15" t="s">
        <v>517</v>
      </c>
      <c r="U452" s="14">
        <v>10.0</v>
      </c>
      <c r="V452" s="14">
        <v>0.04957127545551983</v>
      </c>
      <c r="W452" s="14">
        <v>1.0</v>
      </c>
      <c r="X452" s="14" t="s">
        <v>4495</v>
      </c>
      <c r="Y452" s="18" t="s">
        <v>4495</v>
      </c>
      <c r="Z452" s="18">
        <v>0.6248324432545804</v>
      </c>
      <c r="AA452" s="18">
        <v>1.0</v>
      </c>
      <c r="AB452" s="18">
        <v>1.0</v>
      </c>
      <c r="AC452" s="18">
        <v>0.37642785751330293</v>
      </c>
      <c r="AD452" s="18">
        <v>0.5438508965649754</v>
      </c>
      <c r="AE452" s="19" t="s">
        <v>4501</v>
      </c>
    </row>
    <row r="453" ht="21.0" customHeight="1">
      <c r="A453" s="20" t="s">
        <v>2383</v>
      </c>
      <c r="B453" s="21" t="s">
        <v>3967</v>
      </c>
      <c r="C453" s="22" t="s">
        <v>3968</v>
      </c>
      <c r="D453" s="23">
        <v>43219.0</v>
      </c>
      <c r="E453" s="24">
        <v>2018.0</v>
      </c>
      <c r="F453" s="21" t="s">
        <v>2398</v>
      </c>
      <c r="G453" s="21" t="s">
        <v>42</v>
      </c>
      <c r="H453" s="24">
        <v>17.0</v>
      </c>
      <c r="I453" s="24">
        <v>141.0</v>
      </c>
      <c r="J453" s="25" t="s">
        <v>3970</v>
      </c>
      <c r="K453" s="21" t="s">
        <v>3971</v>
      </c>
      <c r="L453" s="21" t="s">
        <v>3972</v>
      </c>
      <c r="M453" s="26" t="s">
        <v>59</v>
      </c>
      <c r="N453" s="25" t="s">
        <v>3973</v>
      </c>
      <c r="O453" s="21" t="s">
        <v>3974</v>
      </c>
      <c r="P453" s="24">
        <v>9.0</v>
      </c>
      <c r="Q453" s="24"/>
      <c r="R453" s="24">
        <v>34.0</v>
      </c>
      <c r="S453" s="24">
        <v>2017.0</v>
      </c>
      <c r="T453" s="21" t="s">
        <v>3975</v>
      </c>
      <c r="U453" s="24">
        <v>38.5</v>
      </c>
      <c r="V453" s="24">
        <v>0.05204872646733112</v>
      </c>
      <c r="W453" s="24">
        <v>1.0</v>
      </c>
      <c r="X453" s="24" t="s">
        <v>4495</v>
      </c>
      <c r="Y453" s="27" t="s">
        <v>4495</v>
      </c>
      <c r="Z453" s="27">
        <v>0.3768340340141598</v>
      </c>
      <c r="AA453" s="27">
        <v>1.0</v>
      </c>
      <c r="AB453" s="27">
        <v>1.0</v>
      </c>
      <c r="AC453" s="27">
        <v>0.9148232267820557</v>
      </c>
      <c r="AD453" s="27">
        <v>0.5356908311817455</v>
      </c>
      <c r="AE453" s="28" t="s">
        <v>4501</v>
      </c>
    </row>
    <row r="454" ht="21.0" customHeight="1">
      <c r="A454" s="10" t="s">
        <v>2383</v>
      </c>
      <c r="B454" s="15" t="s">
        <v>3977</v>
      </c>
      <c r="C454" s="12" t="s">
        <v>3978</v>
      </c>
      <c r="D454" s="13"/>
      <c r="E454" s="14"/>
      <c r="F454" s="15" t="s">
        <v>2386</v>
      </c>
      <c r="G454" s="15" t="s">
        <v>42</v>
      </c>
      <c r="H454" s="14">
        <v>17.0</v>
      </c>
      <c r="I454" s="14">
        <v>237.0</v>
      </c>
      <c r="J454" s="16" t="s">
        <v>3979</v>
      </c>
      <c r="K454" s="15" t="s">
        <v>3980</v>
      </c>
      <c r="L454" s="15" t="s">
        <v>3981</v>
      </c>
      <c r="M454" s="17" t="s">
        <v>59</v>
      </c>
      <c r="N454" s="16" t="s">
        <v>3982</v>
      </c>
      <c r="O454" s="15" t="s">
        <v>3983</v>
      </c>
      <c r="P454" s="14">
        <v>10.0</v>
      </c>
      <c r="Q454" s="14"/>
      <c r="R454" s="14">
        <v>47.0</v>
      </c>
      <c r="S454" s="14">
        <v>2019.0</v>
      </c>
      <c r="T454" s="15" t="s">
        <v>3984</v>
      </c>
      <c r="U454" s="14">
        <v>8.0</v>
      </c>
      <c r="V454" s="14" t="s">
        <v>4495</v>
      </c>
      <c r="W454" s="14" t="s">
        <v>4495</v>
      </c>
      <c r="X454" s="14" t="s">
        <v>4495</v>
      </c>
      <c r="Y454" s="18" t="s">
        <v>4495</v>
      </c>
      <c r="Z454" s="18">
        <v>0.48757559446349275</v>
      </c>
      <c r="AA454" s="18" t="s">
        <v>4495</v>
      </c>
      <c r="AB454" s="18" t="s">
        <v>4495</v>
      </c>
      <c r="AC454" s="18">
        <v>0.29191618910194683</v>
      </c>
      <c r="AD454" s="18">
        <v>0.15108551752606786</v>
      </c>
      <c r="AE454" s="19" t="s">
        <v>4501</v>
      </c>
    </row>
    <row r="455" ht="21.0" customHeight="1">
      <c r="A455" s="20" t="s">
        <v>2383</v>
      </c>
      <c r="B455" s="21" t="s">
        <v>3985</v>
      </c>
      <c r="C455" s="22" t="s">
        <v>3986</v>
      </c>
      <c r="D455" s="23">
        <v>42816.0</v>
      </c>
      <c r="E455" s="24">
        <v>2017.0</v>
      </c>
      <c r="F455" s="21" t="s">
        <v>2386</v>
      </c>
      <c r="G455" s="21" t="s">
        <v>42</v>
      </c>
      <c r="H455" s="24">
        <v>17.0</v>
      </c>
      <c r="I455" s="24">
        <v>594.0</v>
      </c>
      <c r="J455" s="25"/>
      <c r="K455" s="21" t="s">
        <v>3989</v>
      </c>
      <c r="L455" s="21" t="s">
        <v>3990</v>
      </c>
      <c r="M455" s="26" t="s">
        <v>31</v>
      </c>
      <c r="N455" s="25"/>
      <c r="O455" s="21" t="s">
        <v>3991</v>
      </c>
      <c r="P455" s="24">
        <v>9.0</v>
      </c>
      <c r="Q455" s="24"/>
      <c r="R455" s="24">
        <v>38.0</v>
      </c>
      <c r="S455" s="24"/>
      <c r="T455" s="21" t="s">
        <v>3992</v>
      </c>
      <c r="U455" s="24">
        <v>29.0</v>
      </c>
      <c r="V455" s="24">
        <v>0.19087403598971722</v>
      </c>
      <c r="W455" s="24" t="s">
        <v>4495</v>
      </c>
      <c r="X455" s="24" t="s">
        <v>4495</v>
      </c>
      <c r="Y455" s="27" t="s">
        <v>4495</v>
      </c>
      <c r="Z455" s="27">
        <v>0.4147749215282351</v>
      </c>
      <c r="AA455" s="27" t="s">
        <v>4495</v>
      </c>
      <c r="AB455" s="27">
        <v>1.0</v>
      </c>
      <c r="AC455" s="27">
        <v>0.7989645659521445</v>
      </c>
      <c r="AD455" s="27">
        <v>0.3335901869772732</v>
      </c>
      <c r="AE455" s="28" t="s">
        <v>4497</v>
      </c>
    </row>
    <row r="456" ht="21.0" customHeight="1">
      <c r="A456" s="10" t="s">
        <v>2383</v>
      </c>
      <c r="B456" s="15" t="s">
        <v>3993</v>
      </c>
      <c r="C456" s="12" t="s">
        <v>3994</v>
      </c>
      <c r="D456" s="13">
        <v>40980.0</v>
      </c>
      <c r="E456" s="14">
        <v>2012.0</v>
      </c>
      <c r="F456" s="15" t="s">
        <v>2398</v>
      </c>
      <c r="G456" s="15" t="s">
        <v>42</v>
      </c>
      <c r="H456" s="14">
        <v>17.0</v>
      </c>
      <c r="I456" s="14">
        <v>200.0</v>
      </c>
      <c r="J456" s="16"/>
      <c r="K456" s="15" t="s">
        <v>3997</v>
      </c>
      <c r="L456" s="15" t="s">
        <v>3998</v>
      </c>
      <c r="M456" s="17" t="s">
        <v>31</v>
      </c>
      <c r="N456" s="16"/>
      <c r="O456" s="15" t="s">
        <v>3999</v>
      </c>
      <c r="P456" s="14">
        <v>5.0</v>
      </c>
      <c r="Q456" s="14"/>
      <c r="R456" s="14">
        <v>5.0</v>
      </c>
      <c r="S456" s="14"/>
      <c r="T456" s="15" t="s">
        <v>4000</v>
      </c>
      <c r="U456" s="14">
        <v>33.75</v>
      </c>
      <c r="V456" s="14">
        <v>0.04042037186742118</v>
      </c>
      <c r="W456" s="14" t="s">
        <v>4495</v>
      </c>
      <c r="X456" s="14" t="s">
        <v>4495</v>
      </c>
      <c r="Y456" s="18" t="s">
        <v>4495</v>
      </c>
      <c r="Z456" s="18">
        <v>0.0</v>
      </c>
      <c r="AA456" s="18" t="s">
        <v>4495</v>
      </c>
      <c r="AB456" s="18">
        <v>1.0</v>
      </c>
      <c r="AC456" s="18">
        <v>0.8608655331288015</v>
      </c>
      <c r="AD456" s="18">
        <v>0.23608655331288014</v>
      </c>
      <c r="AE456" s="19" t="s">
        <v>4497</v>
      </c>
    </row>
    <row r="457" ht="21.0" customHeight="1">
      <c r="A457" s="20" t="s">
        <v>2383</v>
      </c>
      <c r="B457" s="21" t="s">
        <v>4001</v>
      </c>
      <c r="C457" s="22" t="s">
        <v>4002</v>
      </c>
      <c r="D457" s="23">
        <v>44033.0</v>
      </c>
      <c r="E457" s="24">
        <v>2020.0</v>
      </c>
      <c r="F457" s="21" t="s">
        <v>2398</v>
      </c>
      <c r="G457" s="21" t="s">
        <v>42</v>
      </c>
      <c r="H457" s="24">
        <v>17.0</v>
      </c>
      <c r="I457" s="24">
        <v>142.0</v>
      </c>
      <c r="J457" s="25" t="s">
        <v>4004</v>
      </c>
      <c r="K457" s="21" t="s">
        <v>4005</v>
      </c>
      <c r="L457" s="21" t="s">
        <v>4006</v>
      </c>
      <c r="M457" s="26" t="s">
        <v>31</v>
      </c>
      <c r="N457" s="25"/>
      <c r="P457" s="24"/>
      <c r="Q457" s="24"/>
      <c r="R457" s="24">
        <v>46.0</v>
      </c>
      <c r="S457" s="24">
        <v>2020.0</v>
      </c>
      <c r="T457" s="21" t="s">
        <v>4007</v>
      </c>
      <c r="U457" s="24">
        <v>36.0</v>
      </c>
      <c r="V457" s="24">
        <v>0.07493403693931398</v>
      </c>
      <c r="W457" s="24">
        <v>0.0</v>
      </c>
      <c r="X457" s="24" t="s">
        <v>4495</v>
      </c>
      <c r="Y457" s="27" t="s">
        <v>4495</v>
      </c>
      <c r="Z457" s="27">
        <v>0.4801940348116395</v>
      </c>
      <c r="AA457" s="27">
        <v>1.0</v>
      </c>
      <c r="AB457" s="27">
        <v>1.0</v>
      </c>
      <c r="AC457" s="27">
        <v>0.8872875367406374</v>
      </c>
      <c r="AD457" s="27">
        <v>0.5587772623769737</v>
      </c>
      <c r="AE457" s="28" t="s">
        <v>4497</v>
      </c>
    </row>
    <row r="458" ht="21.0" customHeight="1">
      <c r="A458" s="10" t="s">
        <v>2383</v>
      </c>
      <c r="B458" s="15" t="s">
        <v>4008</v>
      </c>
      <c r="C458" s="12" t="s">
        <v>4009</v>
      </c>
      <c r="D458" s="13">
        <v>43329.0</v>
      </c>
      <c r="E458" s="14">
        <v>2018.0</v>
      </c>
      <c r="F458" s="15" t="s">
        <v>2386</v>
      </c>
      <c r="G458" s="15" t="s">
        <v>42</v>
      </c>
      <c r="H458" s="14">
        <v>17.0</v>
      </c>
      <c r="I458" s="14">
        <v>380.0</v>
      </c>
      <c r="J458" s="16" t="s">
        <v>4011</v>
      </c>
      <c r="K458" s="15" t="s">
        <v>4012</v>
      </c>
      <c r="L458" s="15" t="s">
        <v>4013</v>
      </c>
      <c r="M458" s="17" t="s">
        <v>59</v>
      </c>
      <c r="N458" s="16" t="s">
        <v>4014</v>
      </c>
      <c r="O458" s="15" t="s">
        <v>4015</v>
      </c>
      <c r="P458" s="14">
        <v>16.0</v>
      </c>
      <c r="Q458" s="14"/>
      <c r="R458" s="14">
        <v>38.0</v>
      </c>
      <c r="S458" s="14">
        <v>2017.0</v>
      </c>
      <c r="T458" s="15" t="s">
        <v>4016</v>
      </c>
      <c r="U458" s="14">
        <v>14.8571428571428</v>
      </c>
      <c r="V458" s="14">
        <v>0.1462100808003078</v>
      </c>
      <c r="W458" s="14">
        <v>1.0</v>
      </c>
      <c r="X458" s="14" t="s">
        <v>4495</v>
      </c>
      <c r="Y458" s="18" t="s">
        <v>4495</v>
      </c>
      <c r="Z458" s="18">
        <v>0.4147749215282351</v>
      </c>
      <c r="AA458" s="18">
        <v>1.0</v>
      </c>
      <c r="AB458" s="18">
        <v>1.0</v>
      </c>
      <c r="AC458" s="18">
        <v>0.5304513995169988</v>
      </c>
      <c r="AD458" s="18">
        <v>0.5067388703337586</v>
      </c>
      <c r="AE458" s="19" t="s">
        <v>4501</v>
      </c>
    </row>
    <row r="459" ht="21.0" customHeight="1">
      <c r="A459" s="20" t="s">
        <v>2383</v>
      </c>
      <c r="B459" s="21" t="s">
        <v>4018</v>
      </c>
      <c r="C459" s="22" t="s">
        <v>4019</v>
      </c>
      <c r="D459" s="23">
        <v>43240.0</v>
      </c>
      <c r="E459" s="24">
        <v>2018.0</v>
      </c>
      <c r="F459" s="21" t="s">
        <v>2386</v>
      </c>
      <c r="G459" s="21" t="s">
        <v>42</v>
      </c>
      <c r="H459" s="24">
        <v>17.0</v>
      </c>
      <c r="I459" s="24">
        <v>157.0</v>
      </c>
      <c r="J459" s="25"/>
      <c r="K459" s="21" t="s">
        <v>4021</v>
      </c>
      <c r="L459" s="21" t="s">
        <v>4022</v>
      </c>
      <c r="M459" s="26" t="s">
        <v>59</v>
      </c>
      <c r="N459" s="25" t="s">
        <v>4023</v>
      </c>
      <c r="O459" s="21" t="s">
        <v>4024</v>
      </c>
      <c r="P459" s="24">
        <v>18.0</v>
      </c>
      <c r="Q459" s="24"/>
      <c r="R459" s="24">
        <v>61.0</v>
      </c>
      <c r="S459" s="24"/>
      <c r="T459" s="21" t="s">
        <v>4025</v>
      </c>
      <c r="U459" s="24">
        <v>21.7</v>
      </c>
      <c r="V459" s="24">
        <v>0.058407738095238096</v>
      </c>
      <c r="W459" s="24" t="s">
        <v>4495</v>
      </c>
      <c r="X459" s="24" t="s">
        <v>4495</v>
      </c>
      <c r="Y459" s="27" t="s">
        <v>4495</v>
      </c>
      <c r="Z459" s="27">
        <v>0.5773086847360339</v>
      </c>
      <c r="AA459" s="27" t="s">
        <v>4495</v>
      </c>
      <c r="AB459" s="27">
        <v>1.0</v>
      </c>
      <c r="AC459" s="27">
        <v>0.681535381243285</v>
      </c>
      <c r="AD459" s="27">
        <v>0.362480709308337</v>
      </c>
      <c r="AE459" s="28" t="s">
        <v>4499</v>
      </c>
    </row>
    <row r="460" ht="21.0" customHeight="1">
      <c r="A460" s="10" t="s">
        <v>2383</v>
      </c>
      <c r="B460" s="15" t="s">
        <v>4027</v>
      </c>
      <c r="C460" s="12" t="s">
        <v>4028</v>
      </c>
      <c r="D460" s="13">
        <v>42869.0</v>
      </c>
      <c r="E460" s="14">
        <v>2017.0</v>
      </c>
      <c r="F460" s="15" t="s">
        <v>2398</v>
      </c>
      <c r="G460" s="15" t="s">
        <v>42</v>
      </c>
      <c r="H460" s="14">
        <v>17.0</v>
      </c>
      <c r="I460" s="14">
        <v>280.0</v>
      </c>
      <c r="J460" s="16"/>
      <c r="K460" s="15" t="s">
        <v>4031</v>
      </c>
      <c r="L460" s="15" t="s">
        <v>4032</v>
      </c>
      <c r="M460" s="17" t="s">
        <v>31</v>
      </c>
      <c r="N460" s="16"/>
      <c r="O460" s="15" t="s">
        <v>4033</v>
      </c>
      <c r="P460" s="14">
        <v>8.0</v>
      </c>
      <c r="Q460" s="14"/>
      <c r="R460" s="14">
        <v>42.0</v>
      </c>
      <c r="S460" s="14"/>
      <c r="T460" s="15" t="s">
        <v>4034</v>
      </c>
      <c r="U460" s="14">
        <v>23.25</v>
      </c>
      <c r="V460" s="14">
        <v>0.09153318077803203</v>
      </c>
      <c r="W460" s="14" t="s">
        <v>4495</v>
      </c>
      <c r="X460" s="14" t="s">
        <v>4495</v>
      </c>
      <c r="Y460" s="18" t="s">
        <v>4495</v>
      </c>
      <c r="Z460" s="18">
        <v>0.4490080559640544</v>
      </c>
      <c r="AA460" s="18" t="s">
        <v>4495</v>
      </c>
      <c r="AB460" s="18">
        <v>1.0</v>
      </c>
      <c r="AC460" s="18">
        <v>0.7093527900342949</v>
      </c>
      <c r="AD460" s="18">
        <v>0.3331872929944431</v>
      </c>
      <c r="AE460" s="19" t="s">
        <v>4497</v>
      </c>
    </row>
    <row r="461" ht="21.0" customHeight="1">
      <c r="A461" s="20" t="s">
        <v>2383</v>
      </c>
      <c r="B461" s="21" t="s">
        <v>4036</v>
      </c>
      <c r="C461" s="22" t="s">
        <v>4037</v>
      </c>
      <c r="D461" s="23"/>
      <c r="E461" s="24"/>
      <c r="F461" s="21" t="s">
        <v>2398</v>
      </c>
      <c r="G461" s="21" t="s">
        <v>42</v>
      </c>
      <c r="H461" s="24">
        <v>17.0</v>
      </c>
      <c r="I461" s="24">
        <v>91.0</v>
      </c>
      <c r="J461" s="25"/>
      <c r="K461" s="21" t="s">
        <v>4038</v>
      </c>
      <c r="L461" s="21" t="s">
        <v>4039</v>
      </c>
      <c r="M461" s="26" t="s">
        <v>59</v>
      </c>
      <c r="N461" s="25" t="s">
        <v>4040</v>
      </c>
      <c r="P461" s="24"/>
      <c r="Q461" s="24"/>
      <c r="R461" s="24">
        <v>59.0</v>
      </c>
      <c r="S461" s="24"/>
      <c r="T461" s="21" t="s">
        <v>4041</v>
      </c>
      <c r="U461" s="24">
        <v>16.5714285714285</v>
      </c>
      <c r="V461" s="24" t="s">
        <v>4495</v>
      </c>
      <c r="W461" s="24" t="s">
        <v>4495</v>
      </c>
      <c r="X461" s="24" t="s">
        <v>4495</v>
      </c>
      <c r="Y461" s="27" t="s">
        <v>4495</v>
      </c>
      <c r="Z461" s="27">
        <v>0.5658122078059921</v>
      </c>
      <c r="AA461" s="27" t="s">
        <v>4495</v>
      </c>
      <c r="AB461" s="27" t="s">
        <v>4495</v>
      </c>
      <c r="AC461" s="27">
        <v>0.5736837898218915</v>
      </c>
      <c r="AD461" s="27">
        <v>0.19882143093368718</v>
      </c>
      <c r="AE461" s="28" t="s">
        <v>4499</v>
      </c>
    </row>
    <row r="462" ht="21.0" customHeight="1">
      <c r="A462" s="10" t="s">
        <v>2383</v>
      </c>
      <c r="B462" s="15" t="s">
        <v>4043</v>
      </c>
      <c r="C462" s="12" t="s">
        <v>4044</v>
      </c>
      <c r="D462" s="13">
        <v>44846.0</v>
      </c>
      <c r="E462" s="14">
        <v>2022.0</v>
      </c>
      <c r="F462" s="15" t="s">
        <v>2398</v>
      </c>
      <c r="G462" s="15" t="s">
        <v>42</v>
      </c>
      <c r="H462" s="14">
        <v>17.0</v>
      </c>
      <c r="I462" s="14">
        <v>116.0</v>
      </c>
      <c r="J462" s="16" t="s">
        <v>4046</v>
      </c>
      <c r="K462" s="15" t="s">
        <v>4047</v>
      </c>
      <c r="L462" s="15" t="s">
        <v>4048</v>
      </c>
      <c r="M462" s="17" t="s">
        <v>59</v>
      </c>
      <c r="N462" s="16" t="s">
        <v>4049</v>
      </c>
      <c r="O462" s="15" t="s">
        <v>4050</v>
      </c>
      <c r="P462" s="14">
        <v>11.0</v>
      </c>
      <c r="Q462" s="14"/>
      <c r="R462" s="14">
        <v>72.0</v>
      </c>
      <c r="S462" s="14">
        <v>2022.0</v>
      </c>
      <c r="T462" s="15" t="s">
        <v>4051</v>
      </c>
      <c r="U462" s="14">
        <v>56.8</v>
      </c>
      <c r="V462" s="14">
        <v>0.10720887245841035</v>
      </c>
      <c r="W462" s="14">
        <v>0.0</v>
      </c>
      <c r="X462" s="14" t="s">
        <v>4495</v>
      </c>
      <c r="Y462" s="18" t="s">
        <v>4495</v>
      </c>
      <c r="Z462" s="18">
        <v>0.6345722676997336</v>
      </c>
      <c r="AA462" s="18">
        <v>1.0</v>
      </c>
      <c r="AB462" s="18">
        <v>1.0</v>
      </c>
      <c r="AC462" s="18">
        <v>1.0</v>
      </c>
      <c r="AD462" s="18">
        <v>0.6086430669249334</v>
      </c>
      <c r="AE462" s="19" t="s">
        <v>4501</v>
      </c>
    </row>
    <row r="463" ht="21.0" customHeight="1">
      <c r="A463" s="20" t="s">
        <v>2383</v>
      </c>
      <c r="B463" s="21" t="s">
        <v>4053</v>
      </c>
      <c r="C463" s="22" t="s">
        <v>4054</v>
      </c>
      <c r="D463" s="23">
        <v>43531.0</v>
      </c>
      <c r="E463" s="24">
        <v>2019.0</v>
      </c>
      <c r="F463" s="21" t="s">
        <v>2386</v>
      </c>
      <c r="G463" s="21" t="s">
        <v>42</v>
      </c>
      <c r="H463" s="24">
        <v>17.0</v>
      </c>
      <c r="I463" s="24">
        <v>238.0</v>
      </c>
      <c r="J463" s="25" t="s">
        <v>4056</v>
      </c>
      <c r="K463" s="21" t="s">
        <v>4057</v>
      </c>
      <c r="L463" s="21" t="s">
        <v>4058</v>
      </c>
      <c r="M463" s="26" t="s">
        <v>59</v>
      </c>
      <c r="N463" s="25" t="s">
        <v>4059</v>
      </c>
      <c r="O463" s="21" t="s">
        <v>4060</v>
      </c>
      <c r="P463" s="24">
        <v>12.0</v>
      </c>
      <c r="Q463" s="24"/>
      <c r="R463" s="24">
        <v>36.0</v>
      </c>
      <c r="S463" s="24">
        <v>2019.0</v>
      </c>
      <c r="T463" s="21" t="s">
        <v>4061</v>
      </c>
      <c r="U463" s="24">
        <v>38.6666666666666</v>
      </c>
      <c r="V463" s="24">
        <v>0.09929078014184398</v>
      </c>
      <c r="W463" s="24">
        <v>0.0</v>
      </c>
      <c r="X463" s="24" t="s">
        <v>4495</v>
      </c>
      <c r="Y463" s="27" t="s">
        <v>4495</v>
      </c>
      <c r="Z463" s="27">
        <v>0.3963174424868398</v>
      </c>
      <c r="AA463" s="27">
        <v>1.0</v>
      </c>
      <c r="AB463" s="27">
        <v>1.0</v>
      </c>
      <c r="AC463" s="27">
        <v>0.9165964758791749</v>
      </c>
      <c r="AD463" s="27">
        <v>0.5407390082096275</v>
      </c>
      <c r="AE463" s="28" t="s">
        <v>4501</v>
      </c>
    </row>
    <row r="464" ht="21.0" customHeight="1">
      <c r="A464" s="10" t="s">
        <v>2383</v>
      </c>
      <c r="B464" s="15" t="s">
        <v>4063</v>
      </c>
      <c r="C464" s="12" t="s">
        <v>4064</v>
      </c>
      <c r="D464" s="13">
        <v>43115.0</v>
      </c>
      <c r="E464" s="14">
        <v>2018.0</v>
      </c>
      <c r="F464" s="15" t="s">
        <v>2417</v>
      </c>
      <c r="G464" s="15" t="s">
        <v>42</v>
      </c>
      <c r="H464" s="14">
        <v>17.0</v>
      </c>
      <c r="I464" s="14">
        <v>115.0</v>
      </c>
      <c r="J464" s="16" t="s">
        <v>4067</v>
      </c>
      <c r="K464" s="15" t="s">
        <v>4068</v>
      </c>
      <c r="L464" s="15" t="s">
        <v>4069</v>
      </c>
      <c r="M464" s="17" t="s">
        <v>31</v>
      </c>
      <c r="N464" s="16"/>
      <c r="P464" s="14"/>
      <c r="Q464" s="14"/>
      <c r="R464" s="14">
        <v>15.0</v>
      </c>
      <c r="S464" s="14"/>
      <c r="T464" s="15" t="s">
        <v>4070</v>
      </c>
      <c r="U464" s="14">
        <v>15.7777777777777</v>
      </c>
      <c r="V464" s="14">
        <v>0.04088162104514753</v>
      </c>
      <c r="W464" s="14" t="s">
        <v>4495</v>
      </c>
      <c r="X464" s="14" t="s">
        <v>4495</v>
      </c>
      <c r="Y464" s="18" t="s">
        <v>4495</v>
      </c>
      <c r="Z464" s="18">
        <v>0.10238989523252559</v>
      </c>
      <c r="AA464" s="18" t="s">
        <v>4495</v>
      </c>
      <c r="AB464" s="18">
        <v>1.0</v>
      </c>
      <c r="AC464" s="18">
        <v>0.5542188634631464</v>
      </c>
      <c r="AD464" s="18">
        <v>0.23101936015444605</v>
      </c>
      <c r="AE464" s="19" t="s">
        <v>4497</v>
      </c>
    </row>
    <row r="465" ht="21.0" customHeight="1">
      <c r="A465" s="20" t="s">
        <v>2383</v>
      </c>
      <c r="B465" s="21" t="s">
        <v>4072</v>
      </c>
      <c r="C465" s="22" t="s">
        <v>4073</v>
      </c>
      <c r="D465" s="23"/>
      <c r="E465" s="24"/>
      <c r="H465" s="24">
        <v>17.0</v>
      </c>
      <c r="I465" s="24">
        <v>119.0</v>
      </c>
      <c r="J465" s="25"/>
      <c r="K465" s="21" t="s">
        <v>4074</v>
      </c>
      <c r="M465" s="26" t="s">
        <v>31</v>
      </c>
      <c r="N465" s="25"/>
      <c r="P465" s="24"/>
      <c r="Q465" s="24"/>
      <c r="R465" s="24">
        <v>8.0</v>
      </c>
      <c r="S465" s="24"/>
      <c r="T465" s="21" t="s">
        <v>4075</v>
      </c>
      <c r="U465" s="24">
        <v>9.66666666666666</v>
      </c>
      <c r="V465" s="24" t="s">
        <v>4495</v>
      </c>
      <c r="W465" s="24" t="s">
        <v>4495</v>
      </c>
      <c r="X465" s="24" t="s">
        <v>4495</v>
      </c>
      <c r="Y465" s="27" t="s">
        <v>4495</v>
      </c>
      <c r="Z465" s="27">
        <v>0.0</v>
      </c>
      <c r="AA465" s="27" t="s">
        <v>4495</v>
      </c>
      <c r="AB465" s="27" t="s">
        <v>4495</v>
      </c>
      <c r="AC465" s="27">
        <v>0.3634684953716459</v>
      </c>
      <c r="AD465" s="27">
        <v>0.03634684953716459</v>
      </c>
      <c r="AE465" s="28" t="s">
        <v>4497</v>
      </c>
    </row>
    <row r="466" ht="21.0" customHeight="1">
      <c r="A466" s="10" t="s">
        <v>2383</v>
      </c>
      <c r="B466" s="15" t="s">
        <v>4076</v>
      </c>
      <c r="C466" s="12" t="s">
        <v>4077</v>
      </c>
      <c r="D466" s="13">
        <v>41981.0</v>
      </c>
      <c r="E466" s="14">
        <v>2014.0</v>
      </c>
      <c r="F466" s="15" t="s">
        <v>2417</v>
      </c>
      <c r="G466" s="15" t="s">
        <v>42</v>
      </c>
      <c r="H466" s="14">
        <v>17.0</v>
      </c>
      <c r="I466" s="14">
        <v>204.0</v>
      </c>
      <c r="J466" s="16"/>
      <c r="K466" s="15" t="s">
        <v>4080</v>
      </c>
      <c r="L466" s="15" t="s">
        <v>4081</v>
      </c>
      <c r="M466" s="17" t="s">
        <v>59</v>
      </c>
      <c r="N466" s="16" t="s">
        <v>4082</v>
      </c>
      <c r="P466" s="14"/>
      <c r="Q466" s="14"/>
      <c r="R466" s="14">
        <v>42.0</v>
      </c>
      <c r="S466" s="14"/>
      <c r="T466" s="15" t="s">
        <v>4083</v>
      </c>
      <c r="U466" s="14">
        <v>24.0</v>
      </c>
      <c r="V466" s="14">
        <v>0.05168482391689891</v>
      </c>
      <c r="W466" s="14" t="s">
        <v>4495</v>
      </c>
      <c r="X466" s="14" t="s">
        <v>4495</v>
      </c>
      <c r="Y466" s="18" t="s">
        <v>4495</v>
      </c>
      <c r="Z466" s="18">
        <v>0.4490080559640544</v>
      </c>
      <c r="AA466" s="18" t="s">
        <v>4495</v>
      </c>
      <c r="AB466" s="18">
        <v>1.0</v>
      </c>
      <c r="AC466" s="18">
        <v>0.7221805645984484</v>
      </c>
      <c r="AD466" s="18">
        <v>0.33447007045085847</v>
      </c>
      <c r="AE466" s="19" t="s">
        <v>4499</v>
      </c>
    </row>
    <row r="467" ht="21.0" customHeight="1">
      <c r="A467" s="20" t="s">
        <v>2383</v>
      </c>
      <c r="B467" s="21" t="s">
        <v>4084</v>
      </c>
      <c r="C467" s="22" t="s">
        <v>4085</v>
      </c>
      <c r="D467" s="23">
        <v>44362.0</v>
      </c>
      <c r="E467" s="24">
        <v>2021.0</v>
      </c>
      <c r="F467" s="21" t="s">
        <v>2386</v>
      </c>
      <c r="G467" s="21" t="s">
        <v>42</v>
      </c>
      <c r="H467" s="24">
        <v>17.0</v>
      </c>
      <c r="I467" s="24">
        <v>279.0</v>
      </c>
      <c r="J467" s="25" t="s">
        <v>4087</v>
      </c>
      <c r="K467" s="21" t="s">
        <v>4088</v>
      </c>
      <c r="L467" s="21" t="s">
        <v>4089</v>
      </c>
      <c r="M467" s="26" t="s">
        <v>31</v>
      </c>
      <c r="N467" s="25"/>
      <c r="O467" s="21" t="s">
        <v>4090</v>
      </c>
      <c r="P467" s="24">
        <v>10.0</v>
      </c>
      <c r="Q467" s="24"/>
      <c r="R467" s="24">
        <v>45.0</v>
      </c>
      <c r="S467" s="24"/>
      <c r="T467" s="21" t="s">
        <v>4091</v>
      </c>
      <c r="U467" s="24">
        <v>33.5</v>
      </c>
      <c r="V467" s="24">
        <v>0.1781609195402299</v>
      </c>
      <c r="W467" s="24" t="s">
        <v>4495</v>
      </c>
      <c r="X467" s="24" t="s">
        <v>4495</v>
      </c>
      <c r="Y467" s="27" t="s">
        <v>4495</v>
      </c>
      <c r="Z467" s="27">
        <v>0.47265371983310933</v>
      </c>
      <c r="AA467" s="27" t="s">
        <v>4495</v>
      </c>
      <c r="AB467" s="27">
        <v>1.0</v>
      </c>
      <c r="AC467" s="27">
        <v>0.8578247542986999</v>
      </c>
      <c r="AD467" s="27">
        <v>0.35394590538814735</v>
      </c>
      <c r="AE467" s="28" t="s">
        <v>4497</v>
      </c>
    </row>
    <row r="468" ht="21.0" customHeight="1">
      <c r="A468" s="10" t="s">
        <v>2383</v>
      </c>
      <c r="B468" s="15" t="s">
        <v>4092</v>
      </c>
      <c r="C468" s="12" t="s">
        <v>4093</v>
      </c>
      <c r="D468" s="13"/>
      <c r="E468" s="14"/>
      <c r="F468" s="15" t="s">
        <v>2386</v>
      </c>
      <c r="G468" s="15" t="s">
        <v>42</v>
      </c>
      <c r="H468" s="14">
        <v>17.0</v>
      </c>
      <c r="I468" s="14">
        <v>431.0</v>
      </c>
      <c r="J468" s="16"/>
      <c r="K468" s="15" t="s">
        <v>4095</v>
      </c>
      <c r="L468" s="15" t="s">
        <v>4096</v>
      </c>
      <c r="M468" s="17" t="s">
        <v>31</v>
      </c>
      <c r="N468" s="16"/>
      <c r="O468" s="15" t="s">
        <v>4097</v>
      </c>
      <c r="P468" s="14">
        <v>13.0</v>
      </c>
      <c r="Q468" s="14"/>
      <c r="R468" s="14">
        <v>20.0</v>
      </c>
      <c r="S468" s="14"/>
      <c r="T468" s="15" t="s">
        <v>1184</v>
      </c>
      <c r="U468" s="14">
        <v>22.5</v>
      </c>
      <c r="V468" s="14" t="s">
        <v>4495</v>
      </c>
      <c r="W468" s="14" t="s">
        <v>4495</v>
      </c>
      <c r="X468" s="14" t="s">
        <v>4495</v>
      </c>
      <c r="Y468" s="18" t="s">
        <v>4495</v>
      </c>
      <c r="Z468" s="18">
        <v>0.19773288331254052</v>
      </c>
      <c r="AA468" s="18" t="s">
        <v>4495</v>
      </c>
      <c r="AB468" s="18" t="s">
        <v>4495</v>
      </c>
      <c r="AC468" s="18">
        <v>0.6961219834498715</v>
      </c>
      <c r="AD468" s="18">
        <v>0.11904541917312228</v>
      </c>
      <c r="AE468" s="19" t="s">
        <v>4497</v>
      </c>
    </row>
    <row r="469" ht="21.0" customHeight="1">
      <c r="A469" s="20" t="s">
        <v>2383</v>
      </c>
      <c r="B469" s="21" t="s">
        <v>4098</v>
      </c>
      <c r="C469" s="22" t="s">
        <v>4099</v>
      </c>
      <c r="D469" s="23">
        <v>44896.0</v>
      </c>
      <c r="E469" s="24">
        <v>2022.0</v>
      </c>
      <c r="F469" s="21" t="s">
        <v>2386</v>
      </c>
      <c r="G469" s="21" t="s">
        <v>42</v>
      </c>
      <c r="H469" s="24">
        <v>17.0</v>
      </c>
      <c r="I469" s="24">
        <v>226.0</v>
      </c>
      <c r="J469" s="25"/>
      <c r="K469" s="21" t="s">
        <v>4101</v>
      </c>
      <c r="L469" s="21" t="s">
        <v>4102</v>
      </c>
      <c r="M469" s="26" t="s">
        <v>59</v>
      </c>
      <c r="N469" s="25" t="s">
        <v>4103</v>
      </c>
      <c r="O469" s="21" t="s">
        <v>4104</v>
      </c>
      <c r="P469" s="24">
        <v>13.0</v>
      </c>
      <c r="Q469" s="24"/>
      <c r="R469" s="24">
        <v>30.0</v>
      </c>
      <c r="S469" s="24">
        <v>2020.0</v>
      </c>
      <c r="T469" s="21" t="s">
        <v>182</v>
      </c>
      <c r="U469" s="24">
        <v>11.0</v>
      </c>
      <c r="V469" s="24">
        <v>0.2189922480620155</v>
      </c>
      <c r="W469" s="24">
        <v>2.0</v>
      </c>
      <c r="X469" s="24" t="s">
        <v>4495</v>
      </c>
      <c r="Y469" s="27" t="s">
        <v>4495</v>
      </c>
      <c r="Z469" s="27">
        <v>0.33428356644099017</v>
      </c>
      <c r="AA469" s="27">
        <v>1.0</v>
      </c>
      <c r="AB469" s="27">
        <v>1.0</v>
      </c>
      <c r="AC469" s="27">
        <v>0.4130723542258289</v>
      </c>
      <c r="AD469" s="27">
        <v>0.47487812703283044</v>
      </c>
      <c r="AE469" s="28" t="s">
        <v>4499</v>
      </c>
    </row>
    <row r="470" ht="21.0" customHeight="1">
      <c r="A470" s="10" t="s">
        <v>2383</v>
      </c>
      <c r="B470" s="15" t="s">
        <v>4105</v>
      </c>
      <c r="C470" s="12" t="s">
        <v>4106</v>
      </c>
      <c r="D470" s="13">
        <v>41198.0</v>
      </c>
      <c r="E470" s="14">
        <v>2012.0</v>
      </c>
      <c r="F470" s="15" t="s">
        <v>2417</v>
      </c>
      <c r="G470" s="15" t="s">
        <v>42</v>
      </c>
      <c r="H470" s="14">
        <v>17.0</v>
      </c>
      <c r="I470" s="14">
        <v>172.0</v>
      </c>
      <c r="J470" s="16"/>
      <c r="K470" s="15" t="s">
        <v>4108</v>
      </c>
      <c r="L470" s="15" t="s">
        <v>4109</v>
      </c>
      <c r="M470" s="17" t="s">
        <v>31</v>
      </c>
      <c r="N470" s="16"/>
      <c r="P470" s="14"/>
      <c r="Q470" s="14"/>
      <c r="R470" s="14">
        <v>49.0</v>
      </c>
      <c r="S470" s="14"/>
      <c r="T470" s="15" t="s">
        <v>4110</v>
      </c>
      <c r="U470" s="14">
        <v>12.75</v>
      </c>
      <c r="V470" s="14">
        <v>0.03636363636363636</v>
      </c>
      <c r="W470" s="14" t="s">
        <v>4495</v>
      </c>
      <c r="X470" s="14" t="s">
        <v>4495</v>
      </c>
      <c r="Y470" s="18" t="s">
        <v>4495</v>
      </c>
      <c r="Z470" s="18">
        <v>0.5018882402125678</v>
      </c>
      <c r="AA470" s="18" t="s">
        <v>4495</v>
      </c>
      <c r="AB470" s="18">
        <v>1.0</v>
      </c>
      <c r="AC470" s="18">
        <v>0.4704038801376717</v>
      </c>
      <c r="AD470" s="18">
        <v>0.32251244806690915</v>
      </c>
      <c r="AE470" s="19" t="s">
        <v>4497</v>
      </c>
    </row>
    <row r="471" ht="21.0" customHeight="1">
      <c r="A471" s="20" t="s">
        <v>2383</v>
      </c>
      <c r="B471" s="21" t="s">
        <v>4111</v>
      </c>
      <c r="C471" s="22" t="s">
        <v>4112</v>
      </c>
      <c r="D471" s="23">
        <v>43053.0</v>
      </c>
      <c r="E471" s="24">
        <v>2017.0</v>
      </c>
      <c r="F471" s="21" t="s">
        <v>2386</v>
      </c>
      <c r="G471" s="21" t="s">
        <v>42</v>
      </c>
      <c r="H471" s="24">
        <v>17.0</v>
      </c>
      <c r="I471" s="24">
        <v>203.0</v>
      </c>
      <c r="J471" s="25"/>
      <c r="K471" s="21" t="s">
        <v>4115</v>
      </c>
      <c r="L471" s="21" t="s">
        <v>4116</v>
      </c>
      <c r="M471" s="26" t="s">
        <v>31</v>
      </c>
      <c r="N471" s="25"/>
      <c r="O471" s="21" t="s">
        <v>4117</v>
      </c>
      <c r="P471" s="24">
        <v>9.0</v>
      </c>
      <c r="Q471" s="24"/>
      <c r="R471" s="24">
        <v>19.0</v>
      </c>
      <c r="S471" s="24"/>
      <c r="T471" s="21" t="s">
        <v>4118</v>
      </c>
      <c r="U471" s="24">
        <v>18.2</v>
      </c>
      <c r="V471" s="24">
        <v>0.07060869565217391</v>
      </c>
      <c r="W471" s="24" t="s">
        <v>4495</v>
      </c>
      <c r="X471" s="24" t="s">
        <v>4495</v>
      </c>
      <c r="Y471" s="27" t="s">
        <v>4495</v>
      </c>
      <c r="Z471" s="27">
        <v>0.18062650857502485</v>
      </c>
      <c r="AA471" s="27" t="s">
        <v>4495</v>
      </c>
      <c r="AB471" s="27">
        <v>1.0</v>
      </c>
      <c r="AC471" s="27">
        <v>0.6110125207034068</v>
      </c>
      <c r="AD471" s="27">
        <v>0.2562578792140969</v>
      </c>
      <c r="AE471" s="28" t="s">
        <v>4497</v>
      </c>
    </row>
    <row r="472" ht="21.0" customHeight="1">
      <c r="A472" s="10" t="s">
        <v>2383</v>
      </c>
      <c r="B472" s="15" t="s">
        <v>4120</v>
      </c>
      <c r="C472" s="12" t="s">
        <v>4121</v>
      </c>
      <c r="D472" s="13">
        <v>42502.0</v>
      </c>
      <c r="E472" s="14">
        <v>2016.0</v>
      </c>
      <c r="F472" s="15" t="s">
        <v>2386</v>
      </c>
      <c r="G472" s="15" t="s">
        <v>42</v>
      </c>
      <c r="H472" s="14">
        <v>17.0</v>
      </c>
      <c r="I472" s="14">
        <v>181.0</v>
      </c>
      <c r="J472" s="16" t="s">
        <v>4123</v>
      </c>
      <c r="K472" s="15" t="s">
        <v>4124</v>
      </c>
      <c r="L472" s="15" t="s">
        <v>4125</v>
      </c>
      <c r="M472" s="17" t="s">
        <v>59</v>
      </c>
      <c r="N472" s="16" t="s">
        <v>4126</v>
      </c>
      <c r="O472" s="15" t="s">
        <v>346</v>
      </c>
      <c r="P472" s="14"/>
      <c r="Q472" s="14"/>
      <c r="R472" s="14">
        <v>21.0</v>
      </c>
      <c r="S472" s="14">
        <v>2016.0</v>
      </c>
      <c r="T472" s="15" t="s">
        <v>4127</v>
      </c>
      <c r="U472" s="14">
        <v>20.75</v>
      </c>
      <c r="V472" s="14">
        <v>0.052831290134267364</v>
      </c>
      <c r="W472" s="14">
        <v>0.0</v>
      </c>
      <c r="X472" s="14" t="s">
        <v>4495</v>
      </c>
      <c r="Y472" s="18" t="s">
        <v>4495</v>
      </c>
      <c r="Z472" s="18">
        <v>0.21404331870033824</v>
      </c>
      <c r="AA472" s="18">
        <v>1.0</v>
      </c>
      <c r="AB472" s="18">
        <v>1.0</v>
      </c>
      <c r="AC472" s="18">
        <v>0.6635308966453656</v>
      </c>
      <c r="AD472" s="18">
        <v>0.46986391933962113</v>
      </c>
      <c r="AE472" s="19" t="s">
        <v>4501</v>
      </c>
    </row>
    <row r="473" ht="21.0" customHeight="1">
      <c r="A473" s="20" t="s">
        <v>2383</v>
      </c>
      <c r="B473" s="21" t="s">
        <v>4129</v>
      </c>
      <c r="C473" s="22" t="s">
        <v>4130</v>
      </c>
      <c r="D473" s="23"/>
      <c r="E473" s="24"/>
      <c r="G473" s="21" t="s">
        <v>42</v>
      </c>
      <c r="H473" s="24">
        <v>17.0</v>
      </c>
      <c r="I473" s="24">
        <v>240.0</v>
      </c>
      <c r="J473" s="25" t="s">
        <v>4132</v>
      </c>
      <c r="K473" s="21" t="s">
        <v>4133</v>
      </c>
      <c r="L473" s="21" t="s">
        <v>4134</v>
      </c>
      <c r="M473" s="26" t="s">
        <v>59</v>
      </c>
      <c r="N473" s="25" t="s">
        <v>4135</v>
      </c>
      <c r="O473" s="21" t="s">
        <v>4136</v>
      </c>
      <c r="P473" s="24">
        <v>24.0</v>
      </c>
      <c r="Q473" s="24"/>
      <c r="R473" s="24">
        <v>29.0</v>
      </c>
      <c r="S473" s="24">
        <v>2016.0</v>
      </c>
      <c r="T473" s="21" t="s">
        <v>4137</v>
      </c>
      <c r="U473" s="24">
        <v>24.25</v>
      </c>
      <c r="V473" s="24" t="s">
        <v>4495</v>
      </c>
      <c r="W473" s="24" t="s">
        <v>4495</v>
      </c>
      <c r="X473" s="24" t="s">
        <v>4495</v>
      </c>
      <c r="Y473" s="27" t="s">
        <v>4495</v>
      </c>
      <c r="Z473" s="27">
        <v>0.3227870895109485</v>
      </c>
      <c r="AA473" s="27" t="s">
        <v>4495</v>
      </c>
      <c r="AB473" s="27" t="s">
        <v>4495</v>
      </c>
      <c r="AC473" s="27">
        <v>0.7263711070177566</v>
      </c>
      <c r="AD473" s="27">
        <v>0.1533338830795128</v>
      </c>
      <c r="AE473" s="28" t="s">
        <v>4501</v>
      </c>
    </row>
    <row r="474" ht="21.0" customHeight="1">
      <c r="A474" s="10" t="s">
        <v>2383</v>
      </c>
      <c r="B474" s="15" t="s">
        <v>4139</v>
      </c>
      <c r="C474" s="12" t="s">
        <v>4140</v>
      </c>
      <c r="D474" s="13">
        <v>43905.0</v>
      </c>
      <c r="E474" s="14">
        <v>2020.0</v>
      </c>
      <c r="G474" s="15" t="s">
        <v>42</v>
      </c>
      <c r="H474" s="14">
        <v>17.0</v>
      </c>
      <c r="I474" s="14">
        <v>261.0</v>
      </c>
      <c r="J474" s="16"/>
      <c r="K474" s="15" t="s">
        <v>4142</v>
      </c>
      <c r="L474" s="15" t="s">
        <v>4143</v>
      </c>
      <c r="M474" s="17" t="s">
        <v>31</v>
      </c>
      <c r="N474" s="16"/>
      <c r="O474" s="15" t="s">
        <v>4144</v>
      </c>
      <c r="P474" s="14"/>
      <c r="Q474" s="14"/>
      <c r="R474" s="14">
        <v>32.0</v>
      </c>
      <c r="S474" s="14"/>
      <c r="T474" s="15" t="s">
        <v>4145</v>
      </c>
      <c r="U474" s="14">
        <v>8.5</v>
      </c>
      <c r="V474" s="14">
        <v>0.12901631240731587</v>
      </c>
      <c r="W474" s="14" t="s">
        <v>4495</v>
      </c>
      <c r="X474" s="14" t="s">
        <v>4495</v>
      </c>
      <c r="Y474" s="18" t="s">
        <v>4495</v>
      </c>
      <c r="Z474" s="18">
        <v>0.35620389963626176</v>
      </c>
      <c r="AA474" s="18" t="s">
        <v>4495</v>
      </c>
      <c r="AB474" s="18">
        <v>1.0</v>
      </c>
      <c r="AC474" s="18">
        <v>0.3146863851457374</v>
      </c>
      <c r="AD474" s="18">
        <v>0.27051961342363917</v>
      </c>
      <c r="AE474" s="19" t="s">
        <v>4497</v>
      </c>
    </row>
    <row r="475" ht="21.0" customHeight="1">
      <c r="A475" s="20" t="s">
        <v>2383</v>
      </c>
      <c r="B475" s="21" t="s">
        <v>4146</v>
      </c>
      <c r="C475" s="22" t="s">
        <v>4147</v>
      </c>
      <c r="D475" s="23"/>
      <c r="E475" s="24"/>
      <c r="F475" s="21" t="s">
        <v>26</v>
      </c>
      <c r="H475" s="24">
        <v>17.0</v>
      </c>
      <c r="I475" s="24">
        <v>189.0</v>
      </c>
      <c r="J475" s="25"/>
      <c r="K475" s="21" t="s">
        <v>4148</v>
      </c>
      <c r="M475" s="26" t="s">
        <v>31</v>
      </c>
      <c r="N475" s="25"/>
      <c r="P475" s="24"/>
      <c r="Q475" s="24"/>
      <c r="R475" s="24">
        <v>38.0</v>
      </c>
      <c r="S475" s="24"/>
      <c r="T475" s="21" t="s">
        <v>4149</v>
      </c>
      <c r="U475" s="24">
        <v>14.2</v>
      </c>
      <c r="V475" s="24" t="s">
        <v>4495</v>
      </c>
      <c r="W475" s="24" t="s">
        <v>4495</v>
      </c>
      <c r="X475" s="24" t="s">
        <v>4495</v>
      </c>
      <c r="Y475" s="27" t="s">
        <v>4495</v>
      </c>
      <c r="Z475" s="27">
        <v>0.4147749215282351</v>
      </c>
      <c r="AA475" s="27" t="s">
        <v>4495</v>
      </c>
      <c r="AB475" s="27" t="s">
        <v>4495</v>
      </c>
      <c r="AC475" s="27">
        <v>0.5126265516233153</v>
      </c>
      <c r="AD475" s="27">
        <v>0.15495638554439028</v>
      </c>
      <c r="AE475" s="28" t="s">
        <v>4497</v>
      </c>
    </row>
    <row r="476" ht="21.0" customHeight="1">
      <c r="A476" s="10" t="s">
        <v>2383</v>
      </c>
      <c r="B476" s="15" t="s">
        <v>4151</v>
      </c>
      <c r="C476" s="12" t="s">
        <v>4152</v>
      </c>
      <c r="D476" s="13"/>
      <c r="E476" s="14"/>
      <c r="F476" s="15" t="s">
        <v>2386</v>
      </c>
      <c r="G476" s="15" t="s">
        <v>42</v>
      </c>
      <c r="H476" s="14">
        <v>16.0</v>
      </c>
      <c r="I476" s="14">
        <v>515.0</v>
      </c>
      <c r="J476" s="16"/>
      <c r="K476" s="15" t="s">
        <v>4154</v>
      </c>
      <c r="L476" s="15" t="s">
        <v>4155</v>
      </c>
      <c r="M476" s="17" t="s">
        <v>31</v>
      </c>
      <c r="N476" s="16"/>
      <c r="O476" s="15" t="s">
        <v>4156</v>
      </c>
      <c r="P476" s="14">
        <v>8.0</v>
      </c>
      <c r="Q476" s="14"/>
      <c r="R476" s="14">
        <v>17.0</v>
      </c>
      <c r="S476" s="14"/>
      <c r="T476" s="15" t="s">
        <v>4157</v>
      </c>
      <c r="U476" s="14">
        <v>18.5714285714285</v>
      </c>
      <c r="V476" s="14" t="s">
        <v>4495</v>
      </c>
      <c r="W476" s="14" t="s">
        <v>4495</v>
      </c>
      <c r="X476" s="14" t="s">
        <v>4495</v>
      </c>
      <c r="Y476" s="18" t="s">
        <v>4495</v>
      </c>
      <c r="Z476" s="18">
        <v>0.14368593880932898</v>
      </c>
      <c r="AA476" s="18" t="s">
        <v>4495</v>
      </c>
      <c r="AB476" s="18" t="s">
        <v>4495</v>
      </c>
      <c r="AC476" s="18">
        <v>0.619081888419464</v>
      </c>
      <c r="AD476" s="18">
        <v>0.09782967354427866</v>
      </c>
      <c r="AE476" s="19" t="s">
        <v>4497</v>
      </c>
    </row>
    <row r="477" ht="21.0" customHeight="1">
      <c r="A477" s="20" t="s">
        <v>2383</v>
      </c>
      <c r="B477" s="21" t="s">
        <v>4159</v>
      </c>
      <c r="C477" s="22" t="s">
        <v>4160</v>
      </c>
      <c r="D477" s="23">
        <v>43340.0</v>
      </c>
      <c r="E477" s="24">
        <v>2018.0</v>
      </c>
      <c r="F477" s="21" t="s">
        <v>2386</v>
      </c>
      <c r="G477" s="21" t="s">
        <v>42</v>
      </c>
      <c r="H477" s="24">
        <v>16.0</v>
      </c>
      <c r="I477" s="24">
        <v>244.0</v>
      </c>
      <c r="J477" s="25" t="s">
        <v>4162</v>
      </c>
      <c r="K477" s="21" t="s">
        <v>4163</v>
      </c>
      <c r="L477" s="21" t="s">
        <v>4164</v>
      </c>
      <c r="M477" s="26" t="s">
        <v>59</v>
      </c>
      <c r="N477" s="25" t="s">
        <v>4165</v>
      </c>
      <c r="O477" s="21" t="s">
        <v>4166</v>
      </c>
      <c r="P477" s="24">
        <v>11.0</v>
      </c>
      <c r="Q477" s="24"/>
      <c r="R477" s="24">
        <v>36.0</v>
      </c>
      <c r="S477" s="24">
        <v>2018.0</v>
      </c>
      <c r="T477" s="21" t="s">
        <v>4167</v>
      </c>
      <c r="U477" s="24">
        <v>8.75</v>
      </c>
      <c r="V477" s="24">
        <v>0.09428129829984544</v>
      </c>
      <c r="W477" s="24">
        <v>0.0</v>
      </c>
      <c r="X477" s="24" t="s">
        <v>4495</v>
      </c>
      <c r="Y477" s="27" t="s">
        <v>4495</v>
      </c>
      <c r="Z477" s="27">
        <v>0.3963174424868398</v>
      </c>
      <c r="AA477" s="27">
        <v>1.0</v>
      </c>
      <c r="AB477" s="27">
        <v>1.0</v>
      </c>
      <c r="AC477" s="27">
        <v>0.3256258583392715</v>
      </c>
      <c r="AD477" s="27">
        <v>0.48164194645563707</v>
      </c>
      <c r="AE477" s="28" t="s">
        <v>4501</v>
      </c>
    </row>
    <row r="478" ht="21.0" customHeight="1">
      <c r="A478" s="10" t="s">
        <v>2383</v>
      </c>
      <c r="B478" s="15" t="s">
        <v>4169</v>
      </c>
      <c r="C478" s="12" t="s">
        <v>4170</v>
      </c>
      <c r="D478" s="13">
        <v>41925.0</v>
      </c>
      <c r="E478" s="14">
        <v>2014.0</v>
      </c>
      <c r="F478" s="15" t="s">
        <v>2386</v>
      </c>
      <c r="G478" s="15" t="s">
        <v>2455</v>
      </c>
      <c r="H478" s="14">
        <v>16.0</v>
      </c>
      <c r="I478" s="14">
        <v>125.0</v>
      </c>
      <c r="J478" s="16" t="s">
        <v>4172</v>
      </c>
      <c r="K478" s="15" t="s">
        <v>4173</v>
      </c>
      <c r="L478" s="15" t="s">
        <v>4174</v>
      </c>
      <c r="M478" s="17" t="s">
        <v>59</v>
      </c>
      <c r="N478" s="16" t="s">
        <v>4175</v>
      </c>
      <c r="O478" s="15" t="s">
        <v>4176</v>
      </c>
      <c r="P478" s="14"/>
      <c r="Q478" s="14"/>
      <c r="R478" s="14">
        <v>24.0</v>
      </c>
      <c r="S478" s="14">
        <v>2014.0</v>
      </c>
      <c r="T478" s="15" t="s">
        <v>4177</v>
      </c>
      <c r="U478" s="14">
        <v>20.5555555555555</v>
      </c>
      <c r="V478" s="14">
        <v>0.031226580064951288</v>
      </c>
      <c r="W478" s="14">
        <v>0.0</v>
      </c>
      <c r="X478" s="14" t="s">
        <v>4495</v>
      </c>
      <c r="Y478" s="18" t="s">
        <v>4495</v>
      </c>
      <c r="Z478" s="18">
        <v>0.25886312191752414</v>
      </c>
      <c r="AA478" s="18">
        <v>1.0</v>
      </c>
      <c r="AB478" s="18">
        <v>1.0</v>
      </c>
      <c r="AC478" s="18">
        <v>0.6597489311801112</v>
      </c>
      <c r="AD478" s="18">
        <v>0.4806906735973922</v>
      </c>
      <c r="AE478" s="19" t="s">
        <v>4499</v>
      </c>
    </row>
    <row r="479" ht="21.0" customHeight="1">
      <c r="A479" s="20" t="s">
        <v>2383</v>
      </c>
      <c r="B479" s="21" t="s">
        <v>4179</v>
      </c>
      <c r="C479" s="22" t="s">
        <v>4180</v>
      </c>
      <c r="D479" s="23">
        <v>44279.0</v>
      </c>
      <c r="E479" s="24">
        <v>2021.0</v>
      </c>
      <c r="F479" s="21" t="s">
        <v>2386</v>
      </c>
      <c r="G479" s="21" t="s">
        <v>1801</v>
      </c>
      <c r="H479" s="24">
        <v>16.0</v>
      </c>
      <c r="I479" s="24">
        <v>176.0</v>
      </c>
      <c r="J479" s="25" t="s">
        <v>4182</v>
      </c>
      <c r="K479" s="21" t="s">
        <v>4183</v>
      </c>
      <c r="M479" s="26" t="s">
        <v>31</v>
      </c>
      <c r="N479" s="25"/>
      <c r="P479" s="24"/>
      <c r="Q479" s="24"/>
      <c r="R479" s="24">
        <v>97.0</v>
      </c>
      <c r="S479" s="24">
        <v>2021.0</v>
      </c>
      <c r="T479" s="21" t="s">
        <v>4184</v>
      </c>
      <c r="U479" s="24">
        <v>35.25</v>
      </c>
      <c r="V479" s="24">
        <v>0.10673135233474833</v>
      </c>
      <c r="W479" s="24">
        <v>0.0</v>
      </c>
      <c r="X479" s="24" t="s">
        <v>4495</v>
      </c>
      <c r="Y479" s="27" t="s">
        <v>4495</v>
      </c>
      <c r="Z479" s="27">
        <v>0.7378300644058394</v>
      </c>
      <c r="AA479" s="27">
        <v>1.0</v>
      </c>
      <c r="AB479" s="27">
        <v>1.0</v>
      </c>
      <c r="AC479" s="27">
        <v>0.8786630843936165</v>
      </c>
      <c r="AD479" s="27">
        <v>0.6223238245408216</v>
      </c>
      <c r="AE479" s="28" t="s">
        <v>4497</v>
      </c>
    </row>
    <row r="480" ht="21.0" customHeight="1">
      <c r="A480" s="10" t="s">
        <v>2383</v>
      </c>
      <c r="B480" s="15" t="s">
        <v>4186</v>
      </c>
      <c r="C480" s="12" t="s">
        <v>4187</v>
      </c>
      <c r="D480" s="13">
        <v>43550.0</v>
      </c>
      <c r="E480" s="14">
        <v>2019.0</v>
      </c>
      <c r="F480" s="15" t="s">
        <v>2386</v>
      </c>
      <c r="G480" s="15" t="s">
        <v>42</v>
      </c>
      <c r="H480" s="14">
        <v>16.0</v>
      </c>
      <c r="I480" s="14">
        <v>131.0</v>
      </c>
      <c r="J480" s="16" t="s">
        <v>4189</v>
      </c>
      <c r="K480" s="15" t="s">
        <v>4190</v>
      </c>
      <c r="L480" s="15" t="s">
        <v>4191</v>
      </c>
      <c r="M480" s="17" t="s">
        <v>59</v>
      </c>
      <c r="N480" s="16" t="s">
        <v>4192</v>
      </c>
      <c r="O480" s="15" t="s">
        <v>4193</v>
      </c>
      <c r="P480" s="14">
        <v>15.0</v>
      </c>
      <c r="Q480" s="14"/>
      <c r="R480" s="14">
        <v>36.0</v>
      </c>
      <c r="S480" s="14">
        <v>2018.0</v>
      </c>
      <c r="T480" s="15" t="s">
        <v>4194</v>
      </c>
      <c r="U480" s="14">
        <v>16.0</v>
      </c>
      <c r="V480" s="14">
        <v>0.055088309503784696</v>
      </c>
      <c r="W480" s="14">
        <v>1.0</v>
      </c>
      <c r="X480" s="14" t="s">
        <v>4495</v>
      </c>
      <c r="Y480" s="18" t="s">
        <v>4495</v>
      </c>
      <c r="Z480" s="18">
        <v>0.3963174424868398</v>
      </c>
      <c r="AA480" s="18">
        <v>1.0</v>
      </c>
      <c r="AB480" s="18">
        <v>1.0</v>
      </c>
      <c r="AC480" s="18">
        <v>0.5597603386555386</v>
      </c>
      <c r="AD480" s="18">
        <v>0.5050553944872638</v>
      </c>
      <c r="AE480" s="19" t="s">
        <v>4501</v>
      </c>
    </row>
    <row r="481" ht="21.0" customHeight="1">
      <c r="A481" s="20" t="s">
        <v>2383</v>
      </c>
      <c r="B481" s="21" t="s">
        <v>4195</v>
      </c>
      <c r="C481" s="22" t="s">
        <v>4196</v>
      </c>
      <c r="D481" s="23">
        <v>43627.0</v>
      </c>
      <c r="E481" s="24">
        <v>2019.0</v>
      </c>
      <c r="F481" s="21" t="s">
        <v>2398</v>
      </c>
      <c r="G481" s="21" t="s">
        <v>1801</v>
      </c>
      <c r="H481" s="24">
        <v>16.0</v>
      </c>
      <c r="I481" s="24">
        <v>182.0</v>
      </c>
      <c r="J481" s="25" t="s">
        <v>4198</v>
      </c>
      <c r="K481" s="21" t="s">
        <v>4199</v>
      </c>
      <c r="M481" s="26" t="s">
        <v>31</v>
      </c>
      <c r="N481" s="25"/>
      <c r="P481" s="24"/>
      <c r="Q481" s="24"/>
      <c r="R481" s="24">
        <v>32.0</v>
      </c>
      <c r="S481" s="24">
        <v>2018.0</v>
      </c>
      <c r="T481" s="21" t="s">
        <v>4200</v>
      </c>
      <c r="U481" s="24">
        <v>19.3333333333333</v>
      </c>
      <c r="V481" s="24">
        <v>0.07909604519774012</v>
      </c>
      <c r="W481" s="24">
        <v>1.0</v>
      </c>
      <c r="X481" s="24" t="s">
        <v>4495</v>
      </c>
      <c r="Y481" s="27" t="s">
        <v>4495</v>
      </c>
      <c r="Z481" s="27">
        <v>0.35620389963626176</v>
      </c>
      <c r="AA481" s="27">
        <v>1.0</v>
      </c>
      <c r="AB481" s="27">
        <v>1.0</v>
      </c>
      <c r="AC481" s="27">
        <v>0.6351657920078956</v>
      </c>
      <c r="AD481" s="27">
        <v>0.502567554109855</v>
      </c>
      <c r="AE481" s="28" t="s">
        <v>4497</v>
      </c>
    </row>
    <row r="482" ht="21.0" customHeight="1">
      <c r="A482" s="10" t="s">
        <v>2383</v>
      </c>
      <c r="B482" s="15" t="s">
        <v>4202</v>
      </c>
      <c r="C482" s="12" t="s">
        <v>4203</v>
      </c>
      <c r="D482" s="13">
        <v>43164.0</v>
      </c>
      <c r="E482" s="14">
        <v>2018.0</v>
      </c>
      <c r="F482" s="15" t="s">
        <v>2386</v>
      </c>
      <c r="G482" s="15" t="s">
        <v>42</v>
      </c>
      <c r="H482" s="14">
        <v>16.0</v>
      </c>
      <c r="I482" s="14">
        <v>248.0</v>
      </c>
      <c r="J482" s="16" t="s">
        <v>4206</v>
      </c>
      <c r="K482" s="15" t="s">
        <v>4207</v>
      </c>
      <c r="L482" s="15" t="s">
        <v>4208</v>
      </c>
      <c r="M482" s="17" t="s">
        <v>31</v>
      </c>
      <c r="N482" s="16"/>
      <c r="O482" s="15" t="s">
        <v>4209</v>
      </c>
      <c r="P482" s="14">
        <v>16.0</v>
      </c>
      <c r="Q482" s="14"/>
      <c r="R482" s="14">
        <v>49.0</v>
      </c>
      <c r="S482" s="14"/>
      <c r="T482" s="15" t="s">
        <v>4210</v>
      </c>
      <c r="U482" s="14">
        <v>15.2</v>
      </c>
      <c r="V482" s="14">
        <v>0.08972503617945007</v>
      </c>
      <c r="W482" s="14" t="s">
        <v>4495</v>
      </c>
      <c r="X482" s="14" t="s">
        <v>4495</v>
      </c>
      <c r="Y482" s="18" t="s">
        <v>4495</v>
      </c>
      <c r="Z482" s="18">
        <v>0.5018882402125678</v>
      </c>
      <c r="AA482" s="18" t="s">
        <v>4495</v>
      </c>
      <c r="AB482" s="18">
        <v>1.0</v>
      </c>
      <c r="AC482" s="18">
        <v>0.5394602144337074</v>
      </c>
      <c r="AD482" s="18">
        <v>0.3294180814965127</v>
      </c>
      <c r="AE482" s="19" t="s">
        <v>4497</v>
      </c>
    </row>
    <row r="483" ht="21.0" customHeight="1">
      <c r="A483" s="20" t="s">
        <v>2383</v>
      </c>
      <c r="B483" s="21" t="s">
        <v>4212</v>
      </c>
      <c r="C483" s="22" t="s">
        <v>4213</v>
      </c>
      <c r="D483" s="23">
        <v>43798.0</v>
      </c>
      <c r="E483" s="24">
        <v>2019.0</v>
      </c>
      <c r="G483" s="21" t="s">
        <v>42</v>
      </c>
      <c r="H483" s="24">
        <v>16.0</v>
      </c>
      <c r="I483" s="24">
        <v>270.0</v>
      </c>
      <c r="J483" s="25"/>
      <c r="K483" s="21" t="s">
        <v>4215</v>
      </c>
      <c r="L483" s="21" t="s">
        <v>4216</v>
      </c>
      <c r="M483" s="26" t="s">
        <v>31</v>
      </c>
      <c r="N483" s="25"/>
      <c r="P483" s="24"/>
      <c r="Q483" s="24"/>
      <c r="R483" s="24">
        <v>29.0</v>
      </c>
      <c r="S483" s="24"/>
      <c r="T483" s="21" t="s">
        <v>4217</v>
      </c>
      <c r="U483" s="24">
        <v>21.6666666666666</v>
      </c>
      <c r="V483" s="24">
        <v>0.1267605633802817</v>
      </c>
      <c r="W483" s="24" t="s">
        <v>4495</v>
      </c>
      <c r="X483" s="24" t="s">
        <v>4495</v>
      </c>
      <c r="Y483" s="27" t="s">
        <v>4495</v>
      </c>
      <c r="Z483" s="27">
        <v>0.3227870895109485</v>
      </c>
      <c r="AA483" s="27" t="s">
        <v>4495</v>
      </c>
      <c r="AB483" s="27">
        <v>1.0</v>
      </c>
      <c r="AC483" s="27">
        <v>0.6809165037794195</v>
      </c>
      <c r="AD483" s="27">
        <v>0.2987884227556791</v>
      </c>
      <c r="AE483" s="28" t="s">
        <v>4497</v>
      </c>
    </row>
    <row r="484" ht="21.0" customHeight="1">
      <c r="A484" s="10" t="s">
        <v>2383</v>
      </c>
      <c r="B484" s="15" t="s">
        <v>4218</v>
      </c>
      <c r="C484" s="12" t="s">
        <v>4219</v>
      </c>
      <c r="D484" s="13"/>
      <c r="E484" s="14"/>
      <c r="G484" s="15" t="s">
        <v>42</v>
      </c>
      <c r="H484" s="14">
        <v>16.0</v>
      </c>
      <c r="I484" s="14">
        <v>513.0</v>
      </c>
      <c r="J484" s="16"/>
      <c r="K484" s="15" t="s">
        <v>4220</v>
      </c>
      <c r="L484" s="15" t="s">
        <v>4221</v>
      </c>
      <c r="M484" s="17" t="s">
        <v>59</v>
      </c>
      <c r="N484" s="16" t="s">
        <v>4222</v>
      </c>
      <c r="O484" s="15" t="s">
        <v>4223</v>
      </c>
      <c r="P484" s="14">
        <v>5.0</v>
      </c>
      <c r="Q484" s="14"/>
      <c r="R484" s="14">
        <v>15.0</v>
      </c>
      <c r="S484" s="14">
        <v>2015.0</v>
      </c>
      <c r="T484" s="15" t="s">
        <v>4224</v>
      </c>
      <c r="U484" s="14">
        <v>5.5</v>
      </c>
      <c r="V484" s="14" t="s">
        <v>4495</v>
      </c>
      <c r="W484" s="14" t="s">
        <v>4495</v>
      </c>
      <c r="X484" s="14" t="s">
        <v>4495</v>
      </c>
      <c r="Y484" s="18" t="s">
        <v>4495</v>
      </c>
      <c r="Z484" s="18">
        <v>0.10238989523252559</v>
      </c>
      <c r="AA484" s="18" t="s">
        <v>4495</v>
      </c>
      <c r="AB484" s="18" t="s">
        <v>4495</v>
      </c>
      <c r="AC484" s="18">
        <v>0.15486583436120666</v>
      </c>
      <c r="AD484" s="18">
        <v>0.04108405724425206</v>
      </c>
      <c r="AE484" s="19" t="s">
        <v>4499</v>
      </c>
    </row>
    <row r="485" ht="21.0" customHeight="1">
      <c r="A485" s="20" t="s">
        <v>2383</v>
      </c>
      <c r="B485" s="21" t="s">
        <v>4225</v>
      </c>
      <c r="C485" s="22" t="s">
        <v>4226</v>
      </c>
      <c r="D485" s="23"/>
      <c r="E485" s="24"/>
      <c r="F485" s="21" t="s">
        <v>2386</v>
      </c>
      <c r="G485" s="21" t="s">
        <v>42</v>
      </c>
      <c r="H485" s="24">
        <v>16.0</v>
      </c>
      <c r="I485" s="24">
        <v>239.0</v>
      </c>
      <c r="J485" s="25"/>
      <c r="K485" s="21" t="s">
        <v>4227</v>
      </c>
      <c r="L485" s="21" t="s">
        <v>4228</v>
      </c>
      <c r="M485" s="26" t="s">
        <v>31</v>
      </c>
      <c r="N485" s="25"/>
      <c r="O485" s="21" t="s">
        <v>4229</v>
      </c>
      <c r="P485" s="24">
        <v>11.0</v>
      </c>
      <c r="Q485" s="24"/>
      <c r="R485" s="24">
        <v>15.0</v>
      </c>
      <c r="S485" s="24"/>
      <c r="T485" s="21" t="s">
        <v>34</v>
      </c>
      <c r="U485" s="24">
        <v>14.0</v>
      </c>
      <c r="V485" s="24" t="s">
        <v>4495</v>
      </c>
      <c r="W485" s="24" t="s">
        <v>4495</v>
      </c>
      <c r="X485" s="24" t="s">
        <v>4495</v>
      </c>
      <c r="Y485" s="27" t="s">
        <v>4495</v>
      </c>
      <c r="Z485" s="27">
        <v>0.10238989523252559</v>
      </c>
      <c r="AA485" s="27" t="s">
        <v>4495</v>
      </c>
      <c r="AB485" s="27" t="s">
        <v>4495</v>
      </c>
      <c r="AC485" s="27">
        <v>0.5070483768501975</v>
      </c>
      <c r="AD485" s="27">
        <v>0.07630231149315116</v>
      </c>
      <c r="AE485" s="28" t="s">
        <v>4497</v>
      </c>
    </row>
    <row r="486" ht="21.0" customHeight="1">
      <c r="A486" s="10" t="s">
        <v>2383</v>
      </c>
      <c r="B486" s="15" t="s">
        <v>4230</v>
      </c>
      <c r="C486" s="12" t="s">
        <v>4231</v>
      </c>
      <c r="D486" s="13">
        <v>44049.0</v>
      </c>
      <c r="E486" s="14">
        <v>2020.0</v>
      </c>
      <c r="F486" s="15" t="s">
        <v>2417</v>
      </c>
      <c r="G486" s="15" t="s">
        <v>42</v>
      </c>
      <c r="H486" s="14">
        <v>16.0</v>
      </c>
      <c r="I486" s="14">
        <v>148.0</v>
      </c>
      <c r="J486" s="16" t="s">
        <v>4233</v>
      </c>
      <c r="K486" s="15" t="s">
        <v>4234</v>
      </c>
      <c r="L486" s="15" t="s">
        <v>4235</v>
      </c>
      <c r="M486" s="17" t="s">
        <v>59</v>
      </c>
      <c r="N486" s="16" t="s">
        <v>4236</v>
      </c>
      <c r="P486" s="14"/>
      <c r="Q486" s="14"/>
      <c r="R486" s="14">
        <v>65.0</v>
      </c>
      <c r="S486" s="14">
        <v>2020.0</v>
      </c>
      <c r="T486" s="15" t="s">
        <v>4237</v>
      </c>
      <c r="U486" s="14">
        <v>38.25</v>
      </c>
      <c r="V486" s="14">
        <v>0.07876530069185737</v>
      </c>
      <c r="W486" s="14">
        <v>0.0</v>
      </c>
      <c r="X486" s="14" t="s">
        <v>4495</v>
      </c>
      <c r="Y486" s="18" t="s">
        <v>4495</v>
      </c>
      <c r="Z486" s="18">
        <v>0.5992290179313052</v>
      </c>
      <c r="AA486" s="18">
        <v>1.0</v>
      </c>
      <c r="AB486" s="18">
        <v>1.0</v>
      </c>
      <c r="AC486" s="18">
        <v>0.9121492746984631</v>
      </c>
      <c r="AD486" s="18">
        <v>0.5910221819526726</v>
      </c>
      <c r="AE486" s="19" t="s">
        <v>4501</v>
      </c>
    </row>
    <row r="487" ht="21.0" customHeight="1">
      <c r="A487" s="20" t="s">
        <v>2383</v>
      </c>
      <c r="B487" s="21" t="s">
        <v>4239</v>
      </c>
      <c r="C487" s="22" t="s">
        <v>4240</v>
      </c>
      <c r="D487" s="23">
        <v>43381.0</v>
      </c>
      <c r="E487" s="24">
        <v>2018.0</v>
      </c>
      <c r="F487" s="21" t="s">
        <v>2417</v>
      </c>
      <c r="G487" s="21" t="s">
        <v>42</v>
      </c>
      <c r="H487" s="24">
        <v>16.0</v>
      </c>
      <c r="I487" s="24">
        <v>150.0</v>
      </c>
      <c r="J487" s="25"/>
      <c r="K487" s="21" t="s">
        <v>4241</v>
      </c>
      <c r="L487" s="21" t="s">
        <v>4242</v>
      </c>
      <c r="M487" s="26" t="s">
        <v>31</v>
      </c>
      <c r="N487" s="25"/>
      <c r="P487" s="24"/>
      <c r="Q487" s="24"/>
      <c r="R487" s="24">
        <v>0.0</v>
      </c>
      <c r="S487" s="24"/>
      <c r="U487" s="24"/>
      <c r="V487" s="24">
        <v>0.05889281507656066</v>
      </c>
      <c r="W487" s="24" t="s">
        <v>4495</v>
      </c>
      <c r="X487" s="24" t="s">
        <v>4495</v>
      </c>
      <c r="Y487" s="27" t="s">
        <v>4495</v>
      </c>
      <c r="Z487" s="27">
        <v>0.0</v>
      </c>
      <c r="AA487" s="27" t="s">
        <v>4495</v>
      </c>
      <c r="AB487" s="27">
        <v>1.0</v>
      </c>
      <c r="AC487" s="27" t="s">
        <v>4495</v>
      </c>
      <c r="AD487" s="27">
        <v>0.15</v>
      </c>
      <c r="AE487" s="28" t="s">
        <v>4497</v>
      </c>
    </row>
    <row r="488" ht="21.0" customHeight="1">
      <c r="A488" s="10" t="s">
        <v>2383</v>
      </c>
      <c r="B488" s="15" t="s">
        <v>4243</v>
      </c>
      <c r="C488" s="12" t="s">
        <v>4244</v>
      </c>
      <c r="D488" s="13">
        <v>43657.0</v>
      </c>
      <c r="E488" s="14">
        <v>2019.0</v>
      </c>
      <c r="F488" s="15" t="s">
        <v>2386</v>
      </c>
      <c r="G488" s="15" t="s">
        <v>42</v>
      </c>
      <c r="H488" s="14">
        <v>16.0</v>
      </c>
      <c r="I488" s="14">
        <v>255.0</v>
      </c>
      <c r="J488" s="16" t="s">
        <v>4247</v>
      </c>
      <c r="K488" s="15" t="s">
        <v>4248</v>
      </c>
      <c r="L488" s="15" t="s">
        <v>4249</v>
      </c>
      <c r="M488" s="17" t="s">
        <v>59</v>
      </c>
      <c r="N488" s="16" t="s">
        <v>4250</v>
      </c>
      <c r="O488" s="15" t="s">
        <v>4251</v>
      </c>
      <c r="P488" s="14">
        <v>11.0</v>
      </c>
      <c r="Q488" s="14"/>
      <c r="R488" s="14">
        <v>65.0</v>
      </c>
      <c r="S488" s="14">
        <v>2019.0</v>
      </c>
      <c r="T488" s="15" t="s">
        <v>4252</v>
      </c>
      <c r="U488" s="14">
        <v>24.6666666666666</v>
      </c>
      <c r="V488" s="14">
        <v>0.11228533685601057</v>
      </c>
      <c r="W488" s="14">
        <v>0.0</v>
      </c>
      <c r="X488" s="14" t="s">
        <v>4495</v>
      </c>
      <c r="Y488" s="18" t="s">
        <v>4495</v>
      </c>
      <c r="Z488" s="18">
        <v>0.5992290179313052</v>
      </c>
      <c r="AA488" s="18">
        <v>1.0</v>
      </c>
      <c r="AB488" s="18">
        <v>1.0</v>
      </c>
      <c r="AC488" s="18">
        <v>0.7332639947369389</v>
      </c>
      <c r="AD488" s="18">
        <v>0.5731336539565203</v>
      </c>
      <c r="AE488" s="19" t="s">
        <v>4501</v>
      </c>
    </row>
    <row r="489" ht="21.0" customHeight="1">
      <c r="A489" s="20" t="s">
        <v>2383</v>
      </c>
      <c r="B489" s="21" t="s">
        <v>4254</v>
      </c>
      <c r="C489" s="22" t="s">
        <v>4255</v>
      </c>
      <c r="D489" s="23">
        <v>41506.0</v>
      </c>
      <c r="E489" s="24">
        <v>2013.0</v>
      </c>
      <c r="F489" s="21" t="s">
        <v>2398</v>
      </c>
      <c r="G489" s="21" t="s">
        <v>42</v>
      </c>
      <c r="H489" s="24">
        <v>16.0</v>
      </c>
      <c r="I489" s="24">
        <v>270.0</v>
      </c>
      <c r="J489" s="25"/>
      <c r="K489" s="21" t="s">
        <v>4257</v>
      </c>
      <c r="L489" s="21" t="s">
        <v>4258</v>
      </c>
      <c r="M489" s="26" t="s">
        <v>31</v>
      </c>
      <c r="N489" s="25"/>
      <c r="O489" s="21" t="s">
        <v>4259</v>
      </c>
      <c r="P489" s="24">
        <v>18.0</v>
      </c>
      <c r="Q489" s="24"/>
      <c r="R489" s="24">
        <v>13.0</v>
      </c>
      <c r="S489" s="24"/>
      <c r="T489" s="21" t="s">
        <v>4260</v>
      </c>
      <c r="U489" s="24">
        <v>51.0</v>
      </c>
      <c r="V489" s="24">
        <v>0.06105834464043419</v>
      </c>
      <c r="W489" s="24" t="s">
        <v>4495</v>
      </c>
      <c r="X489" s="24" t="s">
        <v>4495</v>
      </c>
      <c r="Y489" s="27" t="s">
        <v>4495</v>
      </c>
      <c r="Z489" s="27">
        <v>0.055572302376616874</v>
      </c>
      <c r="AA489" s="27" t="s">
        <v>4495</v>
      </c>
      <c r="AB489" s="27">
        <v>1.0</v>
      </c>
      <c r="AC489" s="27">
        <v>1.0</v>
      </c>
      <c r="AD489" s="27">
        <v>0.2638930755941542</v>
      </c>
      <c r="AE489" s="28" t="s">
        <v>4497</v>
      </c>
    </row>
    <row r="490" ht="21.0" customHeight="1">
      <c r="A490" s="10" t="s">
        <v>2383</v>
      </c>
      <c r="B490" s="15" t="s">
        <v>4261</v>
      </c>
      <c r="C490" s="12" t="s">
        <v>4262</v>
      </c>
      <c r="D490" s="13">
        <v>42979.0</v>
      </c>
      <c r="E490" s="14">
        <v>2017.0</v>
      </c>
      <c r="F490" s="15" t="s">
        <v>2386</v>
      </c>
      <c r="G490" s="15" t="s">
        <v>42</v>
      </c>
      <c r="H490" s="14">
        <v>16.0</v>
      </c>
      <c r="I490" s="14">
        <v>242.0</v>
      </c>
      <c r="J490" s="16" t="s">
        <v>4264</v>
      </c>
      <c r="K490" s="15" t="s">
        <v>4265</v>
      </c>
      <c r="L490" s="15" t="s">
        <v>4266</v>
      </c>
      <c r="M490" s="17" t="s">
        <v>59</v>
      </c>
      <c r="N490" s="16" t="s">
        <v>4267</v>
      </c>
      <c r="O490" s="15" t="s">
        <v>4268</v>
      </c>
      <c r="P490" s="14">
        <v>6.0</v>
      </c>
      <c r="Q490" s="14"/>
      <c r="R490" s="14">
        <v>23.0</v>
      </c>
      <c r="S490" s="14">
        <v>2016.0</v>
      </c>
      <c r="T490" s="15" t="s">
        <v>4269</v>
      </c>
      <c r="U490" s="14">
        <v>15.5</v>
      </c>
      <c r="V490" s="14">
        <v>0.08206171583587657</v>
      </c>
      <c r="W490" s="14">
        <v>1.0</v>
      </c>
      <c r="X490" s="14" t="s">
        <v>4495</v>
      </c>
      <c r="Y490" s="18" t="s">
        <v>4495</v>
      </c>
      <c r="Z490" s="18">
        <v>0.24455047616844922</v>
      </c>
      <c r="AA490" s="18">
        <v>1.0</v>
      </c>
      <c r="AB490" s="18">
        <v>1.0</v>
      </c>
      <c r="AC490" s="18">
        <v>0.5471878814913675</v>
      </c>
      <c r="AD490" s="18">
        <v>0.4658564071912491</v>
      </c>
      <c r="AE490" s="19" t="s">
        <v>4501</v>
      </c>
    </row>
    <row r="491" ht="21.0" customHeight="1">
      <c r="A491" s="20" t="s">
        <v>2383</v>
      </c>
      <c r="B491" s="21" t="s">
        <v>4270</v>
      </c>
      <c r="C491" s="22" t="s">
        <v>4271</v>
      </c>
      <c r="D491" s="23">
        <v>43705.0</v>
      </c>
      <c r="E491" s="24">
        <v>2019.0</v>
      </c>
      <c r="F491" s="21" t="s">
        <v>2386</v>
      </c>
      <c r="G491" s="21" t="s">
        <v>42</v>
      </c>
      <c r="H491" s="24">
        <v>15.0</v>
      </c>
      <c r="I491" s="24">
        <v>176.0</v>
      </c>
      <c r="J491" s="25" t="s">
        <v>4273</v>
      </c>
      <c r="K491" s="21" t="s">
        <v>4274</v>
      </c>
      <c r="L491" s="21" t="s">
        <v>4275</v>
      </c>
      <c r="M491" s="26" t="s">
        <v>59</v>
      </c>
      <c r="N491" s="25" t="s">
        <v>4276</v>
      </c>
      <c r="O491" s="21" t="s">
        <v>4277</v>
      </c>
      <c r="P491" s="24">
        <v>20.0</v>
      </c>
      <c r="Q491" s="24"/>
      <c r="R491" s="24">
        <v>79.0</v>
      </c>
      <c r="S491" s="24">
        <v>2018.0</v>
      </c>
      <c r="T491" s="21" t="s">
        <v>4278</v>
      </c>
      <c r="U491" s="24">
        <v>47.0</v>
      </c>
      <c r="V491" s="24">
        <v>0.07917228969860549</v>
      </c>
      <c r="W491" s="24">
        <v>1.0</v>
      </c>
      <c r="X491" s="24" t="s">
        <v>4495</v>
      </c>
      <c r="Y491" s="27" t="s">
        <v>4495</v>
      </c>
      <c r="Z491" s="27">
        <v>0.6666767451651121</v>
      </c>
      <c r="AA491" s="27">
        <v>1.0</v>
      </c>
      <c r="AB491" s="27">
        <v>1.0</v>
      </c>
      <c r="AC491" s="27">
        <v>0.9969047324297223</v>
      </c>
      <c r="AD491" s="27">
        <v>0.6163596595342502</v>
      </c>
      <c r="AE491" s="28" t="s">
        <v>4501</v>
      </c>
    </row>
    <row r="492" ht="21.0" customHeight="1">
      <c r="A492" s="10" t="s">
        <v>21</v>
      </c>
      <c r="B492" s="15" t="s">
        <v>51</v>
      </c>
      <c r="C492" s="12" t="s">
        <v>52</v>
      </c>
      <c r="D492" s="13">
        <v>41361.0</v>
      </c>
      <c r="E492" s="14">
        <v>2013.0</v>
      </c>
      <c r="F492" s="15" t="s">
        <v>41</v>
      </c>
      <c r="G492" s="15" t="s">
        <v>42</v>
      </c>
      <c r="H492" s="14">
        <v>77.0</v>
      </c>
      <c r="I492" s="14">
        <v>1307.0</v>
      </c>
      <c r="J492" s="16"/>
      <c r="K492" s="15" t="s">
        <v>57</v>
      </c>
      <c r="L492" s="15" t="s">
        <v>58</v>
      </c>
      <c r="M492" s="17" t="s">
        <v>59</v>
      </c>
      <c r="N492" s="29" t="s">
        <v>60</v>
      </c>
      <c r="O492" s="15" t="s">
        <v>61</v>
      </c>
      <c r="P492" s="14">
        <v>24.0</v>
      </c>
      <c r="Q492" s="14"/>
      <c r="R492" s="14">
        <v>147.0</v>
      </c>
      <c r="S492" s="14"/>
      <c r="T492" s="15" t="s">
        <v>64</v>
      </c>
      <c r="U492" s="14">
        <v>27.0</v>
      </c>
      <c r="V492" s="14">
        <v>0.28618349025618567</v>
      </c>
      <c r="W492" s="14" t="s">
        <v>4495</v>
      </c>
      <c r="X492" s="14" t="s">
        <v>4495</v>
      </c>
      <c r="Y492" s="18" t="s">
        <v>4495</v>
      </c>
      <c r="Z492" s="18">
        <v>0.882367679076927</v>
      </c>
      <c r="AA492" s="18" t="s">
        <v>4495</v>
      </c>
      <c r="AB492" s="18">
        <v>1.0</v>
      </c>
      <c r="AC492" s="18">
        <v>0.7699084914494659</v>
      </c>
      <c r="AD492" s="18">
        <v>0.44758276891417836</v>
      </c>
      <c r="AE492" s="19" t="s">
        <v>4498</v>
      </c>
    </row>
    <row r="493" ht="21.0" customHeight="1">
      <c r="A493" s="20" t="s">
        <v>2383</v>
      </c>
      <c r="B493" s="21" t="s">
        <v>4289</v>
      </c>
      <c r="C493" s="22" t="s">
        <v>4290</v>
      </c>
      <c r="D493" s="23">
        <v>42750.0</v>
      </c>
      <c r="E493" s="24">
        <v>2017.0</v>
      </c>
      <c r="F493" s="21" t="s">
        <v>2386</v>
      </c>
      <c r="G493" s="21" t="s">
        <v>42</v>
      </c>
      <c r="H493" s="24">
        <v>15.0</v>
      </c>
      <c r="I493" s="24">
        <v>213.0</v>
      </c>
      <c r="J493" s="25"/>
      <c r="K493" s="21" t="s">
        <v>4292</v>
      </c>
      <c r="L493" s="21" t="s">
        <v>4293</v>
      </c>
      <c r="M493" s="26" t="s">
        <v>31</v>
      </c>
      <c r="N493" s="25"/>
      <c r="O493" s="21" t="s">
        <v>4294</v>
      </c>
      <c r="P493" s="24">
        <v>20.0</v>
      </c>
      <c r="Q493" s="24"/>
      <c r="R493" s="24">
        <v>59.0</v>
      </c>
      <c r="S493" s="24"/>
      <c r="T493" s="21" t="s">
        <v>4295</v>
      </c>
      <c r="U493" s="24">
        <v>16.0</v>
      </c>
      <c r="V493" s="24">
        <v>0.0670232850849591</v>
      </c>
      <c r="W493" s="24" t="s">
        <v>4495</v>
      </c>
      <c r="X493" s="24" t="s">
        <v>4495</v>
      </c>
      <c r="Y493" s="27" t="s">
        <v>4495</v>
      </c>
      <c r="Z493" s="27">
        <v>0.5658122078059921</v>
      </c>
      <c r="AA493" s="27" t="s">
        <v>4495</v>
      </c>
      <c r="AB493" s="27">
        <v>1.0</v>
      </c>
      <c r="AC493" s="27">
        <v>0.5597603386555386</v>
      </c>
      <c r="AD493" s="27">
        <v>0.3474290858170519</v>
      </c>
      <c r="AE493" s="28" t="s">
        <v>4497</v>
      </c>
    </row>
    <row r="494" ht="21.0" customHeight="1">
      <c r="A494" s="10" t="s">
        <v>2383</v>
      </c>
      <c r="B494" s="15" t="s">
        <v>4296</v>
      </c>
      <c r="C494" s="12" t="s">
        <v>4297</v>
      </c>
      <c r="D494" s="13">
        <v>44634.0</v>
      </c>
      <c r="E494" s="14">
        <v>2022.0</v>
      </c>
      <c r="H494" s="14">
        <v>15.0</v>
      </c>
      <c r="I494" s="14">
        <v>174.0</v>
      </c>
      <c r="J494" s="16" t="s">
        <v>4299</v>
      </c>
      <c r="K494" s="15" t="s">
        <v>4300</v>
      </c>
      <c r="L494" s="15" t="s">
        <v>4301</v>
      </c>
      <c r="M494" s="17" t="s">
        <v>59</v>
      </c>
      <c r="N494" s="16" t="s">
        <v>4302</v>
      </c>
      <c r="P494" s="14"/>
      <c r="Q494" s="14"/>
      <c r="R494" s="14">
        <v>36.0</v>
      </c>
      <c r="S494" s="14">
        <v>2021.0</v>
      </c>
      <c r="T494" s="15" t="s">
        <v>4303</v>
      </c>
      <c r="U494" s="14">
        <v>5.0</v>
      </c>
      <c r="V494" s="14">
        <v>0.13446676970633695</v>
      </c>
      <c r="W494" s="14">
        <v>1.0</v>
      </c>
      <c r="X494" s="14" t="s">
        <v>4495</v>
      </c>
      <c r="Y494" s="18" t="s">
        <v>4495</v>
      </c>
      <c r="Z494" s="18">
        <v>0.3963174424868398</v>
      </c>
      <c r="AA494" s="18">
        <v>1.0</v>
      </c>
      <c r="AB494" s="18">
        <v>1.0</v>
      </c>
      <c r="AC494" s="18">
        <v>0.12115616512388203</v>
      </c>
      <c r="AD494" s="18">
        <v>0.4611949771340981</v>
      </c>
      <c r="AE494" s="19" t="s">
        <v>4501</v>
      </c>
    </row>
    <row r="495" ht="21.0" customHeight="1">
      <c r="A495" s="20" t="s">
        <v>2383</v>
      </c>
      <c r="B495" s="21" t="s">
        <v>4304</v>
      </c>
      <c r="C495" s="22" t="s">
        <v>4305</v>
      </c>
      <c r="D495" s="23">
        <v>41198.0</v>
      </c>
      <c r="E495" s="24">
        <v>2012.0</v>
      </c>
      <c r="F495" s="21" t="s">
        <v>2417</v>
      </c>
      <c r="G495" s="21" t="s">
        <v>42</v>
      </c>
      <c r="H495" s="24">
        <v>15.0</v>
      </c>
      <c r="I495" s="24">
        <v>110.0</v>
      </c>
      <c r="J495" s="25"/>
      <c r="K495" s="21" t="s">
        <v>4306</v>
      </c>
      <c r="L495" s="21" t="s">
        <v>4307</v>
      </c>
      <c r="M495" s="26" t="s">
        <v>31</v>
      </c>
      <c r="N495" s="25"/>
      <c r="P495" s="24"/>
      <c r="Q495" s="24"/>
      <c r="R495" s="24">
        <v>69.0</v>
      </c>
      <c r="S495" s="24"/>
      <c r="T495" s="21" t="s">
        <v>4308</v>
      </c>
      <c r="U495" s="24">
        <v>18.5</v>
      </c>
      <c r="V495" s="24">
        <v>0.023255813953488372</v>
      </c>
      <c r="W495" s="24" t="s">
        <v>4495</v>
      </c>
      <c r="X495" s="24" t="s">
        <v>4495</v>
      </c>
      <c r="Y495" s="27" t="s">
        <v>4495</v>
      </c>
      <c r="Z495" s="27">
        <v>0.6198591523092037</v>
      </c>
      <c r="AA495" s="27" t="s">
        <v>4495</v>
      </c>
      <c r="AB495" s="27">
        <v>1.0</v>
      </c>
      <c r="AC495" s="27">
        <v>0.6175420474412181</v>
      </c>
      <c r="AD495" s="27">
        <v>0.36671899282142273</v>
      </c>
      <c r="AE495" s="28" t="s">
        <v>4497</v>
      </c>
    </row>
    <row r="496" ht="21.0" customHeight="1">
      <c r="A496" s="10" t="s">
        <v>2383</v>
      </c>
      <c r="B496" s="15" t="s">
        <v>4309</v>
      </c>
      <c r="C496" s="12" t="s">
        <v>4310</v>
      </c>
      <c r="D496" s="13">
        <v>41671.0</v>
      </c>
      <c r="E496" s="14">
        <v>2014.0</v>
      </c>
      <c r="F496" s="15" t="s">
        <v>2386</v>
      </c>
      <c r="G496" s="15" t="s">
        <v>42</v>
      </c>
      <c r="H496" s="14">
        <v>15.0</v>
      </c>
      <c r="I496" s="14">
        <v>241.0</v>
      </c>
      <c r="J496" s="16"/>
      <c r="K496" s="15" t="s">
        <v>4312</v>
      </c>
      <c r="L496" s="15" t="s">
        <v>4313</v>
      </c>
      <c r="M496" s="17" t="s">
        <v>31</v>
      </c>
      <c r="N496" s="16"/>
      <c r="O496" s="15" t="s">
        <v>4314</v>
      </c>
      <c r="P496" s="14">
        <v>12.0</v>
      </c>
      <c r="Q496" s="14"/>
      <c r="R496" s="14">
        <v>36.0</v>
      </c>
      <c r="S496" s="14"/>
      <c r="T496" s="15" t="s">
        <v>4315</v>
      </c>
      <c r="U496" s="14">
        <v>23.0</v>
      </c>
      <c r="V496" s="14">
        <v>0.05661263800798685</v>
      </c>
      <c r="W496" s="14" t="s">
        <v>4495</v>
      </c>
      <c r="X496" s="14" t="s">
        <v>4495</v>
      </c>
      <c r="Y496" s="18" t="s">
        <v>4495</v>
      </c>
      <c r="Z496" s="18">
        <v>0.3963174424868398</v>
      </c>
      <c r="AA496" s="18" t="s">
        <v>4495</v>
      </c>
      <c r="AB496" s="18">
        <v>1.0</v>
      </c>
      <c r="AC496" s="18">
        <v>0.7049885433277757</v>
      </c>
      <c r="AD496" s="18">
        <v>0.3195782149544875</v>
      </c>
      <c r="AE496" s="19" t="s">
        <v>4497</v>
      </c>
    </row>
    <row r="497" ht="21.0" customHeight="1">
      <c r="A497" s="20" t="s">
        <v>2383</v>
      </c>
      <c r="B497" s="21" t="s">
        <v>4316</v>
      </c>
      <c r="C497" s="22" t="s">
        <v>4317</v>
      </c>
      <c r="D497" s="23">
        <v>43955.0</v>
      </c>
      <c r="E497" s="24">
        <v>2020.0</v>
      </c>
      <c r="F497" s="21" t="s">
        <v>2386</v>
      </c>
      <c r="G497" s="21" t="s">
        <v>42</v>
      </c>
      <c r="H497" s="24">
        <v>15.0</v>
      </c>
      <c r="I497" s="24">
        <v>243.0</v>
      </c>
      <c r="J497" s="25" t="s">
        <v>4320</v>
      </c>
      <c r="K497" s="21" t="s">
        <v>4321</v>
      </c>
      <c r="M497" s="26" t="s">
        <v>31</v>
      </c>
      <c r="N497" s="25"/>
      <c r="P497" s="24"/>
      <c r="Q497" s="24"/>
      <c r="R497" s="24">
        <v>82.0</v>
      </c>
      <c r="S497" s="24">
        <v>2020.0</v>
      </c>
      <c r="T497" s="21" t="s">
        <v>4322</v>
      </c>
      <c r="U497" s="24">
        <v>19.0</v>
      </c>
      <c r="V497" s="24">
        <v>0.12316269640141916</v>
      </c>
      <c r="W497" s="24">
        <v>0.0</v>
      </c>
      <c r="X497" s="24" t="s">
        <v>4495</v>
      </c>
      <c r="Y497" s="27" t="s">
        <v>4495</v>
      </c>
      <c r="Z497" s="27">
        <v>0.6795841339910054</v>
      </c>
      <c r="AA497" s="27">
        <v>1.0</v>
      </c>
      <c r="AB497" s="27">
        <v>1.0</v>
      </c>
      <c r="AC497" s="27">
        <v>0.6282045419740796</v>
      </c>
      <c r="AD497" s="27">
        <v>0.5827164876951594</v>
      </c>
      <c r="AE497" s="28" t="s">
        <v>4497</v>
      </c>
    </row>
    <row r="498" ht="21.0" customHeight="1">
      <c r="A498" s="10" t="s">
        <v>2383</v>
      </c>
      <c r="B498" s="15" t="s">
        <v>4323</v>
      </c>
      <c r="C498" s="12" t="s">
        <v>4324</v>
      </c>
      <c r="D498" s="13">
        <v>43878.0</v>
      </c>
      <c r="E498" s="14">
        <v>2020.0</v>
      </c>
      <c r="F498" s="15" t="s">
        <v>2417</v>
      </c>
      <c r="G498" s="15" t="s">
        <v>1801</v>
      </c>
      <c r="H498" s="14">
        <v>15.0</v>
      </c>
      <c r="I498" s="14">
        <v>132.0</v>
      </c>
      <c r="J498" s="16" t="s">
        <v>4326</v>
      </c>
      <c r="K498" s="15" t="s">
        <v>4327</v>
      </c>
      <c r="L498" s="15" t="s">
        <v>4328</v>
      </c>
      <c r="M498" s="17" t="s">
        <v>59</v>
      </c>
      <c r="N498" s="16" t="s">
        <v>4329</v>
      </c>
      <c r="P498" s="14"/>
      <c r="Q498" s="14"/>
      <c r="R498" s="14">
        <v>43.0</v>
      </c>
      <c r="S498" s="14">
        <v>2020.0</v>
      </c>
      <c r="T498" s="15" t="s">
        <v>4330</v>
      </c>
      <c r="U498" s="14">
        <v>59.3333333333333</v>
      </c>
      <c r="V498" s="14">
        <v>0.06439024390243903</v>
      </c>
      <c r="W498" s="14">
        <v>0.0</v>
      </c>
      <c r="X498" s="14" t="s">
        <v>4495</v>
      </c>
      <c r="Y498" s="18" t="s">
        <v>4495</v>
      </c>
      <c r="Z498" s="18">
        <v>0.4570684369953818</v>
      </c>
      <c r="AA498" s="18">
        <v>1.0</v>
      </c>
      <c r="AB498" s="18">
        <v>1.0</v>
      </c>
      <c r="AC498" s="18">
        <v>1.0</v>
      </c>
      <c r="AD498" s="18">
        <v>0.5642671092488455</v>
      </c>
      <c r="AE498" s="19" t="s">
        <v>4501</v>
      </c>
    </row>
    <row r="499" ht="21.0" customHeight="1">
      <c r="A499" s="20" t="s">
        <v>2383</v>
      </c>
      <c r="B499" s="21" t="s">
        <v>4332</v>
      </c>
      <c r="C499" s="22" t="s">
        <v>4333</v>
      </c>
      <c r="D499" s="23"/>
      <c r="E499" s="24"/>
      <c r="F499" s="21" t="s">
        <v>2398</v>
      </c>
      <c r="G499" s="21" t="s">
        <v>42</v>
      </c>
      <c r="H499" s="24">
        <v>15.0</v>
      </c>
      <c r="I499" s="24">
        <v>288.0</v>
      </c>
      <c r="J499" s="25"/>
      <c r="K499" s="21" t="s">
        <v>4334</v>
      </c>
      <c r="L499" s="21" t="s">
        <v>4335</v>
      </c>
      <c r="M499" s="26" t="s">
        <v>31</v>
      </c>
      <c r="N499" s="25"/>
      <c r="P499" s="24"/>
      <c r="Q499" s="24"/>
      <c r="R499" s="24">
        <v>63.0</v>
      </c>
      <c r="S499" s="24"/>
      <c r="T499" s="21" t="s">
        <v>4336</v>
      </c>
      <c r="U499" s="24">
        <v>27.2</v>
      </c>
      <c r="V499" s="24" t="s">
        <v>4495</v>
      </c>
      <c r="W499" s="24" t="s">
        <v>4495</v>
      </c>
      <c r="X499" s="24" t="s">
        <v>4495</v>
      </c>
      <c r="Y499" s="27" t="s">
        <v>4495</v>
      </c>
      <c r="Z499" s="27">
        <v>0.5884401318226129</v>
      </c>
      <c r="AA499" s="27" t="s">
        <v>4495</v>
      </c>
      <c r="AB499" s="27" t="s">
        <v>4495</v>
      </c>
      <c r="AC499" s="27">
        <v>0.7729059848035676</v>
      </c>
      <c r="AD499" s="27">
        <v>0.22440063143601</v>
      </c>
      <c r="AE499" s="28" t="s">
        <v>4497</v>
      </c>
    </row>
    <row r="500" ht="21.0" customHeight="1">
      <c r="A500" s="10" t="s">
        <v>2383</v>
      </c>
      <c r="B500" s="15" t="s">
        <v>4338</v>
      </c>
      <c r="C500" s="12" t="s">
        <v>4339</v>
      </c>
      <c r="D500" s="13">
        <v>43983.0</v>
      </c>
      <c r="E500" s="14">
        <v>2020.0</v>
      </c>
      <c r="G500" s="15" t="s">
        <v>42</v>
      </c>
      <c r="H500" s="14">
        <v>15.0</v>
      </c>
      <c r="I500" s="14">
        <v>310.0</v>
      </c>
      <c r="J500" s="16" t="s">
        <v>4340</v>
      </c>
      <c r="K500" s="15" t="s">
        <v>4341</v>
      </c>
      <c r="L500" s="15" t="s">
        <v>4342</v>
      </c>
      <c r="M500" s="17" t="s">
        <v>59</v>
      </c>
      <c r="N500" s="16" t="s">
        <v>4343</v>
      </c>
      <c r="P500" s="14"/>
      <c r="Q500" s="14"/>
      <c r="R500" s="14">
        <v>60.0</v>
      </c>
      <c r="S500" s="14">
        <v>2020.0</v>
      </c>
      <c r="T500" s="15" t="s">
        <v>4344</v>
      </c>
      <c r="U500" s="14">
        <v>4.0</v>
      </c>
      <c r="V500" s="14">
        <v>0.15938303341902313</v>
      </c>
      <c r="W500" s="14">
        <v>0.0</v>
      </c>
      <c r="X500" s="14" t="s">
        <v>4495</v>
      </c>
      <c r="Y500" s="18" t="s">
        <v>4495</v>
      </c>
      <c r="Z500" s="18">
        <v>0.5716075650904038</v>
      </c>
      <c r="AA500" s="18">
        <v>1.0</v>
      </c>
      <c r="AB500" s="18">
        <v>1.0</v>
      </c>
      <c r="AC500" s="18">
        <v>0.044372163770186025</v>
      </c>
      <c r="AD500" s="18">
        <v>0.4973391076496196</v>
      </c>
      <c r="AE500" s="19" t="s">
        <v>4501</v>
      </c>
    </row>
    <row r="501" ht="21.0" customHeight="1">
      <c r="A501" s="20" t="s">
        <v>2383</v>
      </c>
      <c r="B501" s="21" t="s">
        <v>4345</v>
      </c>
      <c r="C501" s="22" t="s">
        <v>4346</v>
      </c>
      <c r="D501" s="23">
        <v>42108.0</v>
      </c>
      <c r="E501" s="24">
        <v>2015.0</v>
      </c>
      <c r="F501" s="21" t="s">
        <v>2632</v>
      </c>
      <c r="G501" s="21" t="s">
        <v>232</v>
      </c>
      <c r="H501" s="24">
        <v>15.0</v>
      </c>
      <c r="I501" s="24">
        <v>170.0</v>
      </c>
      <c r="J501" s="25"/>
      <c r="K501" s="21" t="s">
        <v>4348</v>
      </c>
      <c r="L501" s="21" t="s">
        <v>4349</v>
      </c>
      <c r="M501" s="26" t="s">
        <v>59</v>
      </c>
      <c r="N501" s="25" t="s">
        <v>4350</v>
      </c>
      <c r="P501" s="24"/>
      <c r="Q501" s="24"/>
      <c r="R501" s="24">
        <v>30.0</v>
      </c>
      <c r="S501" s="24"/>
      <c r="T501" s="21" t="s">
        <v>4351</v>
      </c>
      <c r="U501" s="24">
        <v>26.0</v>
      </c>
      <c r="V501" s="24">
        <v>0.04450261780104712</v>
      </c>
      <c r="W501" s="24" t="s">
        <v>4495</v>
      </c>
      <c r="X501" s="24" t="s">
        <v>4495</v>
      </c>
      <c r="Y501" s="27" t="s">
        <v>4495</v>
      </c>
      <c r="Z501" s="27">
        <v>0.33428356644099017</v>
      </c>
      <c r="AA501" s="27" t="s">
        <v>4495</v>
      </c>
      <c r="AB501" s="27">
        <v>1.0</v>
      </c>
      <c r="AC501" s="27">
        <v>0.7545924021819583</v>
      </c>
      <c r="AD501" s="27">
        <v>0.30903013182844336</v>
      </c>
      <c r="AE501" s="28" t="s">
        <v>4499</v>
      </c>
    </row>
    <row r="502" ht="21.0" customHeight="1">
      <c r="A502" s="10" t="s">
        <v>2383</v>
      </c>
      <c r="B502" s="15" t="s">
        <v>4352</v>
      </c>
      <c r="C502" s="12" t="s">
        <v>4353</v>
      </c>
      <c r="D502" s="13">
        <v>40889.0</v>
      </c>
      <c r="E502" s="14">
        <v>2011.0</v>
      </c>
      <c r="F502" s="15" t="s">
        <v>2386</v>
      </c>
      <c r="G502" s="15" t="s">
        <v>232</v>
      </c>
      <c r="H502" s="14">
        <v>15.0</v>
      </c>
      <c r="I502" s="14">
        <v>201.0</v>
      </c>
      <c r="J502" s="16"/>
      <c r="K502" s="15" t="s">
        <v>4355</v>
      </c>
      <c r="L502" s="15" t="s">
        <v>4356</v>
      </c>
      <c r="M502" s="17" t="s">
        <v>31</v>
      </c>
      <c r="N502" s="16"/>
      <c r="O502" s="15" t="s">
        <v>4357</v>
      </c>
      <c r="P502" s="14">
        <v>10.0</v>
      </c>
      <c r="Q502" s="14"/>
      <c r="R502" s="14">
        <v>36.0</v>
      </c>
      <c r="S502" s="14"/>
      <c r="T502" s="15" t="s">
        <v>4358</v>
      </c>
      <c r="U502" s="14">
        <v>13.1428571428571</v>
      </c>
      <c r="V502" s="14">
        <v>0.039888866838658464</v>
      </c>
      <c r="W502" s="14" t="s">
        <v>4495</v>
      </c>
      <c r="X502" s="14" t="s">
        <v>4495</v>
      </c>
      <c r="Y502" s="18" t="s">
        <v>4495</v>
      </c>
      <c r="Z502" s="18">
        <v>0.3963174424868398</v>
      </c>
      <c r="AA502" s="18" t="s">
        <v>4495</v>
      </c>
      <c r="AB502" s="18">
        <v>1.0</v>
      </c>
      <c r="AC502" s="18">
        <v>0.48226793336967605</v>
      </c>
      <c r="AD502" s="18">
        <v>0.29730615395867754</v>
      </c>
      <c r="AE502" s="19" t="s">
        <v>4497</v>
      </c>
    </row>
    <row r="503" ht="21.0" customHeight="1">
      <c r="A503" s="20" t="s">
        <v>2383</v>
      </c>
      <c r="B503" s="21" t="s">
        <v>4360</v>
      </c>
      <c r="C503" s="22" t="s">
        <v>4361</v>
      </c>
      <c r="D503" s="23"/>
      <c r="E503" s="24"/>
      <c r="F503" s="21" t="s">
        <v>2386</v>
      </c>
      <c r="G503" s="21" t="s">
        <v>42</v>
      </c>
      <c r="H503" s="24">
        <v>15.0</v>
      </c>
      <c r="I503" s="24">
        <v>401.0</v>
      </c>
      <c r="J503" s="25"/>
      <c r="K503" s="21" t="s">
        <v>4362</v>
      </c>
      <c r="L503" s="21" t="s">
        <v>4363</v>
      </c>
      <c r="M503" s="26" t="s">
        <v>31</v>
      </c>
      <c r="N503" s="25"/>
      <c r="O503" s="21" t="s">
        <v>4364</v>
      </c>
      <c r="P503" s="24">
        <v>8.0</v>
      </c>
      <c r="Q503" s="24"/>
      <c r="R503" s="24">
        <v>38.0</v>
      </c>
      <c r="S503" s="24"/>
      <c r="T503" s="21" t="s">
        <v>4365</v>
      </c>
      <c r="U503" s="24">
        <v>16.3333333333333</v>
      </c>
      <c r="V503" s="24" t="s">
        <v>4495</v>
      </c>
      <c r="W503" s="24" t="s">
        <v>4495</v>
      </c>
      <c r="X503" s="24" t="s">
        <v>4495</v>
      </c>
      <c r="Y503" s="27" t="s">
        <v>4495</v>
      </c>
      <c r="Z503" s="27">
        <v>0.4147749215282351</v>
      </c>
      <c r="AA503" s="27" t="s">
        <v>4495</v>
      </c>
      <c r="AB503" s="27" t="s">
        <v>4495</v>
      </c>
      <c r="AC503" s="27">
        <v>0.5679381885870348</v>
      </c>
      <c r="AD503" s="27">
        <v>0.16048754924076225</v>
      </c>
      <c r="AE503" s="28" t="s">
        <v>4497</v>
      </c>
    </row>
    <row r="504" ht="21.0" customHeight="1">
      <c r="A504" s="10" t="s">
        <v>2383</v>
      </c>
      <c r="B504" s="15" t="s">
        <v>4366</v>
      </c>
      <c r="C504" s="12" t="s">
        <v>4367</v>
      </c>
      <c r="D504" s="13">
        <v>43132.0</v>
      </c>
      <c r="E504" s="14">
        <v>2018.0</v>
      </c>
      <c r="F504" s="15" t="s">
        <v>2398</v>
      </c>
      <c r="G504" s="15" t="s">
        <v>42</v>
      </c>
      <c r="H504" s="14">
        <v>15.0</v>
      </c>
      <c r="I504" s="14">
        <v>208.0</v>
      </c>
      <c r="J504" s="16"/>
      <c r="K504" s="15" t="s">
        <v>4369</v>
      </c>
      <c r="L504" s="15" t="s">
        <v>4370</v>
      </c>
      <c r="M504" s="17" t="s">
        <v>31</v>
      </c>
      <c r="N504" s="16"/>
      <c r="O504" s="15" t="s">
        <v>4371</v>
      </c>
      <c r="P504" s="14">
        <v>6.0</v>
      </c>
      <c r="Q504" s="14"/>
      <c r="R504" s="14">
        <v>16.0</v>
      </c>
      <c r="S504" s="14"/>
      <c r="T504" s="15" t="s">
        <v>4372</v>
      </c>
      <c r="U504" s="14">
        <v>25.0</v>
      </c>
      <c r="V504" s="14">
        <v>0.07439198855507868</v>
      </c>
      <c r="W504" s="14" t="s">
        <v>4495</v>
      </c>
      <c r="X504" s="14" t="s">
        <v>4495</v>
      </c>
      <c r="Y504" s="18" t="s">
        <v>4495</v>
      </c>
      <c r="Z504" s="18">
        <v>0.12364556257381001</v>
      </c>
      <c r="AA504" s="18" t="s">
        <v>4495</v>
      </c>
      <c r="AB504" s="18">
        <v>1.0</v>
      </c>
      <c r="AC504" s="18">
        <v>0.7386982125651004</v>
      </c>
      <c r="AD504" s="18">
        <v>0.2547812118999625</v>
      </c>
      <c r="AE504" s="19" t="s">
        <v>4497</v>
      </c>
    </row>
    <row r="505" ht="21.0" customHeight="1">
      <c r="A505" s="20" t="s">
        <v>2383</v>
      </c>
      <c r="B505" s="21" t="s">
        <v>4373</v>
      </c>
      <c r="C505" s="22" t="s">
        <v>4374</v>
      </c>
      <c r="D505" s="23">
        <v>40940.0</v>
      </c>
      <c r="E505" s="24">
        <v>2012.0</v>
      </c>
      <c r="G505" s="21" t="s">
        <v>42</v>
      </c>
      <c r="H505" s="24">
        <v>15.0</v>
      </c>
      <c r="I505" s="24">
        <v>175.0</v>
      </c>
      <c r="J505" s="25"/>
      <c r="K505" s="21" t="s">
        <v>4376</v>
      </c>
      <c r="M505" s="26" t="s">
        <v>31</v>
      </c>
      <c r="N505" s="25"/>
      <c r="P505" s="24"/>
      <c r="Q505" s="24"/>
      <c r="R505" s="24">
        <v>0.0</v>
      </c>
      <c r="S505" s="24"/>
      <c r="T505" s="21" t="s">
        <v>4377</v>
      </c>
      <c r="U505" s="24">
        <v>3.5</v>
      </c>
      <c r="V505" s="24">
        <v>0.03508420208500401</v>
      </c>
      <c r="W505" s="24" t="s">
        <v>4495</v>
      </c>
      <c r="X505" s="24" t="s">
        <v>4495</v>
      </c>
      <c r="Y505" s="27" t="s">
        <v>4495</v>
      </c>
      <c r="Z505" s="27">
        <v>0.0</v>
      </c>
      <c r="AA505" s="27" t="s">
        <v>4495</v>
      </c>
      <c r="AB505" s="27">
        <v>1.0</v>
      </c>
      <c r="AC505" s="27">
        <v>0.0</v>
      </c>
      <c r="AD505" s="27">
        <v>0.15</v>
      </c>
      <c r="AE505" s="28" t="s">
        <v>4497</v>
      </c>
    </row>
    <row r="506" ht="21.0" customHeight="1">
      <c r="A506" s="10" t="s">
        <v>2383</v>
      </c>
      <c r="B506" s="15" t="s">
        <v>4378</v>
      </c>
      <c r="C506" s="12" t="s">
        <v>4379</v>
      </c>
      <c r="D506" s="13">
        <v>43891.0</v>
      </c>
      <c r="E506" s="14">
        <v>2020.0</v>
      </c>
      <c r="F506" s="15" t="s">
        <v>2386</v>
      </c>
      <c r="G506" s="15" t="s">
        <v>42</v>
      </c>
      <c r="H506" s="14">
        <v>15.0</v>
      </c>
      <c r="I506" s="14">
        <v>255.0</v>
      </c>
      <c r="J506" s="16"/>
      <c r="K506" s="15" t="s">
        <v>4380</v>
      </c>
      <c r="L506" s="15" t="s">
        <v>4381</v>
      </c>
      <c r="M506" s="17" t="s">
        <v>59</v>
      </c>
      <c r="N506" s="16" t="s">
        <v>4382</v>
      </c>
      <c r="P506" s="14"/>
      <c r="Q506" s="14"/>
      <c r="R506" s="14">
        <v>40.0</v>
      </c>
      <c r="S506" s="14">
        <v>2019.0</v>
      </c>
      <c r="T506" s="15" t="s">
        <v>4383</v>
      </c>
      <c r="U506" s="14">
        <v>24.0</v>
      </c>
      <c r="V506" s="14">
        <v>0.1251840942562592</v>
      </c>
      <c r="W506" s="14">
        <v>1.0</v>
      </c>
      <c r="X506" s="14" t="s">
        <v>4495</v>
      </c>
      <c r="Y506" s="18" t="s">
        <v>4495</v>
      </c>
      <c r="Z506" s="18">
        <v>0.43230913174650915</v>
      </c>
      <c r="AA506" s="18">
        <v>1.0</v>
      </c>
      <c r="AB506" s="18">
        <v>1.0</v>
      </c>
      <c r="AC506" s="18">
        <v>0.7221805645984484</v>
      </c>
      <c r="AD506" s="18">
        <v>0.5302953393964721</v>
      </c>
      <c r="AE506" s="19" t="s">
        <v>4499</v>
      </c>
    </row>
    <row r="507" ht="21.0" customHeight="1">
      <c r="A507" s="20" t="s">
        <v>2383</v>
      </c>
      <c r="B507" s="21" t="s">
        <v>4384</v>
      </c>
      <c r="C507" s="22" t="s">
        <v>4385</v>
      </c>
      <c r="D507" s="23"/>
      <c r="E507" s="24"/>
      <c r="H507" s="24">
        <v>15.0</v>
      </c>
      <c r="I507" s="24">
        <v>89.0</v>
      </c>
      <c r="J507" s="25"/>
      <c r="K507" s="21" t="s">
        <v>4386</v>
      </c>
      <c r="M507" s="26" t="s">
        <v>31</v>
      </c>
      <c r="N507" s="25"/>
      <c r="P507" s="24"/>
      <c r="Q507" s="24"/>
      <c r="R507" s="24">
        <v>54.0</v>
      </c>
      <c r="S507" s="24"/>
      <c r="T507" s="21" t="s">
        <v>4387</v>
      </c>
      <c r="U507" s="24">
        <v>2.60869565217391</v>
      </c>
      <c r="V507" s="24" t="s">
        <v>4495</v>
      </c>
      <c r="W507" s="24" t="s">
        <v>4495</v>
      </c>
      <c r="X507" s="24" t="s">
        <v>4495</v>
      </c>
      <c r="Y507" s="27" t="s">
        <v>4495</v>
      </c>
      <c r="Z507" s="27">
        <v>0.5353050503378812</v>
      </c>
      <c r="AA507" s="27" t="s">
        <v>4495</v>
      </c>
      <c r="AB507" s="27" t="s">
        <v>4495</v>
      </c>
      <c r="AC507" s="27">
        <v>0.0</v>
      </c>
      <c r="AD507" s="27">
        <v>0.1338262625844703</v>
      </c>
      <c r="AE507" s="28" t="s">
        <v>4497</v>
      </c>
    </row>
    <row r="508" ht="21.0" customHeight="1">
      <c r="A508" s="10" t="s">
        <v>2383</v>
      </c>
      <c r="B508" s="15" t="s">
        <v>4389</v>
      </c>
      <c r="C508" s="12" t="s">
        <v>4390</v>
      </c>
      <c r="D508" s="13">
        <v>44344.0</v>
      </c>
      <c r="E508" s="14">
        <v>2021.0</v>
      </c>
      <c r="F508" s="15" t="s">
        <v>2417</v>
      </c>
      <c r="G508" s="15" t="s">
        <v>42</v>
      </c>
      <c r="H508" s="14">
        <v>15.0</v>
      </c>
      <c r="I508" s="14">
        <v>96.0</v>
      </c>
      <c r="J508" s="16" t="s">
        <v>4392</v>
      </c>
      <c r="K508" s="15" t="s">
        <v>4393</v>
      </c>
      <c r="L508" s="15" t="s">
        <v>4394</v>
      </c>
      <c r="M508" s="17" t="s">
        <v>59</v>
      </c>
      <c r="N508" s="16" t="s">
        <v>4395</v>
      </c>
      <c r="P508" s="14"/>
      <c r="Q508" s="14"/>
      <c r="R508" s="14">
        <v>42.0</v>
      </c>
      <c r="S508" s="14">
        <v>2021.0</v>
      </c>
      <c r="T508" s="15" t="s">
        <v>4396</v>
      </c>
      <c r="U508" s="14">
        <v>19.6666666666666</v>
      </c>
      <c r="V508" s="14">
        <v>0.06060606060606061</v>
      </c>
      <c r="W508" s="14">
        <v>0.0</v>
      </c>
      <c r="X508" s="14" t="s">
        <v>4495</v>
      </c>
      <c r="Y508" s="18" t="s">
        <v>4495</v>
      </c>
      <c r="Z508" s="18">
        <v>0.4490080559640544</v>
      </c>
      <c r="AA508" s="18">
        <v>1.0</v>
      </c>
      <c r="AB508" s="18">
        <v>1.0</v>
      </c>
      <c r="AC508" s="18">
        <v>0.6420138459549198</v>
      </c>
      <c r="AD508" s="18">
        <v>0.5264533985865055</v>
      </c>
      <c r="AE508" s="19" t="s">
        <v>4501</v>
      </c>
    </row>
    <row r="509" ht="21.0" customHeight="1">
      <c r="A509" s="20" t="s">
        <v>2383</v>
      </c>
      <c r="B509" s="21" t="s">
        <v>4397</v>
      </c>
      <c r="C509" s="22" t="s">
        <v>4398</v>
      </c>
      <c r="D509" s="23">
        <v>43252.0</v>
      </c>
      <c r="E509" s="24">
        <v>2018.0</v>
      </c>
      <c r="F509" s="21" t="s">
        <v>2398</v>
      </c>
      <c r="G509" s="21" t="s">
        <v>42</v>
      </c>
      <c r="H509" s="24">
        <v>15.0</v>
      </c>
      <c r="I509" s="24">
        <v>221.0</v>
      </c>
      <c r="J509" s="25" t="s">
        <v>4399</v>
      </c>
      <c r="K509" s="21" t="s">
        <v>4400</v>
      </c>
      <c r="L509" s="21" t="s">
        <v>4401</v>
      </c>
      <c r="M509" s="26" t="s">
        <v>59</v>
      </c>
      <c r="N509" s="25" t="s">
        <v>4402</v>
      </c>
      <c r="O509" s="21" t="s">
        <v>4403</v>
      </c>
      <c r="P509" s="24">
        <v>5.0</v>
      </c>
      <c r="Q509" s="24"/>
      <c r="R509" s="24">
        <v>25.0</v>
      </c>
      <c r="S509" s="24"/>
      <c r="T509" s="21" t="s">
        <v>126</v>
      </c>
      <c r="U509" s="24">
        <v>22.8</v>
      </c>
      <c r="V509" s="24">
        <v>0.08258594917787743</v>
      </c>
      <c r="W509" s="24" t="s">
        <v>4495</v>
      </c>
      <c r="X509" s="24" t="s">
        <v>4495</v>
      </c>
      <c r="Y509" s="27" t="s">
        <v>4495</v>
      </c>
      <c r="Z509" s="27">
        <v>0.2726143405923116</v>
      </c>
      <c r="AA509" s="27" t="s">
        <v>4495</v>
      </c>
      <c r="AB509" s="27">
        <v>1.0</v>
      </c>
      <c r="AC509" s="27">
        <v>0.701464288130925</v>
      </c>
      <c r="AD509" s="27">
        <v>0.2883000139611704</v>
      </c>
      <c r="AE509" s="28" t="s">
        <v>4501</v>
      </c>
    </row>
    <row r="510" ht="21.0" customHeight="1">
      <c r="A510" s="10" t="s">
        <v>2383</v>
      </c>
      <c r="B510" s="15" t="s">
        <v>4404</v>
      </c>
      <c r="C510" s="12" t="s">
        <v>4405</v>
      </c>
      <c r="D510" s="13">
        <v>44321.0</v>
      </c>
      <c r="E510" s="14">
        <v>2021.0</v>
      </c>
      <c r="F510" s="15" t="s">
        <v>2398</v>
      </c>
      <c r="G510" s="15" t="s">
        <v>42</v>
      </c>
      <c r="H510" s="14">
        <v>15.0</v>
      </c>
      <c r="I510" s="14">
        <v>77.0</v>
      </c>
      <c r="J510" s="16" t="s">
        <v>4407</v>
      </c>
      <c r="K510" s="15" t="s">
        <v>4408</v>
      </c>
      <c r="L510" s="15" t="s">
        <v>4409</v>
      </c>
      <c r="M510" s="17" t="s">
        <v>59</v>
      </c>
      <c r="N510" s="16" t="s">
        <v>4410</v>
      </c>
      <c r="P510" s="14"/>
      <c r="Q510" s="14"/>
      <c r="R510" s="14">
        <v>22.0</v>
      </c>
      <c r="S510" s="14">
        <v>2021.0</v>
      </c>
      <c r="T510" s="15" t="s">
        <v>4411</v>
      </c>
      <c r="U510" s="14">
        <v>40.0</v>
      </c>
      <c r="V510" s="14">
        <v>0.04791537025513379</v>
      </c>
      <c r="W510" s="14">
        <v>0.0</v>
      </c>
      <c r="X510" s="14" t="s">
        <v>4495</v>
      </c>
      <c r="Y510" s="18" t="s">
        <v>4495</v>
      </c>
      <c r="Z510" s="18">
        <v>0.22962860153806564</v>
      </c>
      <c r="AA510" s="18">
        <v>1.0</v>
      </c>
      <c r="AB510" s="18">
        <v>1.0</v>
      </c>
      <c r="AC510" s="18">
        <v>0.9305199270455304</v>
      </c>
      <c r="AD510" s="18">
        <v>0.5004591430890695</v>
      </c>
      <c r="AE510" s="19" t="s">
        <v>4501</v>
      </c>
    </row>
    <row r="511" ht="21.0" customHeight="1">
      <c r="A511" s="20" t="s">
        <v>2383</v>
      </c>
      <c r="B511" s="21" t="s">
        <v>4412</v>
      </c>
      <c r="C511" s="22" t="s">
        <v>4413</v>
      </c>
      <c r="D511" s="23"/>
      <c r="E511" s="24"/>
      <c r="H511" s="24">
        <v>15.0</v>
      </c>
      <c r="I511" s="24">
        <v>99.0</v>
      </c>
      <c r="J511" s="25"/>
      <c r="K511" s="21" t="s">
        <v>4414</v>
      </c>
      <c r="M511" s="26" t="s">
        <v>31</v>
      </c>
      <c r="N511" s="25"/>
      <c r="P511" s="24"/>
      <c r="Q511" s="24"/>
      <c r="R511" s="24">
        <v>28.0</v>
      </c>
      <c r="S511" s="24"/>
      <c r="T511" s="21" t="s">
        <v>4415</v>
      </c>
      <c r="U511" s="24">
        <v>2.55555555555555</v>
      </c>
      <c r="V511" s="24" t="s">
        <v>4495</v>
      </c>
      <c r="W511" s="24" t="s">
        <v>4495</v>
      </c>
      <c r="X511" s="24" t="s">
        <v>4495</v>
      </c>
      <c r="Y511" s="27" t="s">
        <v>4495</v>
      </c>
      <c r="Z511" s="27">
        <v>0.31090082806830316</v>
      </c>
      <c r="AA511" s="27" t="s">
        <v>4495</v>
      </c>
      <c r="AB511" s="27" t="s">
        <v>4495</v>
      </c>
      <c r="AC511" s="27">
        <v>0.0</v>
      </c>
      <c r="AD511" s="27">
        <v>0.07772520701707579</v>
      </c>
      <c r="AE511" s="28" t="s">
        <v>4497</v>
      </c>
    </row>
    <row r="512" ht="21.0" customHeight="1">
      <c r="A512" s="10" t="s">
        <v>2383</v>
      </c>
      <c r="B512" s="15" t="s">
        <v>4417</v>
      </c>
      <c r="C512" s="12" t="s">
        <v>4418</v>
      </c>
      <c r="D512" s="13">
        <v>41670.0</v>
      </c>
      <c r="E512" s="14">
        <v>2014.0</v>
      </c>
      <c r="F512" s="15" t="s">
        <v>2386</v>
      </c>
      <c r="G512" s="15" t="s">
        <v>42</v>
      </c>
      <c r="H512" s="14">
        <v>15.0</v>
      </c>
      <c r="I512" s="14">
        <v>145.0</v>
      </c>
      <c r="J512" s="16"/>
      <c r="K512" s="15" t="s">
        <v>4420</v>
      </c>
      <c r="L512" s="15" t="s">
        <v>4421</v>
      </c>
      <c r="M512" s="17" t="s">
        <v>31</v>
      </c>
      <c r="N512" s="16"/>
      <c r="O512" s="15" t="s">
        <v>4422</v>
      </c>
      <c r="P512" s="14">
        <v>5.0</v>
      </c>
      <c r="Q512" s="14"/>
      <c r="R512" s="14">
        <v>8.0</v>
      </c>
      <c r="S512" s="14"/>
      <c r="T512" s="15" t="s">
        <v>867</v>
      </c>
      <c r="U512" s="14">
        <v>16.5</v>
      </c>
      <c r="V512" s="14">
        <v>0.03405354626585251</v>
      </c>
      <c r="W512" s="14" t="s">
        <v>4495</v>
      </c>
      <c r="X512" s="14" t="s">
        <v>4495</v>
      </c>
      <c r="Y512" s="18" t="s">
        <v>4495</v>
      </c>
      <c r="Z512" s="18">
        <v>0.0</v>
      </c>
      <c r="AA512" s="18" t="s">
        <v>4495</v>
      </c>
      <c r="AB512" s="18">
        <v>1.0</v>
      </c>
      <c r="AC512" s="18">
        <v>0.5719683249718881</v>
      </c>
      <c r="AD512" s="18">
        <v>0.20719683249718882</v>
      </c>
      <c r="AE512" s="19" t="s">
        <v>4497</v>
      </c>
    </row>
    <row r="513" ht="21.0" customHeight="1">
      <c r="A513" s="20" t="s">
        <v>2383</v>
      </c>
      <c r="B513" s="21" t="s">
        <v>4423</v>
      </c>
      <c r="C513" s="22" t="s">
        <v>4424</v>
      </c>
      <c r="D513" s="23">
        <v>41306.0</v>
      </c>
      <c r="E513" s="24">
        <v>2013.0</v>
      </c>
      <c r="G513" s="21" t="s">
        <v>42</v>
      </c>
      <c r="H513" s="24">
        <v>15.0</v>
      </c>
      <c r="I513" s="24">
        <v>137.0</v>
      </c>
      <c r="J513" s="25"/>
      <c r="K513" s="21" t="s">
        <v>4426</v>
      </c>
      <c r="M513" s="26" t="s">
        <v>31</v>
      </c>
      <c r="N513" s="25"/>
      <c r="O513" s="21" t="s">
        <v>2343</v>
      </c>
      <c r="P513" s="24">
        <v>13.0</v>
      </c>
      <c r="Q513" s="24"/>
      <c r="R513" s="24">
        <v>32.0</v>
      </c>
      <c r="S513" s="24"/>
      <c r="T513" s="21" t="s">
        <v>4427</v>
      </c>
      <c r="U513" s="24">
        <v>2.33333333333333</v>
      </c>
      <c r="V513" s="24">
        <v>0.029640848117697967</v>
      </c>
      <c r="W513" s="24" t="s">
        <v>4495</v>
      </c>
      <c r="X513" s="24" t="s">
        <v>4495</v>
      </c>
      <c r="Y513" s="27" t="s">
        <v>4495</v>
      </c>
      <c r="Z513" s="27">
        <v>0.35620389963626176</v>
      </c>
      <c r="AA513" s="27" t="s">
        <v>4495</v>
      </c>
      <c r="AB513" s="27">
        <v>1.0</v>
      </c>
      <c r="AC513" s="27">
        <v>0.0</v>
      </c>
      <c r="AD513" s="27">
        <v>0.23905097490906543</v>
      </c>
      <c r="AE513" s="28" t="s">
        <v>4497</v>
      </c>
    </row>
    <row r="514" ht="21.0" customHeight="1">
      <c r="A514" s="10" t="s">
        <v>2383</v>
      </c>
      <c r="B514" s="15" t="s">
        <v>4429</v>
      </c>
      <c r="C514" s="12" t="s">
        <v>4430</v>
      </c>
      <c r="D514" s="13">
        <v>43839.0</v>
      </c>
      <c r="E514" s="14">
        <v>2020.0</v>
      </c>
      <c r="F514" s="15" t="s">
        <v>2386</v>
      </c>
      <c r="G514" s="15" t="s">
        <v>42</v>
      </c>
      <c r="H514" s="14">
        <v>15.0</v>
      </c>
      <c r="I514" s="14">
        <v>287.0</v>
      </c>
      <c r="J514" s="16" t="s">
        <v>4432</v>
      </c>
      <c r="K514" s="15" t="s">
        <v>4433</v>
      </c>
      <c r="L514" s="15" t="s">
        <v>4434</v>
      </c>
      <c r="M514" s="17" t="s">
        <v>31</v>
      </c>
      <c r="N514" s="16"/>
      <c r="O514" s="15" t="s">
        <v>4435</v>
      </c>
      <c r="P514" s="14">
        <v>14.0</v>
      </c>
      <c r="Q514" s="14"/>
      <c r="R514" s="14">
        <v>28.0</v>
      </c>
      <c r="S514" s="14"/>
      <c r="T514" s="15" t="s">
        <v>4436</v>
      </c>
      <c r="U514" s="14">
        <v>30.2</v>
      </c>
      <c r="V514" s="14">
        <v>0.13738630923887027</v>
      </c>
      <c r="W514" s="14" t="s">
        <v>4495</v>
      </c>
      <c r="X514" s="14" t="s">
        <v>4495</v>
      </c>
      <c r="Y514" s="18" t="s">
        <v>4495</v>
      </c>
      <c r="Z514" s="18">
        <v>0.31090082806830316</v>
      </c>
      <c r="AA514" s="18" t="s">
        <v>4495</v>
      </c>
      <c r="AB514" s="18">
        <v>1.0</v>
      </c>
      <c r="AC514" s="18">
        <v>0.8154822139187963</v>
      </c>
      <c r="AD514" s="18">
        <v>0.3092734284089554</v>
      </c>
      <c r="AE514" s="19" t="s">
        <v>4497</v>
      </c>
    </row>
    <row r="515" ht="21.0" customHeight="1">
      <c r="A515" s="20" t="s">
        <v>2383</v>
      </c>
      <c r="B515" s="21" t="s">
        <v>4438</v>
      </c>
      <c r="C515" s="22" t="s">
        <v>4439</v>
      </c>
      <c r="D515" s="23">
        <v>43257.0</v>
      </c>
      <c r="E515" s="24">
        <v>2018.0</v>
      </c>
      <c r="F515" s="21" t="s">
        <v>2398</v>
      </c>
      <c r="G515" s="21" t="s">
        <v>1801</v>
      </c>
      <c r="H515" s="24">
        <v>15.0</v>
      </c>
      <c r="I515" s="24">
        <v>71.0</v>
      </c>
      <c r="J515" s="25" t="s">
        <v>4441</v>
      </c>
      <c r="K515" s="21" t="s">
        <v>4442</v>
      </c>
      <c r="L515" s="21" t="s">
        <v>4443</v>
      </c>
      <c r="M515" s="26" t="s">
        <v>31</v>
      </c>
      <c r="N515" s="25"/>
      <c r="P515" s="24"/>
      <c r="Q515" s="24"/>
      <c r="R515" s="24">
        <v>113.0</v>
      </c>
      <c r="S515" s="24">
        <v>2018.0</v>
      </c>
      <c r="T515" s="21" t="s">
        <v>4444</v>
      </c>
      <c r="U515" s="24">
        <v>28.3333333333333</v>
      </c>
      <c r="V515" s="24">
        <v>0.026581804567577687</v>
      </c>
      <c r="W515" s="24">
        <v>0.0</v>
      </c>
      <c r="X515" s="24" t="s">
        <v>4495</v>
      </c>
      <c r="Y515" s="27" t="s">
        <v>4495</v>
      </c>
      <c r="Z515" s="27">
        <v>0.79085332604176</v>
      </c>
      <c r="AA515" s="27">
        <v>1.0</v>
      </c>
      <c r="AB515" s="27">
        <v>1.0</v>
      </c>
      <c r="AC515" s="27">
        <v>0.7895002117391313</v>
      </c>
      <c r="AD515" s="27">
        <v>0.6266633526843531</v>
      </c>
      <c r="AE515" s="28" t="s">
        <v>4497</v>
      </c>
    </row>
    <row r="516" ht="21.0" customHeight="1">
      <c r="A516" s="10" t="s">
        <v>2383</v>
      </c>
      <c r="B516" s="15" t="s">
        <v>4445</v>
      </c>
      <c r="C516" s="12" t="s">
        <v>4446</v>
      </c>
      <c r="D516" s="13">
        <v>42466.0</v>
      </c>
      <c r="E516" s="14">
        <v>2016.0</v>
      </c>
      <c r="F516" s="15" t="s">
        <v>2386</v>
      </c>
      <c r="G516" s="15" t="s">
        <v>42</v>
      </c>
      <c r="H516" s="14">
        <v>15.0</v>
      </c>
      <c r="I516" s="14">
        <v>140.0</v>
      </c>
      <c r="J516" s="16"/>
      <c r="K516" s="15" t="s">
        <v>4448</v>
      </c>
      <c r="L516" s="15" t="s">
        <v>4449</v>
      </c>
      <c r="M516" s="17" t="s">
        <v>31</v>
      </c>
      <c r="N516" s="16"/>
      <c r="O516" s="15" t="s">
        <v>4450</v>
      </c>
      <c r="P516" s="14">
        <v>17.0</v>
      </c>
      <c r="Q516" s="14"/>
      <c r="R516" s="14">
        <v>40.0</v>
      </c>
      <c r="S516" s="14"/>
      <c r="T516" s="15" t="s">
        <v>1857</v>
      </c>
      <c r="U516" s="14">
        <v>42.0</v>
      </c>
      <c r="V516" s="14">
        <v>0.040439052570768345</v>
      </c>
      <c r="W516" s="14" t="s">
        <v>4495</v>
      </c>
      <c r="X516" s="14" t="s">
        <v>4495</v>
      </c>
      <c r="Y516" s="18" t="s">
        <v>4495</v>
      </c>
      <c r="Z516" s="18">
        <v>0.43230913174650915</v>
      </c>
      <c r="AA516" s="18" t="s">
        <v>4495</v>
      </c>
      <c r="AB516" s="18">
        <v>1.0</v>
      </c>
      <c r="AC516" s="18">
        <v>0.9505782911927704</v>
      </c>
      <c r="AD516" s="18">
        <v>0.3531351120559043</v>
      </c>
      <c r="AE516" s="19" t="s">
        <v>4497</v>
      </c>
    </row>
    <row r="517" ht="21.0" customHeight="1">
      <c r="A517" s="20" t="s">
        <v>2383</v>
      </c>
      <c r="B517" s="21" t="s">
        <v>4451</v>
      </c>
      <c r="C517" s="22" t="s">
        <v>4452</v>
      </c>
      <c r="D517" s="23">
        <v>44252.0</v>
      </c>
      <c r="E517" s="24">
        <v>2021.0</v>
      </c>
      <c r="F517" s="21" t="s">
        <v>2386</v>
      </c>
      <c r="G517" s="21" t="s">
        <v>880</v>
      </c>
      <c r="H517" s="24">
        <v>15.0</v>
      </c>
      <c r="I517" s="24">
        <v>222.0</v>
      </c>
      <c r="J517" s="25" t="s">
        <v>4455</v>
      </c>
      <c r="K517" s="21" t="s">
        <v>4456</v>
      </c>
      <c r="L517" s="21" t="s">
        <v>4457</v>
      </c>
      <c r="M517" s="26" t="s">
        <v>59</v>
      </c>
      <c r="N517" s="25" t="s">
        <v>4458</v>
      </c>
      <c r="P517" s="24"/>
      <c r="Q517" s="24"/>
      <c r="R517" s="24">
        <v>63.0</v>
      </c>
      <c r="S517" s="24">
        <v>2021.0</v>
      </c>
      <c r="T517" s="21" t="s">
        <v>4459</v>
      </c>
      <c r="U517" s="24">
        <v>21.6</v>
      </c>
      <c r="V517" s="24">
        <v>0.1324582338902148</v>
      </c>
      <c r="W517" s="24">
        <v>0.0</v>
      </c>
      <c r="X517" s="24" t="s">
        <v>4495</v>
      </c>
      <c r="Y517" s="27" t="s">
        <v>4495</v>
      </c>
      <c r="Z517" s="27">
        <v>0.5884401318226129</v>
      </c>
      <c r="AA517" s="27">
        <v>1.0</v>
      </c>
      <c r="AB517" s="27">
        <v>1.0</v>
      </c>
      <c r="AC517" s="27">
        <v>0.6796760138151727</v>
      </c>
      <c r="AD517" s="27">
        <v>0.5650776343371705</v>
      </c>
      <c r="AE517" s="28" t="s">
        <v>4501</v>
      </c>
    </row>
    <row r="518" ht="21.0" customHeight="1">
      <c r="A518" s="10" t="s">
        <v>2383</v>
      </c>
      <c r="B518" s="15" t="s">
        <v>4461</v>
      </c>
      <c r="C518" s="12" t="s">
        <v>4462</v>
      </c>
      <c r="D518" s="13"/>
      <c r="E518" s="14"/>
      <c r="F518" s="15" t="s">
        <v>2386</v>
      </c>
      <c r="G518" s="15" t="s">
        <v>42</v>
      </c>
      <c r="H518" s="14">
        <v>15.0</v>
      </c>
      <c r="I518" s="14">
        <v>166.0</v>
      </c>
      <c r="J518" s="16" t="s">
        <v>4463</v>
      </c>
      <c r="K518" s="15" t="s">
        <v>4464</v>
      </c>
      <c r="L518" s="15" t="s">
        <v>4465</v>
      </c>
      <c r="M518" s="17" t="s">
        <v>59</v>
      </c>
      <c r="N518" s="16" t="s">
        <v>4466</v>
      </c>
      <c r="O518" s="15" t="s">
        <v>4467</v>
      </c>
      <c r="P518" s="14">
        <v>13.0</v>
      </c>
      <c r="Q518" s="14"/>
      <c r="R518" s="14">
        <v>19.0</v>
      </c>
      <c r="S518" s="14">
        <v>2021.0</v>
      </c>
      <c r="T518" s="15" t="s">
        <v>4468</v>
      </c>
      <c r="U518" s="14">
        <v>11.8333333333333</v>
      </c>
      <c r="V518" s="14" t="s">
        <v>4495</v>
      </c>
      <c r="W518" s="14" t="s">
        <v>4495</v>
      </c>
      <c r="X518" s="14" t="s">
        <v>4495</v>
      </c>
      <c r="Y518" s="18" t="s">
        <v>4495</v>
      </c>
      <c r="Z518" s="18">
        <v>0.18062650857502485</v>
      </c>
      <c r="AA518" s="18" t="s">
        <v>4495</v>
      </c>
      <c r="AB518" s="18" t="s">
        <v>4495</v>
      </c>
      <c r="AC518" s="18">
        <v>0.4413478056349921</v>
      </c>
      <c r="AD518" s="18">
        <v>0.08929140770725542</v>
      </c>
      <c r="AE518" s="19" t="s">
        <v>4501</v>
      </c>
    </row>
    <row r="519" ht="21.0" customHeight="1">
      <c r="A519" s="20" t="s">
        <v>2383</v>
      </c>
      <c r="B519" s="21" t="s">
        <v>4470</v>
      </c>
      <c r="C519" s="22" t="s">
        <v>4471</v>
      </c>
      <c r="D519" s="23">
        <v>41497.0</v>
      </c>
      <c r="E519" s="24">
        <v>2013.0</v>
      </c>
      <c r="F519" s="21" t="s">
        <v>2417</v>
      </c>
      <c r="G519" s="21" t="s">
        <v>42</v>
      </c>
      <c r="H519" s="24">
        <v>15.0</v>
      </c>
      <c r="I519" s="24">
        <v>238.0</v>
      </c>
      <c r="J519" s="25"/>
      <c r="K519" s="21" t="s">
        <v>4473</v>
      </c>
      <c r="L519" s="21" t="s">
        <v>4474</v>
      </c>
      <c r="M519" s="26" t="s">
        <v>31</v>
      </c>
      <c r="N519" s="25"/>
      <c r="P519" s="24"/>
      <c r="Q519" s="24"/>
      <c r="R519" s="24">
        <v>26.0</v>
      </c>
      <c r="S519" s="24"/>
      <c r="T519" s="21" t="s">
        <v>4475</v>
      </c>
      <c r="U519" s="24">
        <v>49.8</v>
      </c>
      <c r="V519" s="24">
        <v>0.053712480252764615</v>
      </c>
      <c r="W519" s="24" t="s">
        <v>4495</v>
      </c>
      <c r="X519" s="24" t="s">
        <v>4495</v>
      </c>
      <c r="Y519" s="27" t="s">
        <v>4495</v>
      </c>
      <c r="Z519" s="27">
        <v>0.2858465197452526</v>
      </c>
      <c r="AA519" s="27" t="s">
        <v>4495</v>
      </c>
      <c r="AB519" s="27">
        <v>1.0</v>
      </c>
      <c r="AC519" s="27">
        <v>1.0</v>
      </c>
      <c r="AD519" s="27">
        <v>0.3214616299363131</v>
      </c>
      <c r="AE519" s="28" t="s">
        <v>4497</v>
      </c>
    </row>
    <row r="520" ht="21.0" customHeight="1">
      <c r="A520" s="33" t="s">
        <v>2383</v>
      </c>
      <c r="B520" s="34" t="s">
        <v>4477</v>
      </c>
      <c r="C520" s="35" t="s">
        <v>4478</v>
      </c>
      <c r="D520" s="36">
        <v>44071.0</v>
      </c>
      <c r="E520" s="37">
        <v>2020.0</v>
      </c>
      <c r="F520" s="34" t="s">
        <v>2386</v>
      </c>
      <c r="G520" s="34" t="s">
        <v>42</v>
      </c>
      <c r="H520" s="37">
        <v>15.0</v>
      </c>
      <c r="I520" s="37">
        <v>185.0</v>
      </c>
      <c r="J520" s="38" t="s">
        <v>4480</v>
      </c>
      <c r="K520" s="34" t="s">
        <v>4481</v>
      </c>
      <c r="L520" s="34" t="s">
        <v>4482</v>
      </c>
      <c r="M520" s="39" t="s">
        <v>59</v>
      </c>
      <c r="N520" s="38" t="s">
        <v>4483</v>
      </c>
      <c r="O520" s="34" t="s">
        <v>4484</v>
      </c>
      <c r="P520" s="37"/>
      <c r="Q520" s="37"/>
      <c r="R520" s="37">
        <v>31.0</v>
      </c>
      <c r="S520" s="37">
        <v>2020.0</v>
      </c>
      <c r="T520" s="34" t="s">
        <v>4485</v>
      </c>
      <c r="U520" s="37">
        <v>13.1428571428571</v>
      </c>
      <c r="V520" s="37">
        <v>0.0996230479267636</v>
      </c>
      <c r="W520" s="37">
        <v>0.0</v>
      </c>
      <c r="X520" s="37" t="s">
        <v>4495</v>
      </c>
      <c r="Y520" s="40" t="s">
        <v>4495</v>
      </c>
      <c r="Z520" s="40">
        <v>0.3454150135275693</v>
      </c>
      <c r="AA520" s="40">
        <v>1.0</v>
      </c>
      <c r="AB520" s="40">
        <v>1.0</v>
      </c>
      <c r="AC520" s="40">
        <v>0.48226793336967605</v>
      </c>
      <c r="AD520" s="40">
        <v>0.4845805467188599</v>
      </c>
      <c r="AE520" s="41" t="s">
        <v>4501</v>
      </c>
    </row>
  </sheetData>
  <customSheetViews>
    <customSheetView guid="{9D27F889-C91C-4AF2-8AA1-17A5835C59E9}" filter="1" showAutoFilter="1">
      <autoFilter ref="$A$1:$AE$520">
        <filterColumn colId="2">
          <filters>
            <filter val="Intrusion detection and Big Heterogeneous Data: a Survey"/>
            <filter val="Survey on Misbehavior Detection in Cooperative Intelligent Transportation Systems"/>
            <filter val="A survey of neural networks usage for intrusion detection systems"/>
            <filter val="A Review of Machine Learning based Anomaly Detection Techniques"/>
            <filter val="Intrusion detection system: A comprehensive review"/>
            <filter val="Performance analysis of NSL-KDD dataset using ANN"/>
            <filter val="A taxonomy and survey of cyber-physical intrusion detection approaches for vehicles"/>
            <filter val="A review paper on IDS classification using KDD 99 and NSL KDD dataset in WEKA"/>
            <filter val="An Overview on Intrusion Detection System and Types of Attacks It Can Detect Considering Different Protocols"/>
            <filter val="Intrusion Detection Systems: A Survey and Analysis of Classification Techniques"/>
            <filter val="Deep learning for cyber security intrusion detection: Approaches, datasets, and comparative study"/>
            <filter val="Intrusion detection system based on the analysis of time intervals of CAN messages for in-vehicle network"/>
            <filter val="Machine Learning and Deep Learning Approaches for CyberSecurity: A Review"/>
            <filter val="Intrusion Detection Systems in RPL-Based 6LoWPAN: A Systematic Literature Review"/>
            <filter val="Outlier Analysis"/>
            <filter val="The evaluation of Network Anomaly Detection Systems: Statistical analysis of the UNSW-NB15 data set and the comparison with the KDD99 data set"/>
            <filter val="Privacy and Security Issues in Deep Learning: A Survey"/>
            <filter val="Intrusion Detection Systems in Wireless Sensor Networks: A Review"/>
            <filter val="Taxonomy of Anomaly Based Intrusion Detection System: A Review"/>
            <filter val="A Taxonomy and Survey of Intrusion Detection System Design Techniques, Network Threats and Datasets"/>
            <filter val="A Comprehensive Survey on Machine Learning-Based Intrusion Detection Systems for Secure Communication in Internet of Things"/>
            <filter val="Intrusion detection system in cloud environment: Literature survey &amp; future research directions"/>
            <filter val="Cyber security methods for aerial vehicle networks: taxonomy, challenges and solution"/>
            <filter val="A Taxonomy of Machine-Learning-Based Intrusion Detection Systems for the Internet of Things: A Survey"/>
            <filter val="Insider Threat Detection using Deep Learning: A Review"/>
            <filter val="Swarm intelligence in intrusion detection: A survey"/>
            <filter val="A Systematic Review of Defensive and Offensive Cybersecurity with Machine Learning"/>
            <filter val="Survey on malware evasion techniques: State of the art and challenges"/>
            <filter val="Indoor Positioning Systems Based on Visible Light Communication: State of the Art"/>
            <filter val="A Taxonomy of Network Threats and the Effect of Current Datasets on Intrusion Detection Systems"/>
            <filter val="A Survey of MANET Intrusion Detection &amp; Prevention Approaches for Network Layer Attacks"/>
            <filter val="A COMPARISON STUDY FOR INTRUSION DATABASE (KDD99, NSL-KDD) BASED ON SELF ORGANIZATION MAP (SOM) ARTIFICIAL NEURAL NETWORK"/>
            <filter val="Machine Learning-based Intrusion Detection for Smart Grid Computing: A Survey"/>
            <filter val="A Survey on SVM Classifiers for Intrusion Detection"/>
            <filter val="A Comprehensive Survey of Databases and Deep Learning Methods for Cybersecurity and Intrusion Detection Systems"/>
            <filter val="Machine Learning and Deep Learning Techniques for Cybersecurity: A Review"/>
            <filter val="Machine Learning-Based Network Vulnerability Analysis of Industrial Internet of Things"/>
            <filter val="Explainable Artificial Intelligence in CyberSecurity: A Survey"/>
            <filter val="Network intrusion detection system: A systematic study of machine learning and deep learning approaches"/>
            <filter val="Threat analysis of IoT networks using artificial neural network intrusion detection system"/>
            <filter val="Explainable artificial intelligence for cybersecurity: a literature survey"/>
            <filter val="Generative AI in Cybersecurity: A Comprehensive Review of LLM Applications and Vulnerabilities"/>
            <filter val="An Overview of Automotive Service-Oriented Architectures and Implications for Security Countermeasures"/>
            <filter val="Ensemble based collaborative and distributed intrusion detection systems: A survey"/>
            <filter val="Integrating Artificial Intelligence Internet of Things and 5G for Next-Generation Smartgrid: A Survey of Trends Challenges and Prospect"/>
            <filter val="Internet of Things: A survey on machine learning-based intrusion detection approaches"/>
            <filter val="Machine Learning Techniques for Anomaly Detection: An Overview"/>
            <filter val="Machine learning in cybersecurity: a comprehensive survey"/>
            <filter val="Intrusion detection techniques in network environment: a systematic review"/>
            <filter val="Role of Machine Learning Algorithms Intrusion Detection in WSNs: A Survey"/>
            <filter val="A survey of intrusion detection system"/>
            <filter val="Review of Heterogeneous / Homogeneous Wireless Sensor Networks and Intrusion Detection System Techniques"/>
            <filter val="Deep learning approaches for anomaly-based intrusion detection systems: A survey, taxonomy, and open issues"/>
            <filter val="A survey and analysis of intrusion detection models based on CSE-CIC-IDS2018 Big Data"/>
            <filter val="Efficient classification mechanism for network intrusion detection system based on data mining techniques: A survey"/>
            <filter val="Deep belief network based intrusion detection techniques: A survey"/>
            <filter val="A Critical Review of Practices and Challenges in Intrusion Detection Systems for IoT: Toward Universal and Resilient Systems"/>
            <filter val="Survey of Machine Learning Based Intrusion Detection Methods for Internet of Medical Things"/>
            <filter val="A Survey on Techniques in Detection and Analyzing Malware"/>
            <filter val="A Comprehensive Review of Cyber Security Vulnerabilities, Threats, Attacks, and Solutions"/>
            <filter val="How You Get Shot in the Back: A Systematical Study about Cryptojacking in the Real World"/>
            <filter val="Taxonomy and Survey of Collaborative Intrusion Detection"/>
            <filter val="User profiling in intrusion detection: A review"/>
            <filter val="Data preprocessing for anomaly based network intrusion detection: A review"/>
            <filter val="ROAD: The Real ORNL Automotive Dynamometer Controller Area Network Intrusion Detection Dataset (with a comprehensive CAN IDS dataset survey &amp; guide)"/>
            <filter val="AI-Based Intrusion Detection Systems for In-Vehicle Networks: A Survey"/>
            <filter val="A Survey of Intrusion Detection Systems in Wireless Sensor Networks"/>
            <filter val="A survey of intrusion detection on industrial control systems"/>
            <filter val="A Survey on Threat Hunting in Enterprise Networks"/>
            <filter val="A Survey and Comparative Analysis of Data Mining Techniques for Network Intrusion Detection Systems"/>
            <filter val="An intrusion detection and prevention system in cloud computing: A systematic review"/>
            <filter val="Bluetooth Low Energy Mesh Networks: Survey of Communication and Security Protocols"/>
            <filter val="Machine Learning and Deep Learning Methods for Intrusion Detection Systems: A Survey"/>
            <filter val="False alarm minimization techniques in signature-based intrusion detection systems: A survey"/>
            <filter val="Machine learning in cybersecurity: A review"/>
            <filter val="Survey on SDN based network intrusion detection system using machine learning approaches"/>
            <filter val="Review of intrusion detection systems based on deep learning techniques: coherent taxonomy, challenges, motivations, recommendations, substantial analysis and future directions"/>
            <filter val="A Survey of Distance and Similarity Measures Used Within Network Intrusion Anomaly Detection"/>
            <filter val="Machine and Deep Learning Solutions for Intrusion Detection and Prevention in IoTs: A Survey"/>
            <filter val="A Review of the Advancement in Intrusion Detection Datasets"/>
            <filter val="Data Mining in Intrusion Detection: A Comparative Study of Methods, Types and Data Sets"/>
            <filter val="A Survey of Intrusion Detection Systems Leveraging Host Data"/>
            <filter val="GeneMarker® HID: A Reliable Software Tool for the Analysis of Forensic STR Data"/>
            <filter val="Practical Malware Analysis: The Hands-On Guide to Dissecting Malicious Software"/>
            <filter val="Bluetooth 5.1: An Analysis of Direction Finding Capability for High-Precision Location Services"/>
            <filter val="KDD 1999 generation faults: a review and analysis"/>
            <filter val="Adversarial Machine Learning for Network Intrusion Detection Systems: A Comprehensive Survey"/>
            <filter val="Intrusion Detection Protocols in Wireless Sensor Networks Integrated to Internet of Things Deployment: Survey and Future Challenges"/>
            <filter val="When Intrusion Detection Meets Blockchain Technology: A Review"/>
            <filter val="A survey of intrusion detection techniques for cyber-physical systems"/>
            <filter val="Deep Cybersecurity: A Comprehensive Overview from Neural Network and Deep Learning Perspective"/>
            <filter val="Survey on Outlier Detection in Data Stream"/>
            <filter val="An analysis of various snort based techniques to detect and prevent intrusions in networks proposal with code refactoring snort tool in Kali Linux environment"/>
            <filter val="Novel Geometric Area Analysis Technique for Anomaly Detection Using Trapezoidal Area Estimation on Large-Scale Networks"/>
            <filter val="Survey of Routing Attacks and Countermeasures in Mobile Ad Hoc Networks"/>
            <filter val="1-1-2007 GenMAPP 2 : New Features and Resources for Pathway Analysis"/>
            <filter val="From Intrusion Detection to Attacker Attribution: A Comprehensive Survey of Unsupervised Methods"/>
            <filter val="A Comparative Evaluation of Unsupervised Anomaly Detection Algorithms for Multivariate Data"/>
            <filter val="A Review of Attacks, Vulnerabilities, and Defenses in Industry 4.0 with New Challenges on Data Sovereignty Ahead"/>
            <filter val="Towards a Secure Internet of Things: A Comprehensive Study of Second Line Defense Mechanisms"/>
            <filter val="Intrusion detection techniques in cloud environment: A survey"/>
            <filter val="A Survey of Deep Learning Methods for Cyber Security"/>
            <filter val="A Survey of Game Theory in Wireless Sensor Networks Security"/>
            <filter val="A survey of intrusion detection in Internet of Things"/>
            <filter val="Intrusion detection systems in Internet of Things: A literature review"/>
            <filter val="Survey on Incremental Approaches for Network Anomaly Detection"/>
            <filter val="Internet of Things intrusion detection systems: a comprehensive review and future directions"/>
            <filter val="A survey of intrusion detection systems based on ensemble and hybrid classifiers"/>
            <filter val="Intrusion detection systems for IoT-based smart environments: a survey"/>
            <filter val="A Comparative Study of Off-Line Deep Learning Based Network Intrusion Detection"/>
            <filter val="Performance Analysis of Intrusion Detection Systems Using a Feature Selection Method on the UNSW-NB15 Dataset"/>
            <filter val="A systematic literature review for network intrusion detection system (IDS)"/>
            <filter val="A Survey on Security for Mobile Devices"/>
            <filter val="NLP Methods in Host-based Intrusion Detection Systems: A Systematic Review and Future Directions"/>
            <filter val="Review of Energy Harvesting Technologies for Sustainable Wireless Sensor Network"/>
            <filter val="A Survey of CNN-Based Network Intrusion Detection"/>
            <filter val="A Review of the Advances in Cyber Security Benchmark Datasets for Evaluating Data-Driven Based Intrusion Detection Systems"/>
            <filter val="A critical review of intrusion detection systems in the internet of things: techniques, deployment strategy, validation strategy, attacks, public datasets and challenges"/>
            <filter val="Performance analysis of machine learning models for intrusion detection system using Gini Impurity-based Weighted Random Forest (GIWRF) feature selection technique"/>
            <filter val="Deep learning methods in network intrusion detection: A survey and an objective comparison"/>
            <filter val="A Comparative Study of Related Technologies of Intrusion Detection &amp; Prevention Systems"/>
            <filter val="A Multi-Classifier Network-Based Crypto Ransomware Detection System: A Case Study of Locky Ransomware"/>
            <filter val="A detailed analysis of CICIDS2017 dataset for designing Intrusion Detection Systems"/>
            <filter val="Survey of intrusion detection systems: techniques, datasets and challenges"/>
            <filter val="Security of embedded automotive networks: state of the art and a research proposal"/>
            <filter val="A Review of Intrusion Detection System using Machine Learning Approach"/>
            <filter val="Computational intelligence intrusion detection techniques in mobile cloud computing environments: Review, taxonomy, and open research issues"/>
            <filter val="Artificial Neural Network based Intrusion Detection System: A Survey"/>
            <filter val="A review of security attacks on IEC61850 substation automation system network"/>
            <filter val="Current trends in AI and ML for cybersecurity: A state-of-the-art survey"/>
            <filter val="The Evolution of MAC Protocols in Wireless Sensor Networks: A Survey"/>
            <filter val="A Survey on Regular Expression Matching for Deep Packet Inspection: Applications, Algorithms, and Hardware Platforms"/>
            <filter val="A Survey on Smart Agriculture: Development Modes, Technologies, and Security and Privacy Challenges"/>
            <filter val="Shallow and Deep Networks Intrusion Detection System: A Taxonomy and Survey"/>
            <filter val="CICIDS-2017 Dataset Feature Analysis With Information Gain for Anomaly Detection"/>
            <filter val="A Review of Tabular Data Synthesis Using GANs on an IDS Dataset"/>
            <filter val="An Analysis of Anonymity in Bitcoin Using P2P Network Traffic"/>
            <filter val="Contextual information fusion for intrusion detection: a survey and taxonomy"/>
            <filter val="6LoWPAN: a study on QoS security threats and countermeasures using intrusion detection system approach"/>
            <filter val="A Survey of Random Forest Based Methods for Intrusion Detection Systems"/>
            <filter val="Research on Artificial Intelligence Enhancing Internet of Things Security: A Survey"/>
            <filter val="Evaluating Federated Learning for Intrusion Detection in Internet of Things: Review and Challenges"/>
            <filter val="Deep Learning for Intrusion Detection and Security of Internet of Things (IoT): Current Analysis, Challenges, and Possible Solutions"/>
            <filter val="Toward Proactive, Adaptive Defense: A Survey on Moving Target Defense"/>
            <filter val="Intrusion Detection System Classification Using Different Machine Learning Algorithms on KDD-99 and NSL-KDD Datasets - A Review Paper"/>
            <filter val="A Review of Local Outlier Factor Algorithms for Outlier Detection in Big Data Streams"/>
            <filter val="Adversarial Machine Learning Applied to Intrusion and Malware Scenarios: A Systematic Review"/>
            <filter val="A survey of intrusion detection in wireless network applications"/>
            <filter val="Deep Learning in Intrusion Detection System: An Overview"/>
            <filter val="Intrusion Detection System for Healthcare Systems Using Medical and Network Data: A Comparison Study"/>
            <filter val="Evolution of Indoor Positioning Technologies: A Survey"/>
            <filter val="Anomaly detection of CAN bus messages through analysis of ID sequences"/>
            <filter val="A survey on intrusion detection system: feature selection, model, performance measures, application perspective, challenges, and future research directions"/>
            <filter val="Augmenting zero trust architecture to endpoints using blockchain: A state‐of‐the‐art review"/>
            <filter val="Intrusion Detection Systems: A Cross-Domain Overview"/>
            <filter val="A Survey on Data-driven Network Intrusion Detection"/>
            <filter val="A Detailed Analysis on NSL-KDD Dataset Using Various Machine Learning Techniques for Intrusion Detection"/>
            <filter val="A review of KDD99 dataset usage in intrusion detection and machine learning between 2010 and 2015"/>
            <filter val="Intelligent feature selection and classification techniques for intrusion detection in networks: a survey"/>
            <filter val="Intrusion Detection Systems for Intra-Vehicle Networks: A Review"/>
            <filter val="A Survey: Intrusion Detection Techniques for Internet of Things"/>
            <filter val="A Study on Detecting ICMPv6 Flooding Attack based on IDS"/>
            <filter val="A Survey of Attacks on Controller Area Networks and Corresponding Countermeasures"/>
            <filter val="Top 10 data mining techniques in business applications: a brief survey"/>
            <filter val="Classification of localization algorithms for wireless sensor network: A survey"/>
            <filter val="A survey and taxonomy of the fuzzy signature-based Intrusion Detection Systems"/>
            <filter val="A Survey on Machine Learning Techniques for Cyber Security in the Last Decade"/>
            <filter val="Wireless Sensing for Human Activity: A Survey"/>
            <filter val="New Directions in Automated Traffic Analysis"/>
            <filter val="Adversarial Robustness of Deep Neural Networks: A Survey from a Formal Verification Perspective"/>
            <filter val="Cybersecurity of Industrial Cyber-Physical Systems: A Review"/>
            <filter val="Smart Grid Cyber-Physical Situational Awareness of Complex Operational Technology Attacks: A Review"/>
            <filter val="Deep Learning for Encrypted Traffic Classification: An Overview"/>
            <filter val="Cyber security meets artificial intelligence: a survey"/>
            <filter val="A Review of Intrusion Detection Systems for Industrial Control Systems"/>
            <filter val="Acing the IOC Game: Toward Automatic Discovery and Analysis of Open-Source Cyber Threat Intelligence"/>
            <filter val="A Comprehensive Survey: Evaluating the Efficiency of Artificial Intelligence and Machine Learning Techniques on Cyber Security Solutions"/>
            <filter val="A survey of IT early warning systems: architectures, challenges, and solutions"/>
            <filter val="Alert correlation in collaborative intelligent intrusion detection systems - A survey"/>
            <filter val="A Comprehensive Survey on Approaches to Intrusion Detection System"/>
            <filter val="A Survey on Security Threats and Defensive Techniques of Machine Learning: A Data Driven View"/>
            <filter val="Survey of Network Intrusion Detection Methods From the Perspective of the Knowledge Discovery in Databases Process"/>
            <filter val="A Survey on Recent Approaches in Intrusion Detection System in IoTs"/>
            <filter val="An Overview of Intrusion Detection Based on Data Mining Techniques"/>
            <filter val="A Survey of Automatic Protocol Reverse Engineering Tools"/>
            <filter val="Statistical analysis of honeypot data and building of Kyoto 2006+ dataset for NIDS evaluation"/>
            <filter val="Survey of Automotive Controller Area Network Intrusion Detection Systems"/>
            <filter val="Prevalence and Diagnosis of Neurological Disorders Using Different Deep Learning Techniques: A Meta-Analysis"/>
            <filter val="Anomaly-based intrusion detection system through feature selection analysis and building hybrid efficient model"/>
            <filter val="Comparative Evaluation of AI-Based Techniques for Zero-Day Attacks Detection"/>
            <filter val="A Review of Intrusion Detection Systems Using Machine and Deep Learning in Internet of Things: Challenges, Solutions and Future Directions"/>
            <filter val="Intrusion Detection System: A Review"/>
            <filter val="A performance comparison of supervised machine learning models for Covid-19 tweets sentiment analysis"/>
            <filter val="Deep Learning-Based Intrusion Detection Systems: A Systematic Review"/>
            <filter val="A Survey on Anomaly Based Host Intrusion Detection System"/>
            <filter val="Deep transfer learning for intrusion detection in industrial control networks: A comprehensive review"/>
            <filter val="Performance Analysis of Machine Learning Algorithms in Intrusion Detection System: A Review"/>
            <filter val="Explainable Intrusion Detection Systems (X-IDS): A Survey of Current Methods, Challenges, and Opportunities"/>
            <filter val="A Review of Anomaly based Intrusion Detection Systems"/>
            <filter val="A Survey on Intrusion Detection Systems for Cloud Computing Environment"/>
            <filter val="A Study on NSL-KDD Dataset for Intrusion Detection System Based on Classification Algorithms"/>
            <filter val="Measuring team effectiveness in cyber-defense exercises: a cross-disciplinary case study"/>
            <filter val="Survey of Intrusion Detection Systems towards an End to End Secure Internet of Things"/>
            <filter val="A Survey on Industrial Control System Testbeds and Datasets for Security Research"/>
            <filter val="A survey of intrusion detection techniques in Cloud"/>
            <filter val="The Threat of Adversarial Attacks against Machine Learning in Network Security: A Survey"/>
            <filter val="Demystifying IoT Security: An Exhaustive Survey on IoT Vulnerabilities and a First Empirical Look on Internet-Scale IoT Exploitations"/>
            <filter val="A Survey of Defense Mechanisms Against Distributed Denial of Service (DDoS) Flooding Attacks"/>
            <filter val="A Detailed Investigation and Analysis of Using Machine Learning Techniques for Intrusion Detection"/>
            <filter val="Intrusion detection system for automotive Controller Area Network (CAN) bus system: a review"/>
            <filter val="A Survey of Network Attacks on Cyber-Physical Systems"/>
            <filter val="Intrusion Detection Systems for Networked Unmanned Aerial Vehicles: A Survey"/>
            <filter val="A Review on Machine Learning and Deep Learning Perspectives of IDS for IoT: Recent Updates, Security Issues, and Challenges"/>
            <filter val="Virtualization layer security challenges and intrusion detection/prevention systems in cloud computing: a comprehensive review"/>
            <filter val="Internet of Things Applications, Security Challenges, Attacks, Intrusion Detection, and Future Visions: A Systematic Review"/>
            <filter val="Data stream clustering: A survey"/>
            <filter val="A Survey on Secure Network: Intrusion Detection &amp; Prevention Approaches"/>
            <filter val="Benchmark Datasets for Network Intrusion Detection: A Review"/>
            <filter val="Zero-day attack detection: a systematic literature review"/>
            <filter val="A Detailed Analysis of Benchmark Datasets for Network Intrusion Detection System"/>
            <filter val="A Comprehensive Survey on Graph Anomaly Detection With Deep Learning"/>
            <filter val="De-duplication of database search results for systematic reviews in EndNote."/>
            <filter val="An Overview of Flow-Based and Packet-Based Intrusion Detection Performance in High Speed Networks"/>
            <filter val="A comprehensive study on deep learning bug characteristics"/>
            <filter val="Federated Deep Learning for Cyber Security in the Internet of Things: Concepts, Applications, and Experimental Analysis"/>
            <filter val="A Survey of Data Mining and Machine Learning Methods for Cyber Security Intrusion Detection"/>
            <filter val="A comprehensive survey and taxonomy of the SVM-based intrusion detection systems"/>
            <filter val="Performance Assessment of Supervised Classifiers for Designing Intrusion Detection Systems: A Comprehensive Review and Recommendations for Future Research"/>
            <filter val="A Survey of Honeypots and Honeynets for Internet of Things, Industrial Internet of Things, and Cyber-Physical Systems"/>
            <filter val="Adversarial attacks against intrusion detection systems: Taxonomy, solutions and open issues"/>
            <filter val="Detecting Cybersecurity Attacks in Internet of Things Using Artificial Intelligence Methods: A Systematic Literature Review"/>
            <filter val="A survey on Intrusion Detection Systems and Honeypot based proactive security mechanisms in VANETs and VANET Cloud"/>
            <filter val="Data Mining Techniques in Intrusion Detection Systems: A Systematic Literature Review"/>
            <filter val="A Survey of Intrusion Detection for In-Vehicle Networks"/>
            <filter val="A Survey of Network-based Intrusion Detection Data Sets"/>
            <filter val="A comprehensive survey on network anomaly detection"/>
            <filter val="Facebook users have become much more private: A large-scale study"/>
          </filters>
        </filterColumn>
        <filterColumn colId="9">
          <filters/>
        </filterColumn>
        <filterColumn colId="12">
          <filters>
            <filter val="TRUE"/>
          </filters>
        </filterColumn>
      </autoFilter>
    </customSheetView>
  </customSheetViews>
  <dataValidations>
    <dataValidation type="custom" allowBlank="1" showDropDown="1" sqref="D2:D520">
      <formula1>OR(NOT(ISERROR(DATEVALUE(D2))), AND(ISNUMBER(D2), LEFT(CELL("format", D2))="D"))</formula1>
    </dataValidation>
    <dataValidation type="list" allowBlank="1" showDropDown="1" sqref="M2:M520">
      <formula1>"TRUE,FALSE"</formula1>
    </dataValidation>
    <dataValidation type="custom" allowBlank="1" showDropDown="1" sqref="E2:E520 H2:I520 P2:S520 U2:AD520">
      <formula1>AND(ISNUMBER(E2),(NOT(OR(NOT(ISERROR(DATEVALUE(E2))), AND(ISNUMBER(E2), LEFT(CELL("format", E2))="D")))))</formula1>
    </dataValidation>
    <dataValidation type="list" allowBlank="1" showDropDown="1" sqref="A2:A520">
      <formula1>"BROAD,PRECISE"</formula1>
    </dataValidation>
    <dataValidation type="list" allowBlank="1" sqref="AE2:AE520">
      <formula1>"not-General,non-OA,unsure,Included,not-Topic"</formula1>
    </dataValidation>
    <dataValidation allowBlank="1" showDropDown="1" sqref="C2:C520 J2:J520 N2:N520"/>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sheetPr>
  <sheetViews>
    <sheetView workbookViewId="0"/>
  </sheetViews>
  <sheetFormatPr customHeight="1" defaultColWidth="12.63" defaultRowHeight="15.0"/>
  <sheetData>
    <row r="1" ht="14.25" customHeight="1">
      <c r="A1" s="42" t="s">
        <v>1</v>
      </c>
      <c r="B1" s="42" t="s">
        <v>2</v>
      </c>
      <c r="C1" s="42" t="s">
        <v>9</v>
      </c>
      <c r="D1" s="43" t="s">
        <v>4502</v>
      </c>
    </row>
    <row r="2" ht="14.25" customHeight="1">
      <c r="A2" s="44" t="s">
        <v>51</v>
      </c>
      <c r="B2" s="42" t="s">
        <v>52</v>
      </c>
      <c r="C2" s="42"/>
      <c r="D2" s="45" t="str">
        <f t="array" ref="D2:D1273">IF( A2:A1273 = "", "", IF( (A2:A1273 = Entrypoint2!A2:A1273) * (B2:B1273 = Entrypoint2!B2:B1273) * (C2:C1273 = Entrypoint2!C2:C1273), "", FALSE ) )
</f>
        <v/>
      </c>
    </row>
    <row r="3" ht="14.25" customHeight="1">
      <c r="A3" s="42" t="s">
        <v>88</v>
      </c>
      <c r="B3" s="42" t="s">
        <v>89</v>
      </c>
      <c r="C3" s="42" t="s">
        <v>94</v>
      </c>
      <c r="D3" s="46" t="s">
        <v>4495</v>
      </c>
    </row>
    <row r="4" ht="14.25" customHeight="1">
      <c r="A4" s="42" t="s">
        <v>114</v>
      </c>
      <c r="B4" s="42" t="s">
        <v>115</v>
      </c>
      <c r="C4" s="42"/>
      <c r="D4" s="46" t="s">
        <v>4495</v>
      </c>
    </row>
    <row r="5" ht="14.25" customHeight="1">
      <c r="A5" s="42" t="s">
        <v>149</v>
      </c>
      <c r="B5" s="42" t="s">
        <v>150</v>
      </c>
      <c r="C5" s="42"/>
      <c r="D5" s="46" t="s">
        <v>4495</v>
      </c>
    </row>
    <row r="6" ht="14.25" customHeight="1">
      <c r="A6" s="42" t="s">
        <v>171</v>
      </c>
      <c r="B6" s="42" t="s">
        <v>172</v>
      </c>
      <c r="C6" s="42" t="s">
        <v>176</v>
      </c>
      <c r="D6" s="46" t="s">
        <v>4495</v>
      </c>
    </row>
    <row r="7" ht="14.25" customHeight="1">
      <c r="A7" s="42" t="s">
        <v>193</v>
      </c>
      <c r="B7" s="42" t="s">
        <v>194</v>
      </c>
      <c r="C7" s="47"/>
      <c r="D7" s="48" t="s">
        <v>4495</v>
      </c>
    </row>
    <row r="8" ht="14.25" customHeight="1">
      <c r="A8" s="42" t="s">
        <v>206</v>
      </c>
      <c r="B8" s="42" t="s">
        <v>207</v>
      </c>
      <c r="C8" s="42"/>
      <c r="D8" s="46" t="s">
        <v>4495</v>
      </c>
    </row>
    <row r="9" ht="14.25" customHeight="1">
      <c r="A9" s="42" t="s">
        <v>218</v>
      </c>
      <c r="B9" s="42" t="s">
        <v>219</v>
      </c>
      <c r="C9" s="42" t="s">
        <v>222</v>
      </c>
      <c r="D9" s="46" t="s">
        <v>4495</v>
      </c>
    </row>
    <row r="10" ht="14.25" customHeight="1">
      <c r="A10" s="42" t="s">
        <v>229</v>
      </c>
      <c r="B10" s="42" t="s">
        <v>230</v>
      </c>
      <c r="C10" s="47"/>
      <c r="D10" s="48" t="s">
        <v>4495</v>
      </c>
    </row>
    <row r="11" ht="14.25" customHeight="1">
      <c r="A11" s="42" t="s">
        <v>262</v>
      </c>
      <c r="B11" s="42" t="s">
        <v>263</v>
      </c>
      <c r="C11" s="47" t="s">
        <v>266</v>
      </c>
      <c r="D11" s="48" t="s">
        <v>4495</v>
      </c>
    </row>
    <row r="12" ht="14.25" customHeight="1">
      <c r="A12" s="42" t="s">
        <v>274</v>
      </c>
      <c r="B12" s="42" t="s">
        <v>275</v>
      </c>
      <c r="C12" s="42" t="s">
        <v>278</v>
      </c>
      <c r="D12" s="46" t="s">
        <v>4495</v>
      </c>
    </row>
    <row r="13" ht="14.25" customHeight="1">
      <c r="A13" s="42" t="s">
        <v>295</v>
      </c>
      <c r="B13" s="42" t="s">
        <v>296</v>
      </c>
      <c r="C13" s="42" t="s">
        <v>299</v>
      </c>
      <c r="D13" s="46" t="s">
        <v>4495</v>
      </c>
    </row>
    <row r="14" ht="14.25" customHeight="1">
      <c r="A14" s="42" t="s">
        <v>307</v>
      </c>
      <c r="B14" s="42" t="s">
        <v>308</v>
      </c>
      <c r="C14" s="42" t="s">
        <v>311</v>
      </c>
      <c r="D14" s="46" t="s">
        <v>4495</v>
      </c>
    </row>
    <row r="15" ht="14.25" customHeight="1">
      <c r="A15" s="42" t="s">
        <v>318</v>
      </c>
      <c r="B15" s="42" t="s">
        <v>319</v>
      </c>
      <c r="C15" s="42"/>
      <c r="D15" s="46" t="s">
        <v>4495</v>
      </c>
    </row>
    <row r="16" ht="14.25" customHeight="1">
      <c r="A16" s="42" t="s">
        <v>329</v>
      </c>
      <c r="B16" s="42" t="s">
        <v>330</v>
      </c>
      <c r="C16" s="47"/>
      <c r="D16" s="48" t="s">
        <v>4495</v>
      </c>
    </row>
    <row r="17" ht="14.25" customHeight="1">
      <c r="A17" s="42" t="s">
        <v>359</v>
      </c>
      <c r="B17" s="42" t="s">
        <v>360</v>
      </c>
      <c r="C17" s="42"/>
      <c r="D17" s="46" t="s">
        <v>4495</v>
      </c>
    </row>
    <row r="18" ht="14.25" customHeight="1">
      <c r="A18" s="42" t="s">
        <v>370</v>
      </c>
      <c r="B18" s="42" t="s">
        <v>371</v>
      </c>
      <c r="C18" s="42" t="s">
        <v>374</v>
      </c>
      <c r="D18" s="46" t="s">
        <v>4495</v>
      </c>
    </row>
    <row r="19" ht="14.25" customHeight="1">
      <c r="A19" s="42" t="s">
        <v>381</v>
      </c>
      <c r="B19" s="42" t="s">
        <v>382</v>
      </c>
      <c r="C19" s="42" t="s">
        <v>386</v>
      </c>
      <c r="D19" s="46" t="s">
        <v>4495</v>
      </c>
    </row>
    <row r="20" ht="14.25" customHeight="1">
      <c r="A20" s="42" t="s">
        <v>394</v>
      </c>
      <c r="B20" s="42" t="s">
        <v>395</v>
      </c>
      <c r="C20" s="42" t="s">
        <v>398</v>
      </c>
      <c r="D20" s="46" t="s">
        <v>4495</v>
      </c>
    </row>
    <row r="21" ht="14.25" customHeight="1">
      <c r="A21" s="42" t="s">
        <v>414</v>
      </c>
      <c r="B21" s="42" t="s">
        <v>415</v>
      </c>
      <c r="C21" s="47" t="s">
        <v>419</v>
      </c>
      <c r="D21" s="48" t="s">
        <v>4495</v>
      </c>
    </row>
    <row r="22" ht="14.25" customHeight="1">
      <c r="A22" s="42" t="s">
        <v>436</v>
      </c>
      <c r="B22" s="42" t="s">
        <v>437</v>
      </c>
      <c r="C22" s="42" t="s">
        <v>440</v>
      </c>
      <c r="D22" s="46" t="s">
        <v>4495</v>
      </c>
    </row>
    <row r="23" ht="14.25" customHeight="1">
      <c r="A23" s="42" t="s">
        <v>448</v>
      </c>
      <c r="B23" s="42" t="s">
        <v>449</v>
      </c>
      <c r="C23" s="47" t="s">
        <v>451</v>
      </c>
      <c r="D23" s="48" t="s">
        <v>4495</v>
      </c>
    </row>
    <row r="24" ht="14.25" customHeight="1">
      <c r="A24" s="42" t="s">
        <v>466</v>
      </c>
      <c r="B24" s="42" t="s">
        <v>467</v>
      </c>
      <c r="C24" s="42" t="s">
        <v>470</v>
      </c>
      <c r="D24" s="46" t="s">
        <v>4495</v>
      </c>
    </row>
    <row r="25" ht="14.25" customHeight="1">
      <c r="A25" s="42" t="s">
        <v>497</v>
      </c>
      <c r="B25" s="42" t="s">
        <v>498</v>
      </c>
      <c r="C25" s="47" t="s">
        <v>501</v>
      </c>
      <c r="D25" s="48" t="s">
        <v>4495</v>
      </c>
    </row>
    <row r="26" ht="14.25" customHeight="1">
      <c r="A26" s="42" t="s">
        <v>508</v>
      </c>
      <c r="B26" s="42" t="s">
        <v>509</v>
      </c>
      <c r="C26" s="47" t="s">
        <v>512</v>
      </c>
      <c r="D26" s="48" t="s">
        <v>4495</v>
      </c>
    </row>
    <row r="27" ht="14.25" customHeight="1">
      <c r="A27" s="42" t="s">
        <v>520</v>
      </c>
      <c r="B27" s="42" t="s">
        <v>521</v>
      </c>
      <c r="C27" s="42"/>
      <c r="D27" s="46" t="s">
        <v>4495</v>
      </c>
    </row>
    <row r="28" ht="14.25" customHeight="1">
      <c r="A28" s="42" t="s">
        <v>548</v>
      </c>
      <c r="B28" s="42" t="s">
        <v>549</v>
      </c>
      <c r="C28" s="42" t="s">
        <v>552</v>
      </c>
      <c r="D28" s="46" t="s">
        <v>4495</v>
      </c>
    </row>
    <row r="29" ht="14.25" customHeight="1">
      <c r="A29" s="42" t="s">
        <v>568</v>
      </c>
      <c r="B29" s="42" t="s">
        <v>569</v>
      </c>
      <c r="C29" s="42" t="s">
        <v>572</v>
      </c>
      <c r="D29" s="46" t="s">
        <v>4495</v>
      </c>
    </row>
    <row r="30" ht="14.25" customHeight="1">
      <c r="A30" s="42" t="s">
        <v>587</v>
      </c>
      <c r="B30" s="42" t="s">
        <v>588</v>
      </c>
      <c r="C30" s="42"/>
      <c r="D30" s="46" t="s">
        <v>4495</v>
      </c>
    </row>
    <row r="31" ht="14.25" customHeight="1">
      <c r="A31" s="42" t="s">
        <v>606</v>
      </c>
      <c r="B31" s="42" t="s">
        <v>607</v>
      </c>
      <c r="C31" s="42" t="s">
        <v>609</v>
      </c>
      <c r="D31" s="46" t="s">
        <v>4495</v>
      </c>
    </row>
    <row r="32" ht="14.25" customHeight="1">
      <c r="A32" s="42" t="s">
        <v>629</v>
      </c>
      <c r="B32" s="42" t="s">
        <v>630</v>
      </c>
      <c r="C32" s="42" t="s">
        <v>631</v>
      </c>
      <c r="D32" s="46" t="s">
        <v>4495</v>
      </c>
    </row>
    <row r="33" ht="14.25" customHeight="1">
      <c r="A33" s="42" t="s">
        <v>639</v>
      </c>
      <c r="B33" s="42" t="s">
        <v>640</v>
      </c>
      <c r="C33" s="47"/>
      <c r="D33" s="48" t="s">
        <v>4495</v>
      </c>
    </row>
    <row r="34" ht="14.25" customHeight="1">
      <c r="A34" s="42" t="s">
        <v>656</v>
      </c>
      <c r="B34" s="42" t="s">
        <v>657</v>
      </c>
      <c r="C34" s="47"/>
      <c r="D34" s="48" t="s">
        <v>4495</v>
      </c>
    </row>
    <row r="35" ht="14.25" customHeight="1">
      <c r="A35" s="42" t="s">
        <v>665</v>
      </c>
      <c r="B35" s="42" t="s">
        <v>666</v>
      </c>
      <c r="C35" s="47"/>
      <c r="D35" s="48" t="s">
        <v>4495</v>
      </c>
    </row>
    <row r="36" ht="14.25" customHeight="1">
      <c r="A36" s="42" t="s">
        <v>673</v>
      </c>
      <c r="B36" s="42" t="s">
        <v>674</v>
      </c>
      <c r="C36" s="42"/>
      <c r="D36" s="46" t="s">
        <v>4495</v>
      </c>
    </row>
    <row r="37" ht="14.25" customHeight="1">
      <c r="A37" s="42" t="s">
        <v>691</v>
      </c>
      <c r="B37" s="42" t="s">
        <v>692</v>
      </c>
      <c r="C37" s="42" t="s">
        <v>694</v>
      </c>
      <c r="D37" s="46" t="s">
        <v>4495</v>
      </c>
    </row>
    <row r="38" ht="14.25" customHeight="1">
      <c r="A38" s="42" t="s">
        <v>702</v>
      </c>
      <c r="B38" s="42" t="s">
        <v>703</v>
      </c>
      <c r="C38" s="42" t="s">
        <v>706</v>
      </c>
      <c r="D38" s="46" t="s">
        <v>4495</v>
      </c>
    </row>
    <row r="39" ht="14.25" customHeight="1">
      <c r="A39" s="42" t="s">
        <v>711</v>
      </c>
      <c r="B39" s="42" t="s">
        <v>712</v>
      </c>
      <c r="C39" s="42" t="s">
        <v>714</v>
      </c>
      <c r="D39" s="46" t="s">
        <v>4495</v>
      </c>
    </row>
    <row r="40" ht="14.25" customHeight="1">
      <c r="A40" s="42" t="s">
        <v>722</v>
      </c>
      <c r="B40" s="42" t="s">
        <v>723</v>
      </c>
      <c r="C40" s="47" t="s">
        <v>726</v>
      </c>
      <c r="D40" s="48" t="s">
        <v>4495</v>
      </c>
    </row>
    <row r="41" ht="14.25" customHeight="1">
      <c r="A41" s="42" t="s">
        <v>744</v>
      </c>
      <c r="B41" s="42" t="s">
        <v>745</v>
      </c>
      <c r="C41" s="47" t="s">
        <v>748</v>
      </c>
      <c r="D41" s="48" t="s">
        <v>4495</v>
      </c>
    </row>
    <row r="42" ht="14.25" customHeight="1">
      <c r="A42" s="42" t="s">
        <v>767</v>
      </c>
      <c r="B42" s="42" t="s">
        <v>768</v>
      </c>
      <c r="C42" s="47" t="s">
        <v>771</v>
      </c>
      <c r="D42" s="48" t="s">
        <v>4495</v>
      </c>
    </row>
    <row r="43" ht="14.25" customHeight="1">
      <c r="A43" s="42" t="s">
        <v>778</v>
      </c>
      <c r="B43" s="42" t="s">
        <v>779</v>
      </c>
      <c r="C43" s="42" t="s">
        <v>781</v>
      </c>
      <c r="D43" s="46" t="s">
        <v>4495</v>
      </c>
    </row>
    <row r="44" ht="14.25" customHeight="1">
      <c r="A44" s="42" t="s">
        <v>788</v>
      </c>
      <c r="B44" s="42" t="s">
        <v>789</v>
      </c>
      <c r="C44" s="42" t="s">
        <v>792</v>
      </c>
      <c r="D44" s="46" t="s">
        <v>4495</v>
      </c>
    </row>
    <row r="45" ht="14.25" customHeight="1">
      <c r="A45" s="42" t="s">
        <v>799</v>
      </c>
      <c r="B45" s="42" t="s">
        <v>800</v>
      </c>
      <c r="C45" s="42" t="s">
        <v>803</v>
      </c>
      <c r="D45" s="46" t="s">
        <v>4495</v>
      </c>
    </row>
    <row r="46" ht="14.25" customHeight="1">
      <c r="A46" s="42" t="s">
        <v>819</v>
      </c>
      <c r="B46" s="42" t="s">
        <v>820</v>
      </c>
      <c r="C46" s="42" t="s">
        <v>823</v>
      </c>
      <c r="D46" s="46" t="s">
        <v>4495</v>
      </c>
    </row>
    <row r="47" ht="14.25" customHeight="1">
      <c r="A47" s="42" t="s">
        <v>831</v>
      </c>
      <c r="B47" s="42" t="s">
        <v>832</v>
      </c>
      <c r="C47" s="47" t="s">
        <v>834</v>
      </c>
      <c r="D47" s="48" t="s">
        <v>4495</v>
      </c>
    </row>
    <row r="48" ht="14.25" customHeight="1">
      <c r="A48" s="42" t="s">
        <v>840</v>
      </c>
      <c r="B48" s="42" t="s">
        <v>841</v>
      </c>
      <c r="C48" s="47" t="s">
        <v>844</v>
      </c>
      <c r="D48" s="48" t="s">
        <v>4495</v>
      </c>
    </row>
    <row r="49" ht="14.25" customHeight="1">
      <c r="A49" s="42" t="s">
        <v>850</v>
      </c>
      <c r="B49" s="42" t="s">
        <v>851</v>
      </c>
      <c r="C49" s="42"/>
      <c r="D49" s="46" t="s">
        <v>4495</v>
      </c>
    </row>
    <row r="50" ht="14.25" customHeight="1">
      <c r="A50" s="42" t="s">
        <v>868</v>
      </c>
      <c r="B50" s="42" t="s">
        <v>869</v>
      </c>
      <c r="C50" s="42" t="s">
        <v>871</v>
      </c>
      <c r="D50" s="46" t="s">
        <v>4495</v>
      </c>
    </row>
    <row r="51" ht="14.25" customHeight="1">
      <c r="A51" s="42" t="s">
        <v>877</v>
      </c>
      <c r="B51" s="42" t="s">
        <v>878</v>
      </c>
      <c r="C51" s="42" t="s">
        <v>882</v>
      </c>
      <c r="D51" s="46" t="s">
        <v>4495</v>
      </c>
    </row>
    <row r="52" ht="14.25" customHeight="1">
      <c r="A52" s="42" t="s">
        <v>889</v>
      </c>
      <c r="B52" s="42" t="s">
        <v>890</v>
      </c>
      <c r="C52" s="47" t="s">
        <v>892</v>
      </c>
      <c r="D52" s="48" t="s">
        <v>4495</v>
      </c>
    </row>
    <row r="53" ht="14.25" customHeight="1">
      <c r="A53" s="42" t="s">
        <v>899</v>
      </c>
      <c r="B53" s="42" t="s">
        <v>900</v>
      </c>
      <c r="C53" s="42"/>
      <c r="D53" s="46" t="s">
        <v>4495</v>
      </c>
    </row>
    <row r="54" ht="14.25" customHeight="1">
      <c r="A54" s="42" t="s">
        <v>916</v>
      </c>
      <c r="B54" s="42" t="s">
        <v>917</v>
      </c>
      <c r="C54" s="42" t="s">
        <v>919</v>
      </c>
      <c r="D54" s="46" t="s">
        <v>4495</v>
      </c>
    </row>
    <row r="55" ht="14.25" customHeight="1">
      <c r="A55" s="42" t="s">
        <v>924</v>
      </c>
      <c r="B55" s="42" t="s">
        <v>925</v>
      </c>
      <c r="C55" s="42" t="s">
        <v>927</v>
      </c>
      <c r="D55" s="46" t="s">
        <v>4495</v>
      </c>
    </row>
    <row r="56" ht="14.25" customHeight="1">
      <c r="A56" s="42" t="s">
        <v>943</v>
      </c>
      <c r="B56" s="42" t="s">
        <v>944</v>
      </c>
      <c r="C56" s="42" t="s">
        <v>946</v>
      </c>
      <c r="D56" s="46" t="s">
        <v>4495</v>
      </c>
    </row>
    <row r="57" ht="14.25" customHeight="1">
      <c r="A57" s="42" t="s">
        <v>951</v>
      </c>
      <c r="B57" s="42" t="s">
        <v>952</v>
      </c>
      <c r="C57" s="42" t="s">
        <v>954</v>
      </c>
      <c r="D57" s="46" t="s">
        <v>4495</v>
      </c>
    </row>
    <row r="58" ht="14.25" customHeight="1">
      <c r="A58" s="42" t="s">
        <v>967</v>
      </c>
      <c r="B58" s="42" t="s">
        <v>968</v>
      </c>
      <c r="C58" s="42"/>
      <c r="D58" s="46" t="s">
        <v>4495</v>
      </c>
    </row>
    <row r="59" ht="14.25" customHeight="1">
      <c r="A59" s="42" t="s">
        <v>983</v>
      </c>
      <c r="B59" s="42" t="s">
        <v>984</v>
      </c>
      <c r="C59" s="42" t="s">
        <v>986</v>
      </c>
      <c r="D59" s="46" t="s">
        <v>4495</v>
      </c>
    </row>
    <row r="60" ht="14.25" customHeight="1">
      <c r="A60" s="42" t="s">
        <v>1007</v>
      </c>
      <c r="B60" s="42" t="s">
        <v>1008</v>
      </c>
      <c r="C60" s="42"/>
      <c r="D60" s="46" t="s">
        <v>4495</v>
      </c>
    </row>
    <row r="61" ht="14.25" customHeight="1">
      <c r="A61" s="42" t="s">
        <v>1013</v>
      </c>
      <c r="B61" s="42" t="s">
        <v>1014</v>
      </c>
      <c r="C61" s="42" t="s">
        <v>1016</v>
      </c>
      <c r="D61" s="46" t="s">
        <v>4495</v>
      </c>
    </row>
    <row r="62" ht="14.25" customHeight="1">
      <c r="A62" s="42" t="s">
        <v>1029</v>
      </c>
      <c r="B62" s="42" t="s">
        <v>1030</v>
      </c>
      <c r="C62" s="47" t="s">
        <v>1033</v>
      </c>
      <c r="D62" s="48" t="s">
        <v>4495</v>
      </c>
    </row>
    <row r="63" ht="14.25" customHeight="1">
      <c r="A63" s="42" t="s">
        <v>1050</v>
      </c>
      <c r="B63" s="42" t="s">
        <v>1051</v>
      </c>
      <c r="C63" s="47" t="s">
        <v>1053</v>
      </c>
      <c r="D63" s="48" t="s">
        <v>4495</v>
      </c>
    </row>
    <row r="64" ht="14.25" customHeight="1">
      <c r="A64" s="42" t="s">
        <v>1060</v>
      </c>
      <c r="B64" s="42" t="s">
        <v>1061</v>
      </c>
      <c r="C64" s="47" t="s">
        <v>1063</v>
      </c>
      <c r="D64" s="48" t="s">
        <v>4495</v>
      </c>
    </row>
    <row r="65" ht="14.25" customHeight="1">
      <c r="A65" s="42" t="s">
        <v>1070</v>
      </c>
      <c r="B65" s="42" t="s">
        <v>1071</v>
      </c>
      <c r="C65" s="42" t="s">
        <v>1074</v>
      </c>
      <c r="D65" s="46" t="s">
        <v>4495</v>
      </c>
    </row>
    <row r="66" ht="14.25" customHeight="1">
      <c r="A66" s="42" t="s">
        <v>1089</v>
      </c>
      <c r="B66" s="42" t="s">
        <v>1090</v>
      </c>
      <c r="C66" s="42" t="s">
        <v>1091</v>
      </c>
      <c r="D66" s="46" t="s">
        <v>4495</v>
      </c>
    </row>
    <row r="67" ht="14.25" customHeight="1">
      <c r="A67" s="42" t="s">
        <v>1116</v>
      </c>
      <c r="B67" s="42" t="s">
        <v>1117</v>
      </c>
      <c r="C67" s="42" t="s">
        <v>1120</v>
      </c>
      <c r="D67" s="46" t="s">
        <v>4495</v>
      </c>
    </row>
    <row r="68" ht="14.25" customHeight="1">
      <c r="A68" s="42" t="s">
        <v>1140</v>
      </c>
      <c r="B68" s="42" t="s">
        <v>1141</v>
      </c>
      <c r="C68" s="47" t="s">
        <v>1142</v>
      </c>
      <c r="D68" s="48" t="s">
        <v>4495</v>
      </c>
    </row>
    <row r="69" ht="14.25" customHeight="1">
      <c r="A69" s="42" t="s">
        <v>1158</v>
      </c>
      <c r="B69" s="42" t="s">
        <v>1159</v>
      </c>
      <c r="C69" s="42" t="s">
        <v>1162</v>
      </c>
      <c r="D69" s="46" t="s">
        <v>4495</v>
      </c>
    </row>
    <row r="70" ht="14.25" customHeight="1">
      <c r="A70" s="42" t="s">
        <v>1169</v>
      </c>
      <c r="B70" s="42" t="s">
        <v>1170</v>
      </c>
      <c r="C70" s="42" t="s">
        <v>1172</v>
      </c>
      <c r="D70" s="46" t="s">
        <v>4495</v>
      </c>
    </row>
    <row r="71" ht="14.25" customHeight="1">
      <c r="A71" s="42" t="s">
        <v>1185</v>
      </c>
      <c r="B71" s="42" t="s">
        <v>1186</v>
      </c>
      <c r="C71" s="42" t="s">
        <v>1189</v>
      </c>
      <c r="D71" s="46" t="s">
        <v>4495</v>
      </c>
    </row>
    <row r="72" ht="14.25" customHeight="1">
      <c r="A72" s="42" t="s">
        <v>1195</v>
      </c>
      <c r="B72" s="42" t="s">
        <v>1196</v>
      </c>
      <c r="C72" s="42"/>
      <c r="D72" s="46" t="s">
        <v>4495</v>
      </c>
    </row>
    <row r="73" ht="14.25" customHeight="1">
      <c r="A73" s="42" t="s">
        <v>1209</v>
      </c>
      <c r="B73" s="42" t="s">
        <v>1210</v>
      </c>
      <c r="C73" s="42" t="s">
        <v>1212</v>
      </c>
      <c r="D73" s="46" t="s">
        <v>4495</v>
      </c>
    </row>
    <row r="74" ht="14.25" customHeight="1">
      <c r="A74" s="42" t="s">
        <v>1229</v>
      </c>
      <c r="B74" s="42" t="s">
        <v>1230</v>
      </c>
      <c r="C74" s="42"/>
      <c r="D74" s="46" t="s">
        <v>4495</v>
      </c>
    </row>
    <row r="75" ht="14.25" customHeight="1">
      <c r="A75" s="42" t="s">
        <v>1254</v>
      </c>
      <c r="B75" s="42" t="s">
        <v>1255</v>
      </c>
      <c r="C75" s="42"/>
      <c r="D75" s="46" t="s">
        <v>4495</v>
      </c>
    </row>
    <row r="76" ht="14.25" customHeight="1">
      <c r="A76" s="42" t="s">
        <v>1264</v>
      </c>
      <c r="B76" s="42" t="s">
        <v>1265</v>
      </c>
      <c r="C76" s="47" t="s">
        <v>1267</v>
      </c>
      <c r="D76" s="48" t="s">
        <v>4495</v>
      </c>
    </row>
    <row r="77" ht="14.25" customHeight="1">
      <c r="A77" s="42" t="s">
        <v>1298</v>
      </c>
      <c r="B77" s="42" t="s">
        <v>1299</v>
      </c>
      <c r="C77" s="42" t="s">
        <v>1301</v>
      </c>
      <c r="D77" s="46" t="s">
        <v>4495</v>
      </c>
    </row>
    <row r="78" ht="14.25" customHeight="1">
      <c r="A78" s="42" t="s">
        <v>1309</v>
      </c>
      <c r="B78" s="42" t="s">
        <v>1310</v>
      </c>
      <c r="C78" s="42" t="s">
        <v>1312</v>
      </c>
      <c r="D78" s="46" t="s">
        <v>4495</v>
      </c>
    </row>
    <row r="79" ht="14.25" customHeight="1">
      <c r="A79" s="42" t="s">
        <v>1355</v>
      </c>
      <c r="B79" s="42" t="s">
        <v>1356</v>
      </c>
      <c r="C79" s="42" t="s">
        <v>1357</v>
      </c>
      <c r="D79" s="46" t="s">
        <v>4495</v>
      </c>
    </row>
    <row r="80" ht="14.25" customHeight="1">
      <c r="A80" s="42" t="s">
        <v>1365</v>
      </c>
      <c r="B80" s="42" t="s">
        <v>1366</v>
      </c>
      <c r="C80" s="42" t="s">
        <v>1369</v>
      </c>
      <c r="D80" s="46" t="s">
        <v>4495</v>
      </c>
    </row>
    <row r="81" ht="14.25" customHeight="1">
      <c r="A81" s="42" t="s">
        <v>1375</v>
      </c>
      <c r="B81" s="42" t="s">
        <v>1376</v>
      </c>
      <c r="C81" s="47" t="s">
        <v>1379</v>
      </c>
      <c r="D81" s="48" t="s">
        <v>4495</v>
      </c>
    </row>
    <row r="82" ht="14.25" customHeight="1">
      <c r="A82" s="42" t="s">
        <v>1385</v>
      </c>
      <c r="B82" s="42" t="s">
        <v>1386</v>
      </c>
      <c r="C82" s="47" t="s">
        <v>1389</v>
      </c>
      <c r="D82" s="48" t="s">
        <v>4495</v>
      </c>
    </row>
    <row r="83" ht="14.25" customHeight="1">
      <c r="A83" s="42" t="s">
        <v>1395</v>
      </c>
      <c r="B83" s="42" t="s">
        <v>1396</v>
      </c>
      <c r="C83" s="42" t="s">
        <v>1398</v>
      </c>
      <c r="D83" s="46" t="s">
        <v>4495</v>
      </c>
    </row>
    <row r="84" ht="14.25" customHeight="1">
      <c r="A84" s="42" t="s">
        <v>1406</v>
      </c>
      <c r="B84" s="42" t="s">
        <v>1407</v>
      </c>
      <c r="C84" s="42" t="s">
        <v>1409</v>
      </c>
      <c r="D84" s="46" t="s">
        <v>4495</v>
      </c>
    </row>
    <row r="85" ht="14.25" customHeight="1">
      <c r="A85" s="42" t="s">
        <v>1415</v>
      </c>
      <c r="B85" s="42" t="s">
        <v>1416</v>
      </c>
      <c r="C85" s="42"/>
      <c r="D85" s="46" t="s">
        <v>4495</v>
      </c>
    </row>
    <row r="86" ht="14.25" customHeight="1">
      <c r="A86" s="42" t="s">
        <v>1424</v>
      </c>
      <c r="B86" s="42" t="s">
        <v>1425</v>
      </c>
      <c r="C86" s="42" t="s">
        <v>1427</v>
      </c>
      <c r="D86" s="46" t="s">
        <v>4495</v>
      </c>
    </row>
    <row r="87" ht="14.25" customHeight="1">
      <c r="A87" s="42" t="s">
        <v>1434</v>
      </c>
      <c r="B87" s="42" t="s">
        <v>1435</v>
      </c>
      <c r="C87" s="47"/>
      <c r="D87" s="48" t="s">
        <v>4495</v>
      </c>
    </row>
    <row r="88" ht="14.25" customHeight="1">
      <c r="A88" s="42" t="s">
        <v>1443</v>
      </c>
      <c r="B88" s="42" t="s">
        <v>1444</v>
      </c>
      <c r="C88" s="42" t="s">
        <v>1446</v>
      </c>
      <c r="D88" s="46" t="s">
        <v>4495</v>
      </c>
    </row>
    <row r="89" ht="14.25" customHeight="1">
      <c r="A89" s="42" t="s">
        <v>1458</v>
      </c>
      <c r="B89" s="42" t="s">
        <v>1459</v>
      </c>
      <c r="C89" s="42" t="s">
        <v>1461</v>
      </c>
      <c r="D89" s="46" t="s">
        <v>4495</v>
      </c>
    </row>
    <row r="90" ht="14.25" customHeight="1">
      <c r="A90" s="42" t="s">
        <v>1502</v>
      </c>
      <c r="B90" s="42" t="s">
        <v>1503</v>
      </c>
      <c r="C90" s="47" t="s">
        <v>1504</v>
      </c>
      <c r="D90" s="48" t="s">
        <v>4495</v>
      </c>
    </row>
    <row r="91" ht="14.25" customHeight="1">
      <c r="A91" s="42" t="s">
        <v>1517</v>
      </c>
      <c r="B91" s="42" t="s">
        <v>1518</v>
      </c>
      <c r="C91" s="47" t="s">
        <v>1519</v>
      </c>
      <c r="D91" s="48" t="s">
        <v>4495</v>
      </c>
    </row>
    <row r="92" ht="14.25" customHeight="1">
      <c r="A92" s="42" t="s">
        <v>1527</v>
      </c>
      <c r="B92" s="42" t="s">
        <v>1528</v>
      </c>
      <c r="C92" s="42" t="s">
        <v>1530</v>
      </c>
      <c r="D92" s="46" t="s">
        <v>4495</v>
      </c>
    </row>
    <row r="93" ht="14.25" customHeight="1">
      <c r="A93" s="42" t="s">
        <v>1536</v>
      </c>
      <c r="B93" s="42" t="s">
        <v>1537</v>
      </c>
      <c r="C93" s="42" t="s">
        <v>1539</v>
      </c>
      <c r="D93" s="46" t="s">
        <v>4495</v>
      </c>
    </row>
    <row r="94" ht="14.25" customHeight="1">
      <c r="A94" s="42" t="s">
        <v>1549</v>
      </c>
      <c r="B94" s="42" t="s">
        <v>1550</v>
      </c>
      <c r="C94" s="42" t="s">
        <v>1552</v>
      </c>
      <c r="D94" s="46" t="s">
        <v>4495</v>
      </c>
    </row>
    <row r="95" ht="14.25" customHeight="1">
      <c r="A95" s="42" t="s">
        <v>1562</v>
      </c>
      <c r="B95" s="42" t="s">
        <v>1563</v>
      </c>
      <c r="C95" s="42" t="s">
        <v>1564</v>
      </c>
      <c r="D95" s="46" t="s">
        <v>4495</v>
      </c>
    </row>
    <row r="96" ht="14.25" customHeight="1">
      <c r="A96" s="42" t="s">
        <v>1578</v>
      </c>
      <c r="B96" s="42" t="s">
        <v>1579</v>
      </c>
      <c r="C96" s="42" t="s">
        <v>1580</v>
      </c>
      <c r="D96" s="46" t="s">
        <v>4495</v>
      </c>
    </row>
    <row r="97" ht="14.25" customHeight="1">
      <c r="A97" s="42" t="s">
        <v>1587</v>
      </c>
      <c r="B97" s="42" t="s">
        <v>1588</v>
      </c>
      <c r="C97" s="42" t="s">
        <v>1590</v>
      </c>
      <c r="D97" s="46" t="s">
        <v>4495</v>
      </c>
    </row>
    <row r="98" ht="14.25" customHeight="1">
      <c r="A98" s="42" t="s">
        <v>1609</v>
      </c>
      <c r="B98" s="42" t="s">
        <v>1610</v>
      </c>
      <c r="C98" s="47" t="s">
        <v>1612</v>
      </c>
      <c r="D98" s="48" t="s">
        <v>4495</v>
      </c>
    </row>
    <row r="99" ht="14.25" customHeight="1">
      <c r="A99" s="42" t="s">
        <v>1618</v>
      </c>
      <c r="B99" s="42" t="s">
        <v>1619</v>
      </c>
      <c r="C99" s="42"/>
      <c r="D99" s="46" t="s">
        <v>4495</v>
      </c>
    </row>
    <row r="100" ht="14.25" customHeight="1">
      <c r="A100" s="42" t="s">
        <v>1636</v>
      </c>
      <c r="B100" s="42" t="s">
        <v>1637</v>
      </c>
      <c r="C100" s="42"/>
      <c r="D100" s="46" t="s">
        <v>4495</v>
      </c>
    </row>
    <row r="101" ht="14.25" customHeight="1">
      <c r="A101" s="42" t="s">
        <v>1652</v>
      </c>
      <c r="B101" s="42" t="s">
        <v>1653</v>
      </c>
      <c r="C101" s="42" t="s">
        <v>1655</v>
      </c>
      <c r="D101" s="46" t="s">
        <v>4495</v>
      </c>
    </row>
    <row r="102" ht="14.25" customHeight="1">
      <c r="A102" s="42" t="s">
        <v>1662</v>
      </c>
      <c r="B102" s="42" t="s">
        <v>1663</v>
      </c>
      <c r="C102" s="42" t="s">
        <v>1665</v>
      </c>
      <c r="D102" s="46" t="s">
        <v>4495</v>
      </c>
    </row>
    <row r="103" ht="14.25" customHeight="1">
      <c r="A103" s="42" t="s">
        <v>1686</v>
      </c>
      <c r="B103" s="42" t="s">
        <v>1687</v>
      </c>
      <c r="C103" s="47" t="s">
        <v>1689</v>
      </c>
      <c r="D103" s="48" t="s">
        <v>4495</v>
      </c>
    </row>
    <row r="104" ht="14.25" customHeight="1">
      <c r="A104" s="42" t="s">
        <v>1708</v>
      </c>
      <c r="B104" s="42" t="s">
        <v>1709</v>
      </c>
      <c r="C104" s="47" t="s">
        <v>1711</v>
      </c>
      <c r="D104" s="48" t="s">
        <v>4495</v>
      </c>
    </row>
    <row r="105" ht="14.25" customHeight="1">
      <c r="A105" s="42" t="s">
        <v>1722</v>
      </c>
      <c r="B105" s="42" t="s">
        <v>1723</v>
      </c>
      <c r="C105" s="42"/>
      <c r="D105" s="46" t="s">
        <v>4495</v>
      </c>
    </row>
    <row r="106" ht="14.25" customHeight="1">
      <c r="A106" s="42" t="s">
        <v>1737</v>
      </c>
      <c r="B106" s="42" t="s">
        <v>1738</v>
      </c>
      <c r="C106" s="42"/>
      <c r="D106" s="46" t="s">
        <v>4495</v>
      </c>
    </row>
    <row r="107" ht="14.25" customHeight="1">
      <c r="A107" s="42" t="s">
        <v>1781</v>
      </c>
      <c r="B107" s="42" t="s">
        <v>1782</v>
      </c>
      <c r="C107" s="42"/>
      <c r="D107" s="46" t="s">
        <v>4495</v>
      </c>
    </row>
    <row r="108" ht="14.25" customHeight="1">
      <c r="A108" s="42" t="s">
        <v>1788</v>
      </c>
      <c r="B108" s="42" t="s">
        <v>1789</v>
      </c>
      <c r="C108" s="42"/>
      <c r="D108" s="46" t="s">
        <v>4495</v>
      </c>
    </row>
    <row r="109" ht="14.25" customHeight="1">
      <c r="A109" s="42" t="s">
        <v>1798</v>
      </c>
      <c r="B109" s="42" t="s">
        <v>1799</v>
      </c>
      <c r="C109" s="42" t="s">
        <v>1802</v>
      </c>
      <c r="D109" s="46" t="s">
        <v>4495</v>
      </c>
    </row>
    <row r="110" ht="14.25" customHeight="1">
      <c r="A110" s="42" t="s">
        <v>1808</v>
      </c>
      <c r="B110" s="42" t="s">
        <v>1809</v>
      </c>
      <c r="C110" s="42" t="s">
        <v>1811</v>
      </c>
      <c r="D110" s="46" t="s">
        <v>4495</v>
      </c>
    </row>
    <row r="111" ht="14.25" customHeight="1">
      <c r="A111" s="42" t="s">
        <v>1825</v>
      </c>
      <c r="B111" s="42" t="s">
        <v>1826</v>
      </c>
      <c r="C111" s="42" t="s">
        <v>1828</v>
      </c>
      <c r="D111" s="46" t="s">
        <v>4495</v>
      </c>
    </row>
    <row r="112" ht="14.25" customHeight="1">
      <c r="A112" s="42" t="s">
        <v>1846</v>
      </c>
      <c r="B112" s="42" t="s">
        <v>1847</v>
      </c>
      <c r="C112" s="42" t="s">
        <v>1849</v>
      </c>
      <c r="D112" s="46" t="s">
        <v>4495</v>
      </c>
    </row>
    <row r="113" ht="14.25" customHeight="1">
      <c r="A113" s="42" t="s">
        <v>1864</v>
      </c>
      <c r="B113" s="42" t="s">
        <v>1865</v>
      </c>
      <c r="C113" s="42" t="s">
        <v>1868</v>
      </c>
      <c r="D113" s="46" t="s">
        <v>4495</v>
      </c>
    </row>
    <row r="114" ht="14.25" customHeight="1">
      <c r="A114" s="42" t="s">
        <v>1893</v>
      </c>
      <c r="B114" s="42" t="s">
        <v>1894</v>
      </c>
      <c r="C114" s="47" t="s">
        <v>1896</v>
      </c>
      <c r="D114" s="48" t="s">
        <v>4495</v>
      </c>
    </row>
    <row r="115" ht="14.25" customHeight="1">
      <c r="A115" s="42" t="s">
        <v>1903</v>
      </c>
      <c r="B115" s="42" t="s">
        <v>1904</v>
      </c>
      <c r="C115" s="42"/>
      <c r="D115" s="46" t="s">
        <v>4495</v>
      </c>
    </row>
    <row r="116" ht="14.25" customHeight="1">
      <c r="A116" s="42" t="s">
        <v>1921</v>
      </c>
      <c r="B116" s="42" t="s">
        <v>1922</v>
      </c>
      <c r="C116" s="42" t="s">
        <v>1925</v>
      </c>
      <c r="D116" s="46" t="s">
        <v>4495</v>
      </c>
    </row>
    <row r="117" ht="14.25" customHeight="1">
      <c r="A117" s="42" t="s">
        <v>1953</v>
      </c>
      <c r="B117" s="42" t="s">
        <v>1954</v>
      </c>
      <c r="C117" s="42" t="s">
        <v>1956</v>
      </c>
      <c r="D117" s="46" t="s">
        <v>4495</v>
      </c>
    </row>
    <row r="118" ht="14.25" customHeight="1">
      <c r="A118" s="42" t="s">
        <v>1969</v>
      </c>
      <c r="B118" s="42" t="s">
        <v>1970</v>
      </c>
      <c r="C118" s="42"/>
      <c r="D118" s="46" t="s">
        <v>4495</v>
      </c>
    </row>
    <row r="119" ht="14.25" customHeight="1">
      <c r="A119" s="42" t="s">
        <v>1985</v>
      </c>
      <c r="B119" s="42" t="s">
        <v>1986</v>
      </c>
      <c r="C119" s="42" t="s">
        <v>1988</v>
      </c>
      <c r="D119" s="46" t="s">
        <v>4495</v>
      </c>
    </row>
    <row r="120" ht="14.25" customHeight="1">
      <c r="A120" s="42" t="s">
        <v>1992</v>
      </c>
      <c r="B120" s="42" t="s">
        <v>1993</v>
      </c>
      <c r="C120" s="42" t="s">
        <v>1995</v>
      </c>
      <c r="D120" s="46" t="s">
        <v>4495</v>
      </c>
    </row>
    <row r="121" ht="14.25" customHeight="1">
      <c r="A121" s="42" t="s">
        <v>2020</v>
      </c>
      <c r="B121" s="42" t="s">
        <v>2021</v>
      </c>
      <c r="C121" s="42" t="s">
        <v>2024</v>
      </c>
      <c r="D121" s="46" t="s">
        <v>4495</v>
      </c>
    </row>
    <row r="122" ht="14.25" customHeight="1">
      <c r="A122" s="42" t="s">
        <v>2036</v>
      </c>
      <c r="B122" s="42" t="s">
        <v>2037</v>
      </c>
      <c r="C122" s="42"/>
      <c r="D122" s="46" t="s">
        <v>4495</v>
      </c>
    </row>
    <row r="123" ht="14.25" customHeight="1">
      <c r="A123" s="42" t="s">
        <v>2055</v>
      </c>
      <c r="B123" s="42" t="s">
        <v>2056</v>
      </c>
      <c r="C123" s="42" t="s">
        <v>2058</v>
      </c>
      <c r="D123" s="46" t="s">
        <v>4495</v>
      </c>
    </row>
    <row r="124" ht="14.25" customHeight="1">
      <c r="A124" s="42" t="s">
        <v>2063</v>
      </c>
      <c r="B124" s="42" t="s">
        <v>2064</v>
      </c>
      <c r="C124" s="42" t="s">
        <v>2066</v>
      </c>
      <c r="D124" s="46" t="s">
        <v>4495</v>
      </c>
    </row>
    <row r="125" ht="14.25" customHeight="1">
      <c r="A125" s="42" t="s">
        <v>2103</v>
      </c>
      <c r="B125" s="42" t="s">
        <v>2104</v>
      </c>
      <c r="C125" s="42" t="s">
        <v>2106</v>
      </c>
      <c r="D125" s="46" t="s">
        <v>4495</v>
      </c>
    </row>
    <row r="126" ht="14.25" customHeight="1">
      <c r="A126" s="42" t="s">
        <v>2120</v>
      </c>
      <c r="B126" s="42" t="s">
        <v>2121</v>
      </c>
      <c r="C126" s="47" t="s">
        <v>2123</v>
      </c>
      <c r="D126" s="48" t="s">
        <v>4495</v>
      </c>
    </row>
    <row r="127" ht="14.25" customHeight="1">
      <c r="A127" s="42" t="s">
        <v>2145</v>
      </c>
      <c r="B127" s="42" t="s">
        <v>2146</v>
      </c>
      <c r="C127" s="42"/>
      <c r="D127" s="46" t="s">
        <v>4495</v>
      </c>
    </row>
    <row r="128" ht="14.25" customHeight="1">
      <c r="A128" s="42" t="s">
        <v>2168</v>
      </c>
      <c r="B128" s="42" t="s">
        <v>2169</v>
      </c>
      <c r="C128" s="42"/>
      <c r="D128" s="46" t="s">
        <v>4495</v>
      </c>
    </row>
    <row r="129" ht="14.25" customHeight="1">
      <c r="A129" s="42" t="s">
        <v>2183</v>
      </c>
      <c r="B129" s="42" t="s">
        <v>2184</v>
      </c>
      <c r="C129" s="47" t="s">
        <v>2185</v>
      </c>
      <c r="D129" s="48" t="s">
        <v>4495</v>
      </c>
    </row>
    <row r="130" ht="14.25" customHeight="1">
      <c r="A130" s="42" t="s">
        <v>2190</v>
      </c>
      <c r="B130" s="42" t="s">
        <v>2191</v>
      </c>
      <c r="C130" s="47" t="s">
        <v>2193</v>
      </c>
      <c r="D130" s="48" t="s">
        <v>4495</v>
      </c>
    </row>
    <row r="131" ht="14.25" customHeight="1">
      <c r="A131" s="42" t="s">
        <v>2200</v>
      </c>
      <c r="B131" s="42" t="s">
        <v>2201</v>
      </c>
      <c r="C131" s="42" t="s">
        <v>2203</v>
      </c>
      <c r="D131" s="46" t="s">
        <v>4495</v>
      </c>
    </row>
    <row r="132" ht="14.25" customHeight="1">
      <c r="A132" s="42" t="s">
        <v>2211</v>
      </c>
      <c r="B132" s="42" t="s">
        <v>2212</v>
      </c>
      <c r="C132" s="42" t="s">
        <v>2214</v>
      </c>
      <c r="D132" s="46" t="s">
        <v>4495</v>
      </c>
    </row>
    <row r="133" ht="14.25" customHeight="1">
      <c r="A133" s="42" t="s">
        <v>2251</v>
      </c>
      <c r="B133" s="42" t="s">
        <v>2252</v>
      </c>
      <c r="C133" s="42" t="s">
        <v>2253</v>
      </c>
      <c r="D133" s="46" t="s">
        <v>4495</v>
      </c>
    </row>
    <row r="134" ht="14.25" customHeight="1">
      <c r="A134" s="42" t="s">
        <v>2283</v>
      </c>
      <c r="B134" s="42" t="s">
        <v>2284</v>
      </c>
      <c r="C134" s="42" t="s">
        <v>2286</v>
      </c>
      <c r="D134" s="46" t="s">
        <v>4495</v>
      </c>
    </row>
    <row r="135" ht="14.25" customHeight="1">
      <c r="A135" s="42" t="s">
        <v>2291</v>
      </c>
      <c r="B135" s="42" t="s">
        <v>2292</v>
      </c>
      <c r="C135" s="42"/>
      <c r="D135" s="46" t="s">
        <v>4495</v>
      </c>
    </row>
    <row r="136" ht="14.25" customHeight="1">
      <c r="A136" s="42" t="s">
        <v>2299</v>
      </c>
      <c r="B136" s="42" t="s">
        <v>2300</v>
      </c>
      <c r="C136" s="42" t="s">
        <v>2302</v>
      </c>
      <c r="D136" s="46" t="s">
        <v>4495</v>
      </c>
    </row>
    <row r="137" ht="14.25" customHeight="1">
      <c r="A137" s="42" t="s">
        <v>2313</v>
      </c>
      <c r="B137" s="42" t="s">
        <v>2314</v>
      </c>
      <c r="C137" s="47"/>
      <c r="D137" s="48" t="s">
        <v>4495</v>
      </c>
    </row>
    <row r="138" ht="14.25" customHeight="1">
      <c r="A138" s="42" t="s">
        <v>2328</v>
      </c>
      <c r="B138" s="42" t="s">
        <v>2329</v>
      </c>
      <c r="C138" s="42" t="s">
        <v>2331</v>
      </c>
      <c r="D138" s="46" t="s">
        <v>4495</v>
      </c>
    </row>
    <row r="139" ht="14.25" customHeight="1">
      <c r="A139" s="42" t="s">
        <v>2337</v>
      </c>
      <c r="B139" s="42" t="s">
        <v>2338</v>
      </c>
      <c r="C139" s="47"/>
      <c r="D139" s="48" t="s">
        <v>4495</v>
      </c>
    </row>
    <row r="140" ht="14.25" customHeight="1">
      <c r="A140" s="42" t="s">
        <v>2346</v>
      </c>
      <c r="B140" s="42" t="s">
        <v>2347</v>
      </c>
      <c r="C140" s="42"/>
      <c r="D140" s="46" t="s">
        <v>4495</v>
      </c>
    </row>
    <row r="141" ht="14.25" customHeight="1">
      <c r="A141" s="42" t="s">
        <v>2354</v>
      </c>
      <c r="B141" s="42" t="s">
        <v>2355</v>
      </c>
      <c r="C141" s="47" t="s">
        <v>2357</v>
      </c>
      <c r="D141" s="48" t="s">
        <v>4495</v>
      </c>
    </row>
    <row r="142" ht="14.25" customHeight="1">
      <c r="A142" s="42" t="s">
        <v>2384</v>
      </c>
      <c r="B142" s="42" t="s">
        <v>2385</v>
      </c>
      <c r="C142" s="42" t="s">
        <v>2389</v>
      </c>
      <c r="D142" s="46" t="s">
        <v>4495</v>
      </c>
    </row>
    <row r="143" ht="14.25" customHeight="1">
      <c r="A143" s="42" t="s">
        <v>2414</v>
      </c>
      <c r="B143" s="42" t="s">
        <v>2415</v>
      </c>
      <c r="C143" s="42" t="s">
        <v>2419</v>
      </c>
      <c r="D143" s="46" t="s">
        <v>4495</v>
      </c>
    </row>
    <row r="144" ht="14.25" customHeight="1">
      <c r="A144" s="42" t="s">
        <v>2424</v>
      </c>
      <c r="B144" s="42" t="s">
        <v>2425</v>
      </c>
      <c r="C144" s="42" t="s">
        <v>2428</v>
      </c>
      <c r="D144" s="46" t="s">
        <v>4495</v>
      </c>
    </row>
    <row r="145" ht="14.25" customHeight="1">
      <c r="A145" s="42" t="s">
        <v>2435</v>
      </c>
      <c r="B145" s="42" t="s">
        <v>2436</v>
      </c>
      <c r="C145" s="42" t="s">
        <v>2439</v>
      </c>
      <c r="D145" s="46" t="s">
        <v>4495</v>
      </c>
    </row>
    <row r="146" ht="14.25" customHeight="1">
      <c r="A146" s="42" t="s">
        <v>2452</v>
      </c>
      <c r="B146" s="42" t="s">
        <v>2453</v>
      </c>
      <c r="C146" s="42" t="s">
        <v>2457</v>
      </c>
      <c r="D146" s="46" t="s">
        <v>4495</v>
      </c>
    </row>
    <row r="147" ht="14.25" customHeight="1">
      <c r="A147" s="42" t="s">
        <v>2473</v>
      </c>
      <c r="B147" s="42" t="s">
        <v>2474</v>
      </c>
      <c r="C147" s="42"/>
      <c r="D147" s="46" t="s">
        <v>4495</v>
      </c>
    </row>
    <row r="148" ht="14.25" customHeight="1">
      <c r="A148" s="42" t="s">
        <v>2483</v>
      </c>
      <c r="B148" s="42" t="s">
        <v>2484</v>
      </c>
      <c r="C148" s="42" t="s">
        <v>2487</v>
      </c>
      <c r="D148" s="46" t="s">
        <v>4495</v>
      </c>
    </row>
    <row r="149" ht="14.25" customHeight="1">
      <c r="A149" s="42" t="s">
        <v>2518</v>
      </c>
      <c r="B149" s="42" t="s">
        <v>2519</v>
      </c>
      <c r="C149" s="42" t="s">
        <v>2522</v>
      </c>
      <c r="D149" s="46" t="s">
        <v>4495</v>
      </c>
    </row>
    <row r="150" ht="14.25" customHeight="1">
      <c r="A150" s="42" t="s">
        <v>2528</v>
      </c>
      <c r="B150" s="42" t="s">
        <v>2529</v>
      </c>
      <c r="C150" s="42"/>
      <c r="D150" s="46" t="s">
        <v>4495</v>
      </c>
    </row>
    <row r="151" ht="14.25" customHeight="1">
      <c r="A151" s="42" t="s">
        <v>2551</v>
      </c>
      <c r="B151" s="42" t="s">
        <v>2552</v>
      </c>
      <c r="C151" s="42" t="s">
        <v>2556</v>
      </c>
      <c r="D151" s="46" t="s">
        <v>4495</v>
      </c>
    </row>
    <row r="152" ht="14.25" customHeight="1">
      <c r="A152" s="42" t="s">
        <v>2569</v>
      </c>
      <c r="B152" s="42" t="s">
        <v>2570</v>
      </c>
      <c r="C152" s="47" t="s">
        <v>2573</v>
      </c>
      <c r="D152" s="48" t="s">
        <v>4495</v>
      </c>
    </row>
    <row r="153" ht="14.25" customHeight="1">
      <c r="A153" s="42" t="s">
        <v>2603</v>
      </c>
      <c r="B153" s="42" t="s">
        <v>2604</v>
      </c>
      <c r="C153" s="42" t="s">
        <v>2606</v>
      </c>
      <c r="D153" s="46" t="s">
        <v>4495</v>
      </c>
    </row>
    <row r="154" ht="14.25" customHeight="1">
      <c r="A154" s="42" t="s">
        <v>2620</v>
      </c>
      <c r="B154" s="42" t="s">
        <v>2621</v>
      </c>
      <c r="C154" s="42"/>
      <c r="D154" s="46" t="s">
        <v>4495</v>
      </c>
    </row>
    <row r="155" ht="14.25" customHeight="1">
      <c r="A155" s="42" t="s">
        <v>2629</v>
      </c>
      <c r="B155" s="42" t="s">
        <v>2630</v>
      </c>
      <c r="C155" s="42" t="s">
        <v>2634</v>
      </c>
      <c r="D155" s="46" t="s">
        <v>4495</v>
      </c>
    </row>
    <row r="156" ht="14.25" customHeight="1">
      <c r="A156" s="42" t="s">
        <v>2640</v>
      </c>
      <c r="B156" s="42" t="s">
        <v>2641</v>
      </c>
      <c r="C156" s="42" t="s">
        <v>2644</v>
      </c>
      <c r="D156" s="46" t="s">
        <v>4495</v>
      </c>
    </row>
    <row r="157" ht="14.25" customHeight="1">
      <c r="A157" s="42" t="s">
        <v>2661</v>
      </c>
      <c r="B157" s="42" t="s">
        <v>2662</v>
      </c>
      <c r="C157" s="47" t="s">
        <v>2665</v>
      </c>
      <c r="D157" s="48" t="s">
        <v>4495</v>
      </c>
    </row>
    <row r="158" ht="14.25" customHeight="1">
      <c r="A158" s="42" t="s">
        <v>2671</v>
      </c>
      <c r="B158" s="42" t="s">
        <v>2672</v>
      </c>
      <c r="C158" s="42" t="s">
        <v>2675</v>
      </c>
      <c r="D158" s="46" t="s">
        <v>4495</v>
      </c>
    </row>
    <row r="159" ht="14.25" customHeight="1">
      <c r="A159" s="42" t="s">
        <v>2681</v>
      </c>
      <c r="B159" s="42" t="s">
        <v>2682</v>
      </c>
      <c r="C159" s="42"/>
      <c r="D159" s="46" t="s">
        <v>4495</v>
      </c>
    </row>
    <row r="160" ht="14.25" customHeight="1">
      <c r="A160" s="42" t="s">
        <v>2689</v>
      </c>
      <c r="B160" s="42" t="s">
        <v>2690</v>
      </c>
      <c r="C160" s="47" t="s">
        <v>2692</v>
      </c>
      <c r="D160" s="48" t="s">
        <v>4495</v>
      </c>
    </row>
    <row r="161" ht="14.25" customHeight="1">
      <c r="A161" s="42" t="s">
        <v>2698</v>
      </c>
      <c r="B161" s="42" t="s">
        <v>2699</v>
      </c>
      <c r="C161" s="42"/>
      <c r="D161" s="46" t="s">
        <v>4495</v>
      </c>
    </row>
    <row r="162" ht="14.25" customHeight="1">
      <c r="A162" s="42" t="s">
        <v>2705</v>
      </c>
      <c r="B162" s="42" t="s">
        <v>2706</v>
      </c>
      <c r="C162" s="42" t="s">
        <v>2709</v>
      </c>
      <c r="D162" s="46" t="s">
        <v>4495</v>
      </c>
    </row>
    <row r="163" ht="14.25" customHeight="1">
      <c r="A163" s="42" t="s">
        <v>2716</v>
      </c>
      <c r="B163" s="42" t="s">
        <v>2717</v>
      </c>
      <c r="C163" s="42"/>
      <c r="D163" s="46" t="s">
        <v>4495</v>
      </c>
    </row>
    <row r="164" ht="14.25" customHeight="1">
      <c r="A164" s="42" t="s">
        <v>2732</v>
      </c>
      <c r="B164" s="42" t="s">
        <v>2733</v>
      </c>
      <c r="C164" s="47" t="s">
        <v>2736</v>
      </c>
      <c r="D164" s="48" t="s">
        <v>4495</v>
      </c>
    </row>
    <row r="165" ht="14.25" customHeight="1">
      <c r="A165" s="42" t="s">
        <v>2742</v>
      </c>
      <c r="B165" s="42" t="s">
        <v>2743</v>
      </c>
      <c r="C165" s="47" t="s">
        <v>2746</v>
      </c>
      <c r="D165" s="48" t="s">
        <v>4495</v>
      </c>
    </row>
    <row r="166" ht="14.25" customHeight="1">
      <c r="A166" s="42" t="s">
        <v>2753</v>
      </c>
      <c r="B166" s="42" t="s">
        <v>2754</v>
      </c>
      <c r="C166" s="47" t="s">
        <v>2756</v>
      </c>
      <c r="D166" s="48" t="s">
        <v>4495</v>
      </c>
    </row>
    <row r="167" ht="14.25" customHeight="1">
      <c r="A167" s="42" t="s">
        <v>2763</v>
      </c>
      <c r="B167" s="42" t="s">
        <v>2764</v>
      </c>
      <c r="C167" s="47" t="s">
        <v>2767</v>
      </c>
      <c r="D167" s="48" t="s">
        <v>4495</v>
      </c>
    </row>
    <row r="168" ht="14.25" customHeight="1">
      <c r="A168" s="42" t="s">
        <v>2798</v>
      </c>
      <c r="B168" s="42" t="s">
        <v>2799</v>
      </c>
      <c r="C168" s="42" t="s">
        <v>2801</v>
      </c>
      <c r="D168" s="46" t="s">
        <v>4495</v>
      </c>
    </row>
    <row r="169" ht="14.25" customHeight="1">
      <c r="A169" s="42" t="s">
        <v>2806</v>
      </c>
      <c r="B169" s="42" t="s">
        <v>2807</v>
      </c>
      <c r="C169" s="42" t="s">
        <v>2810</v>
      </c>
      <c r="D169" s="46" t="s">
        <v>4495</v>
      </c>
    </row>
    <row r="170" ht="14.25" customHeight="1">
      <c r="A170" s="42" t="s">
        <v>2815</v>
      </c>
      <c r="B170" s="42" t="s">
        <v>2816</v>
      </c>
      <c r="C170" s="42"/>
      <c r="D170" s="46" t="s">
        <v>4495</v>
      </c>
    </row>
    <row r="171" ht="14.25" customHeight="1">
      <c r="A171" s="42" t="s">
        <v>2847</v>
      </c>
      <c r="B171" s="42" t="s">
        <v>2848</v>
      </c>
      <c r="C171" s="42" t="s">
        <v>2849</v>
      </c>
      <c r="D171" s="46" t="s">
        <v>4495</v>
      </c>
    </row>
    <row r="172" ht="14.25" customHeight="1">
      <c r="A172" s="42" t="s">
        <v>2854</v>
      </c>
      <c r="B172" s="42" t="s">
        <v>2855</v>
      </c>
      <c r="C172" s="42" t="s">
        <v>2858</v>
      </c>
      <c r="D172" s="46" t="s">
        <v>4495</v>
      </c>
    </row>
    <row r="173" ht="14.25" customHeight="1">
      <c r="A173" s="42" t="s">
        <v>2864</v>
      </c>
      <c r="B173" s="42" t="s">
        <v>2865</v>
      </c>
      <c r="C173" s="42" t="s">
        <v>2868</v>
      </c>
      <c r="D173" s="46" t="s">
        <v>4495</v>
      </c>
    </row>
    <row r="174" ht="14.25" customHeight="1">
      <c r="A174" s="42" t="s">
        <v>2903</v>
      </c>
      <c r="B174" s="42" t="s">
        <v>2904</v>
      </c>
      <c r="C174" s="42"/>
      <c r="D174" s="46" t="s">
        <v>4495</v>
      </c>
    </row>
    <row r="175" ht="14.25" customHeight="1">
      <c r="A175" s="42" t="s">
        <v>2910</v>
      </c>
      <c r="B175" s="42" t="s">
        <v>2911</v>
      </c>
      <c r="C175" s="42" t="s">
        <v>2913</v>
      </c>
      <c r="D175" s="46" t="s">
        <v>4495</v>
      </c>
    </row>
    <row r="176" ht="14.25" customHeight="1">
      <c r="A176" s="42" t="s">
        <v>2919</v>
      </c>
      <c r="B176" s="42" t="s">
        <v>2920</v>
      </c>
      <c r="C176" s="42" t="s">
        <v>2923</v>
      </c>
      <c r="D176" s="46" t="s">
        <v>4495</v>
      </c>
    </row>
    <row r="177" ht="14.25" customHeight="1">
      <c r="A177" s="42" t="s">
        <v>2941</v>
      </c>
      <c r="B177" s="42" t="s">
        <v>2942</v>
      </c>
      <c r="C177" s="42" t="s">
        <v>2944</v>
      </c>
      <c r="D177" s="46" t="s">
        <v>4495</v>
      </c>
    </row>
    <row r="178" ht="14.25" customHeight="1">
      <c r="A178" s="42" t="s">
        <v>2971</v>
      </c>
      <c r="B178" s="42" t="s">
        <v>2972</v>
      </c>
      <c r="C178" s="42" t="s">
        <v>2973</v>
      </c>
      <c r="D178" s="46" t="s">
        <v>4495</v>
      </c>
    </row>
    <row r="179" ht="14.25" customHeight="1">
      <c r="A179" s="42" t="s">
        <v>2979</v>
      </c>
      <c r="B179" s="42" t="s">
        <v>2980</v>
      </c>
      <c r="C179" s="47" t="s">
        <v>2982</v>
      </c>
      <c r="D179" s="48" t="s">
        <v>4495</v>
      </c>
    </row>
    <row r="180" ht="14.25" customHeight="1">
      <c r="A180" s="42" t="s">
        <v>3038</v>
      </c>
      <c r="B180" s="42" t="s">
        <v>3039</v>
      </c>
      <c r="C180" s="42" t="s">
        <v>3042</v>
      </c>
      <c r="D180" s="46" t="s">
        <v>4495</v>
      </c>
    </row>
    <row r="181" ht="14.25" customHeight="1">
      <c r="A181" s="42" t="s">
        <v>3069</v>
      </c>
      <c r="B181" s="42" t="s">
        <v>3070</v>
      </c>
      <c r="C181" s="42" t="s">
        <v>3072</v>
      </c>
      <c r="D181" s="46" t="s">
        <v>4495</v>
      </c>
    </row>
    <row r="182" ht="14.25" customHeight="1">
      <c r="A182" s="42" t="s">
        <v>3078</v>
      </c>
      <c r="B182" s="42" t="s">
        <v>3079</v>
      </c>
      <c r="C182" s="42" t="s">
        <v>3081</v>
      </c>
      <c r="D182" s="46" t="s">
        <v>4495</v>
      </c>
    </row>
    <row r="183" ht="14.25" customHeight="1">
      <c r="A183" s="42" t="s">
        <v>3088</v>
      </c>
      <c r="B183" s="42" t="s">
        <v>3089</v>
      </c>
      <c r="C183" s="42" t="s">
        <v>3091</v>
      </c>
      <c r="D183" s="46" t="s">
        <v>4495</v>
      </c>
    </row>
    <row r="184" ht="14.25" customHeight="1">
      <c r="A184" s="42" t="s">
        <v>3098</v>
      </c>
      <c r="B184" s="42" t="s">
        <v>3099</v>
      </c>
      <c r="C184" s="42"/>
      <c r="D184" s="46" t="s">
        <v>4495</v>
      </c>
    </row>
    <row r="185" ht="14.25" customHeight="1">
      <c r="A185" s="42" t="s">
        <v>3107</v>
      </c>
      <c r="B185" s="42" t="s">
        <v>3108</v>
      </c>
      <c r="C185" s="42"/>
      <c r="D185" s="46" t="s">
        <v>4495</v>
      </c>
    </row>
    <row r="186" ht="14.25" customHeight="1">
      <c r="A186" s="42" t="s">
        <v>3119</v>
      </c>
      <c r="B186" s="42" t="s">
        <v>3120</v>
      </c>
      <c r="C186" s="42" t="s">
        <v>3123</v>
      </c>
      <c r="D186" s="46" t="s">
        <v>4495</v>
      </c>
    </row>
    <row r="187" ht="14.25" customHeight="1">
      <c r="A187" s="42" t="s">
        <v>3136</v>
      </c>
      <c r="B187" s="42" t="s">
        <v>3137</v>
      </c>
      <c r="C187" s="47" t="s">
        <v>3140</v>
      </c>
      <c r="D187" s="48" t="s">
        <v>4495</v>
      </c>
    </row>
    <row r="188" ht="14.25" customHeight="1">
      <c r="A188" s="42" t="s">
        <v>3146</v>
      </c>
      <c r="B188" s="42" t="s">
        <v>3147</v>
      </c>
      <c r="C188" s="42" t="s">
        <v>3150</v>
      </c>
      <c r="D188" s="46" t="s">
        <v>4495</v>
      </c>
    </row>
    <row r="189" ht="14.25" customHeight="1">
      <c r="A189" s="42" t="s">
        <v>3158</v>
      </c>
      <c r="B189" s="42" t="s">
        <v>3159</v>
      </c>
      <c r="C189" s="42" t="s">
        <v>3160</v>
      </c>
      <c r="D189" s="46" t="s">
        <v>4495</v>
      </c>
    </row>
    <row r="190" ht="14.25" customHeight="1">
      <c r="A190" s="42" t="s">
        <v>3167</v>
      </c>
      <c r="B190" s="42" t="s">
        <v>3168</v>
      </c>
      <c r="C190" s="42" t="s">
        <v>3170</v>
      </c>
      <c r="D190" s="46" t="s">
        <v>4495</v>
      </c>
    </row>
    <row r="191" ht="14.25" customHeight="1">
      <c r="A191" s="42" t="s">
        <v>3183</v>
      </c>
      <c r="B191" s="42" t="s">
        <v>3184</v>
      </c>
      <c r="C191" s="42"/>
      <c r="D191" s="46" t="s">
        <v>4495</v>
      </c>
    </row>
    <row r="192" ht="14.25" customHeight="1">
      <c r="A192" s="42" t="s">
        <v>3200</v>
      </c>
      <c r="B192" s="42" t="s">
        <v>3201</v>
      </c>
      <c r="C192" s="42" t="s">
        <v>3205</v>
      </c>
      <c r="D192" s="46" t="s">
        <v>4495</v>
      </c>
    </row>
    <row r="193" ht="14.25" customHeight="1">
      <c r="A193" s="42" t="s">
        <v>3219</v>
      </c>
      <c r="B193" s="42" t="s">
        <v>3220</v>
      </c>
      <c r="C193" s="42" t="s">
        <v>3222</v>
      </c>
      <c r="D193" s="46" t="s">
        <v>4495</v>
      </c>
    </row>
    <row r="194" ht="14.25" customHeight="1">
      <c r="A194" s="42" t="s">
        <v>3229</v>
      </c>
      <c r="B194" s="42" t="s">
        <v>3230</v>
      </c>
      <c r="C194" s="47" t="s">
        <v>3232</v>
      </c>
      <c r="D194" s="48" t="s">
        <v>4495</v>
      </c>
    </row>
    <row r="195" ht="14.25" customHeight="1">
      <c r="A195" s="42" t="s">
        <v>3238</v>
      </c>
      <c r="B195" s="42" t="s">
        <v>3239</v>
      </c>
      <c r="C195" s="47"/>
      <c r="D195" s="48" t="s">
        <v>4495</v>
      </c>
    </row>
    <row r="196" ht="14.25" customHeight="1">
      <c r="A196" s="42" t="s">
        <v>3248</v>
      </c>
      <c r="B196" s="42" t="s">
        <v>3249</v>
      </c>
      <c r="C196" s="42" t="s">
        <v>3251</v>
      </c>
      <c r="D196" s="46" t="s">
        <v>4495</v>
      </c>
    </row>
    <row r="197" ht="14.25" customHeight="1">
      <c r="A197" s="42" t="s">
        <v>3265</v>
      </c>
      <c r="B197" s="42" t="s">
        <v>3266</v>
      </c>
      <c r="C197" s="42"/>
      <c r="D197" s="46" t="s">
        <v>4495</v>
      </c>
    </row>
    <row r="198" ht="14.25" customHeight="1">
      <c r="A198" s="42" t="s">
        <v>3275</v>
      </c>
      <c r="B198" s="42" t="s">
        <v>3276</v>
      </c>
      <c r="C198" s="42" t="s">
        <v>3279</v>
      </c>
      <c r="D198" s="46" t="s">
        <v>4495</v>
      </c>
    </row>
    <row r="199" ht="14.25" customHeight="1">
      <c r="A199" s="42" t="s">
        <v>3292</v>
      </c>
      <c r="B199" s="42" t="s">
        <v>3293</v>
      </c>
      <c r="C199" s="47" t="s">
        <v>3296</v>
      </c>
      <c r="D199" s="48" t="s">
        <v>4495</v>
      </c>
    </row>
    <row r="200" ht="14.25" customHeight="1">
      <c r="A200" s="42" t="s">
        <v>3301</v>
      </c>
      <c r="B200" s="42" t="s">
        <v>3302</v>
      </c>
      <c r="C200" s="42" t="s">
        <v>3303</v>
      </c>
      <c r="D200" s="46" t="s">
        <v>4495</v>
      </c>
    </row>
    <row r="201" ht="14.25" customHeight="1">
      <c r="A201" s="42" t="s">
        <v>3308</v>
      </c>
      <c r="B201" s="42" t="s">
        <v>3309</v>
      </c>
      <c r="C201" s="42" t="s">
        <v>3311</v>
      </c>
      <c r="D201" s="46" t="s">
        <v>4495</v>
      </c>
    </row>
    <row r="202" ht="14.25" customHeight="1">
      <c r="A202" s="42" t="s">
        <v>3315</v>
      </c>
      <c r="B202" s="42" t="s">
        <v>3316</v>
      </c>
      <c r="C202" s="42" t="s">
        <v>3318</v>
      </c>
      <c r="D202" s="46" t="s">
        <v>4495</v>
      </c>
    </row>
    <row r="203" ht="14.25" customHeight="1">
      <c r="A203" s="42" t="s">
        <v>3325</v>
      </c>
      <c r="B203" s="42" t="s">
        <v>3326</v>
      </c>
      <c r="C203" s="47"/>
      <c r="D203" s="48" t="s">
        <v>4495</v>
      </c>
    </row>
    <row r="204" ht="14.25" customHeight="1">
      <c r="A204" s="42" t="s">
        <v>3334</v>
      </c>
      <c r="B204" s="42" t="s">
        <v>3335</v>
      </c>
      <c r="C204" s="42" t="s">
        <v>3337</v>
      </c>
      <c r="D204" s="46" t="s">
        <v>4495</v>
      </c>
    </row>
    <row r="205" ht="14.25" customHeight="1">
      <c r="A205" s="42" t="s">
        <v>3343</v>
      </c>
      <c r="B205" s="42" t="s">
        <v>3344</v>
      </c>
      <c r="C205" s="42" t="s">
        <v>3346</v>
      </c>
      <c r="D205" s="46" t="s">
        <v>4495</v>
      </c>
    </row>
    <row r="206" ht="14.25" customHeight="1">
      <c r="A206" s="42" t="s">
        <v>3362</v>
      </c>
      <c r="B206" s="42" t="s">
        <v>3363</v>
      </c>
      <c r="C206" s="47" t="s">
        <v>3365</v>
      </c>
      <c r="D206" s="48" t="s">
        <v>4495</v>
      </c>
    </row>
    <row r="207" ht="14.25" customHeight="1">
      <c r="A207" s="42" t="s">
        <v>3384</v>
      </c>
      <c r="B207" s="42" t="s">
        <v>3385</v>
      </c>
      <c r="C207" s="42" t="s">
        <v>3387</v>
      </c>
      <c r="D207" s="46" t="s">
        <v>4495</v>
      </c>
    </row>
    <row r="208" ht="14.25" customHeight="1">
      <c r="A208" s="42" t="s">
        <v>3393</v>
      </c>
      <c r="B208" s="42" t="s">
        <v>3394</v>
      </c>
      <c r="C208" s="42" t="s">
        <v>3396</v>
      </c>
      <c r="D208" s="46" t="s">
        <v>4495</v>
      </c>
    </row>
    <row r="209" ht="14.25" customHeight="1">
      <c r="A209" s="42" t="s">
        <v>3402</v>
      </c>
      <c r="B209" s="42" t="s">
        <v>3403</v>
      </c>
      <c r="C209" s="42"/>
      <c r="D209" s="46" t="s">
        <v>4495</v>
      </c>
    </row>
    <row r="210" ht="14.25" customHeight="1">
      <c r="A210" s="42" t="s">
        <v>3410</v>
      </c>
      <c r="B210" s="42" t="s">
        <v>3411</v>
      </c>
      <c r="C210" s="42" t="s">
        <v>3414</v>
      </c>
      <c r="D210" s="46" t="s">
        <v>4495</v>
      </c>
    </row>
    <row r="211" ht="14.25" customHeight="1">
      <c r="A211" s="42" t="s">
        <v>3421</v>
      </c>
      <c r="B211" s="42" t="s">
        <v>3422</v>
      </c>
      <c r="C211" s="42" t="s">
        <v>3424</v>
      </c>
      <c r="D211" s="46" t="s">
        <v>4495</v>
      </c>
    </row>
    <row r="212" ht="14.25" customHeight="1">
      <c r="A212" s="42" t="s">
        <v>3448</v>
      </c>
      <c r="B212" s="42" t="s">
        <v>3449</v>
      </c>
      <c r="C212" s="42" t="s">
        <v>3451</v>
      </c>
      <c r="D212" s="46" t="s">
        <v>4495</v>
      </c>
    </row>
    <row r="213" ht="14.25" customHeight="1">
      <c r="A213" s="42" t="s">
        <v>3459</v>
      </c>
      <c r="B213" s="42" t="s">
        <v>3460</v>
      </c>
      <c r="C213" s="42" t="s">
        <v>3462</v>
      </c>
      <c r="D213" s="46" t="s">
        <v>4495</v>
      </c>
    </row>
    <row r="214" ht="14.25" customHeight="1">
      <c r="A214" s="42" t="s">
        <v>3469</v>
      </c>
      <c r="B214" s="42" t="s">
        <v>3470</v>
      </c>
      <c r="C214" s="42"/>
      <c r="D214" s="46" t="s">
        <v>4495</v>
      </c>
    </row>
    <row r="215" ht="14.25" customHeight="1">
      <c r="A215" s="42" t="s">
        <v>3494</v>
      </c>
      <c r="B215" s="42" t="s">
        <v>3495</v>
      </c>
      <c r="C215" s="42" t="s">
        <v>3496</v>
      </c>
      <c r="D215" s="46" t="s">
        <v>4495</v>
      </c>
    </row>
    <row r="216" ht="14.25" customHeight="1">
      <c r="A216" s="42" t="s">
        <v>3505</v>
      </c>
      <c r="B216" s="42" t="s">
        <v>3506</v>
      </c>
      <c r="C216" s="47"/>
      <c r="D216" s="48" t="s">
        <v>4495</v>
      </c>
    </row>
    <row r="217" ht="14.25" customHeight="1">
      <c r="A217" s="42" t="s">
        <v>3535</v>
      </c>
      <c r="B217" s="42" t="s">
        <v>3536</v>
      </c>
      <c r="C217" s="42" t="s">
        <v>3539</v>
      </c>
      <c r="D217" s="46" t="s">
        <v>4495</v>
      </c>
    </row>
    <row r="218" ht="14.25" customHeight="1">
      <c r="A218" s="42" t="s">
        <v>3582</v>
      </c>
      <c r="B218" s="42" t="s">
        <v>3583</v>
      </c>
      <c r="C218" s="42" t="s">
        <v>3585</v>
      </c>
      <c r="D218" s="46" t="s">
        <v>4495</v>
      </c>
    </row>
    <row r="219" ht="14.25" customHeight="1">
      <c r="A219" s="42" t="s">
        <v>3604</v>
      </c>
      <c r="B219" s="42" t="s">
        <v>3605</v>
      </c>
      <c r="C219" s="47" t="s">
        <v>3608</v>
      </c>
      <c r="D219" s="48" t="s">
        <v>4495</v>
      </c>
    </row>
    <row r="220" ht="14.25" customHeight="1">
      <c r="A220" s="42" t="s">
        <v>3622</v>
      </c>
      <c r="B220" s="42" t="s">
        <v>3623</v>
      </c>
      <c r="C220" s="42"/>
      <c r="D220" s="46" t="s">
        <v>4495</v>
      </c>
    </row>
    <row r="221" ht="14.25" customHeight="1">
      <c r="A221" s="42" t="s">
        <v>3631</v>
      </c>
      <c r="B221" s="42" t="s">
        <v>3632</v>
      </c>
      <c r="C221" s="42" t="s">
        <v>3635</v>
      </c>
      <c r="D221" s="46" t="s">
        <v>4495</v>
      </c>
    </row>
    <row r="222" ht="14.25" customHeight="1">
      <c r="A222" s="42" t="s">
        <v>3642</v>
      </c>
      <c r="B222" s="42" t="s">
        <v>3643</v>
      </c>
      <c r="C222" s="42"/>
      <c r="D222" s="46" t="s">
        <v>4495</v>
      </c>
    </row>
    <row r="223" ht="14.25" customHeight="1">
      <c r="A223" s="42" t="s">
        <v>3650</v>
      </c>
      <c r="B223" s="42" t="s">
        <v>3651</v>
      </c>
      <c r="C223" s="42"/>
      <c r="D223" s="46" t="s">
        <v>4495</v>
      </c>
    </row>
    <row r="224" ht="14.25" customHeight="1">
      <c r="A224" s="42" t="s">
        <v>3657</v>
      </c>
      <c r="B224" s="42" t="s">
        <v>3658</v>
      </c>
      <c r="C224" s="42" t="s">
        <v>3661</v>
      </c>
      <c r="D224" s="46" t="s">
        <v>4495</v>
      </c>
    </row>
    <row r="225" ht="14.25" customHeight="1">
      <c r="A225" s="42" t="s">
        <v>3674</v>
      </c>
      <c r="B225" s="42" t="s">
        <v>3675</v>
      </c>
      <c r="C225" s="42" t="s">
        <v>3676</v>
      </c>
      <c r="D225" s="46" t="s">
        <v>4495</v>
      </c>
    </row>
    <row r="226" ht="14.25" customHeight="1">
      <c r="A226" s="42" t="s">
        <v>3690</v>
      </c>
      <c r="B226" s="42" t="s">
        <v>3691</v>
      </c>
      <c r="C226" s="42" t="s">
        <v>3692</v>
      </c>
      <c r="D226" s="46" t="s">
        <v>4495</v>
      </c>
    </row>
    <row r="227" ht="14.25" customHeight="1">
      <c r="A227" s="42" t="s">
        <v>3711</v>
      </c>
      <c r="B227" s="42" t="s">
        <v>3712</v>
      </c>
      <c r="C227" s="42" t="s">
        <v>3714</v>
      </c>
      <c r="D227" s="46" t="s">
        <v>4495</v>
      </c>
    </row>
    <row r="228" ht="14.25" customHeight="1">
      <c r="A228" s="42" t="s">
        <v>3732</v>
      </c>
      <c r="B228" s="42" t="s">
        <v>3733</v>
      </c>
      <c r="C228" s="47" t="s">
        <v>3736</v>
      </c>
      <c r="D228" s="48" t="s">
        <v>4495</v>
      </c>
    </row>
    <row r="229" ht="14.25" customHeight="1">
      <c r="A229" s="42" t="s">
        <v>3758</v>
      </c>
      <c r="B229" s="42" t="s">
        <v>3759</v>
      </c>
      <c r="C229" s="42" t="s">
        <v>3761</v>
      </c>
      <c r="D229" s="46" t="s">
        <v>4495</v>
      </c>
    </row>
    <row r="230" ht="14.25" customHeight="1">
      <c r="A230" s="42" t="s">
        <v>3768</v>
      </c>
      <c r="B230" s="42" t="s">
        <v>3769</v>
      </c>
      <c r="C230" s="42" t="s">
        <v>3771</v>
      </c>
      <c r="D230" s="46" t="s">
        <v>4495</v>
      </c>
    </row>
    <row r="231" ht="14.25" customHeight="1">
      <c r="A231" s="42" t="s">
        <v>3777</v>
      </c>
      <c r="B231" s="42" t="s">
        <v>3778</v>
      </c>
      <c r="C231" s="42" t="s">
        <v>3781</v>
      </c>
      <c r="D231" s="46" t="s">
        <v>4495</v>
      </c>
    </row>
    <row r="232" ht="14.25" customHeight="1">
      <c r="A232" s="42" t="s">
        <v>3821</v>
      </c>
      <c r="B232" s="42" t="s">
        <v>3822</v>
      </c>
      <c r="C232" s="42" t="s">
        <v>3823</v>
      </c>
      <c r="D232" s="46" t="s">
        <v>4495</v>
      </c>
    </row>
    <row r="233" ht="14.25" customHeight="1">
      <c r="A233" s="42" t="s">
        <v>3836</v>
      </c>
      <c r="B233" s="42" t="s">
        <v>3837</v>
      </c>
      <c r="C233" s="47" t="s">
        <v>3840</v>
      </c>
      <c r="D233" s="48" t="s">
        <v>4495</v>
      </c>
    </row>
    <row r="234" ht="14.25" customHeight="1">
      <c r="A234" s="42" t="s">
        <v>3870</v>
      </c>
      <c r="B234" s="42" t="s">
        <v>3871</v>
      </c>
      <c r="C234" s="42" t="s">
        <v>3872</v>
      </c>
      <c r="D234" s="46" t="s">
        <v>4495</v>
      </c>
    </row>
    <row r="235" ht="14.25" customHeight="1">
      <c r="A235" s="42" t="s">
        <v>3878</v>
      </c>
      <c r="B235" s="42" t="s">
        <v>3879</v>
      </c>
      <c r="C235" s="42" t="s">
        <v>3881</v>
      </c>
      <c r="D235" s="46" t="s">
        <v>4495</v>
      </c>
    </row>
    <row r="236" ht="14.25" customHeight="1">
      <c r="A236" s="42" t="s">
        <v>3899</v>
      </c>
      <c r="B236" s="42" t="s">
        <v>3900</v>
      </c>
      <c r="C236" s="47" t="s">
        <v>3902</v>
      </c>
      <c r="D236" s="48" t="s">
        <v>4495</v>
      </c>
    </row>
    <row r="237" ht="14.25" customHeight="1">
      <c r="A237" s="42" t="s">
        <v>3907</v>
      </c>
      <c r="B237" s="42" t="s">
        <v>3908</v>
      </c>
      <c r="C237" s="47" t="s">
        <v>3911</v>
      </c>
      <c r="D237" s="48" t="s">
        <v>4495</v>
      </c>
    </row>
    <row r="238" ht="14.25" customHeight="1">
      <c r="A238" s="42" t="s">
        <v>3918</v>
      </c>
      <c r="B238" s="42" t="s">
        <v>3919</v>
      </c>
      <c r="C238" s="42" t="s">
        <v>3921</v>
      </c>
      <c r="D238" s="46" t="s">
        <v>4495</v>
      </c>
    </row>
    <row r="239" ht="14.25" customHeight="1">
      <c r="A239" s="42" t="s">
        <v>3926</v>
      </c>
      <c r="B239" s="42" t="s">
        <v>3927</v>
      </c>
      <c r="C239" s="47" t="s">
        <v>3929</v>
      </c>
      <c r="D239" s="48" t="s">
        <v>4495</v>
      </c>
    </row>
    <row r="240" ht="14.25" customHeight="1">
      <c r="A240" s="42" t="s">
        <v>3943</v>
      </c>
      <c r="B240" s="42" t="s">
        <v>3944</v>
      </c>
      <c r="C240" s="42" t="s">
        <v>3947</v>
      </c>
      <c r="D240" s="46" t="s">
        <v>4495</v>
      </c>
    </row>
    <row r="241" ht="14.25" customHeight="1">
      <c r="A241" s="42" t="s">
        <v>3960</v>
      </c>
      <c r="B241" s="42" t="s">
        <v>3961</v>
      </c>
      <c r="C241" s="47" t="s">
        <v>3963</v>
      </c>
      <c r="D241" s="48" t="s">
        <v>4495</v>
      </c>
    </row>
    <row r="242" ht="14.25" customHeight="1">
      <c r="A242" s="42" t="s">
        <v>3967</v>
      </c>
      <c r="B242" s="42" t="s">
        <v>3968</v>
      </c>
      <c r="C242" s="42" t="s">
        <v>3970</v>
      </c>
      <c r="D242" s="46" t="s">
        <v>4495</v>
      </c>
    </row>
    <row r="243" ht="14.25" customHeight="1">
      <c r="A243" s="42" t="s">
        <v>3977</v>
      </c>
      <c r="B243" s="42" t="s">
        <v>3978</v>
      </c>
      <c r="C243" s="42" t="s">
        <v>3979</v>
      </c>
      <c r="D243" s="46" t="s">
        <v>4495</v>
      </c>
    </row>
    <row r="244" ht="14.25" customHeight="1">
      <c r="A244" s="42" t="s">
        <v>4008</v>
      </c>
      <c r="B244" s="42" t="s">
        <v>4009</v>
      </c>
      <c r="C244" s="42" t="s">
        <v>4011</v>
      </c>
      <c r="D244" s="46" t="s">
        <v>4495</v>
      </c>
    </row>
    <row r="245" ht="14.25" customHeight="1">
      <c r="A245" s="42" t="s">
        <v>4018</v>
      </c>
      <c r="B245" s="42" t="s">
        <v>4019</v>
      </c>
      <c r="C245" s="42"/>
      <c r="D245" s="46" t="s">
        <v>4495</v>
      </c>
    </row>
    <row r="246" ht="14.25" customHeight="1">
      <c r="A246" s="42" t="s">
        <v>4036</v>
      </c>
      <c r="B246" s="42" t="s">
        <v>4037</v>
      </c>
      <c r="C246" s="42"/>
      <c r="D246" s="46" t="s">
        <v>4495</v>
      </c>
    </row>
    <row r="247" ht="14.25" customHeight="1">
      <c r="A247" s="42" t="s">
        <v>4043</v>
      </c>
      <c r="B247" s="42" t="s">
        <v>4044</v>
      </c>
      <c r="C247" s="42" t="s">
        <v>4046</v>
      </c>
      <c r="D247" s="46" t="s">
        <v>4495</v>
      </c>
    </row>
    <row r="248" ht="14.25" customHeight="1">
      <c r="A248" s="42" t="s">
        <v>4053</v>
      </c>
      <c r="B248" s="42" t="s">
        <v>4054</v>
      </c>
      <c r="C248" s="42" t="s">
        <v>4056</v>
      </c>
      <c r="D248" s="46" t="s">
        <v>4495</v>
      </c>
    </row>
    <row r="249" ht="14.25" customHeight="1">
      <c r="A249" s="42" t="s">
        <v>4076</v>
      </c>
      <c r="B249" s="42" t="s">
        <v>4077</v>
      </c>
      <c r="C249" s="42"/>
      <c r="D249" s="46" t="s">
        <v>4495</v>
      </c>
    </row>
    <row r="250" ht="14.25" customHeight="1">
      <c r="A250" s="42" t="s">
        <v>4098</v>
      </c>
      <c r="B250" s="42" t="s">
        <v>4099</v>
      </c>
      <c r="C250" s="42"/>
      <c r="D250" s="46" t="s">
        <v>4495</v>
      </c>
    </row>
    <row r="251" ht="14.25" customHeight="1">
      <c r="A251" s="42" t="s">
        <v>4120</v>
      </c>
      <c r="B251" s="42" t="s">
        <v>4121</v>
      </c>
      <c r="C251" s="42" t="s">
        <v>4123</v>
      </c>
      <c r="D251" s="46" t="s">
        <v>4495</v>
      </c>
    </row>
    <row r="252" ht="14.25" customHeight="1">
      <c r="A252" s="42" t="s">
        <v>4129</v>
      </c>
      <c r="B252" s="42" t="s">
        <v>4130</v>
      </c>
      <c r="C252" s="42" t="s">
        <v>4132</v>
      </c>
      <c r="D252" s="46" t="s">
        <v>4495</v>
      </c>
    </row>
    <row r="253" ht="14.25" customHeight="1">
      <c r="A253" s="42" t="s">
        <v>4159</v>
      </c>
      <c r="B253" s="42" t="s">
        <v>4160</v>
      </c>
      <c r="C253" s="42" t="s">
        <v>4162</v>
      </c>
      <c r="D253" s="46" t="s">
        <v>4495</v>
      </c>
    </row>
    <row r="254" ht="14.25" customHeight="1">
      <c r="A254" s="42" t="s">
        <v>4169</v>
      </c>
      <c r="B254" s="42" t="s">
        <v>4170</v>
      </c>
      <c r="C254" s="42" t="s">
        <v>4172</v>
      </c>
      <c r="D254" s="46" t="s">
        <v>4495</v>
      </c>
    </row>
    <row r="255" ht="14.25" customHeight="1">
      <c r="A255" s="42" t="s">
        <v>4186</v>
      </c>
      <c r="B255" s="42" t="s">
        <v>4187</v>
      </c>
      <c r="C255" s="47" t="s">
        <v>4189</v>
      </c>
      <c r="D255" s="48" t="s">
        <v>4495</v>
      </c>
    </row>
    <row r="256" ht="14.25" customHeight="1">
      <c r="A256" s="42" t="s">
        <v>4218</v>
      </c>
      <c r="B256" s="42" t="s">
        <v>4219</v>
      </c>
      <c r="C256" s="42"/>
      <c r="D256" s="46" t="s">
        <v>4495</v>
      </c>
    </row>
    <row r="257" ht="14.25" customHeight="1">
      <c r="A257" s="42" t="s">
        <v>4230</v>
      </c>
      <c r="B257" s="42" t="s">
        <v>4231</v>
      </c>
      <c r="C257" s="42" t="s">
        <v>4233</v>
      </c>
      <c r="D257" s="46" t="s">
        <v>4495</v>
      </c>
    </row>
    <row r="258" ht="14.25" customHeight="1">
      <c r="A258" s="42" t="s">
        <v>4243</v>
      </c>
      <c r="B258" s="42" t="s">
        <v>4244</v>
      </c>
      <c r="C258" s="47" t="s">
        <v>4247</v>
      </c>
      <c r="D258" s="48" t="s">
        <v>4495</v>
      </c>
    </row>
    <row r="259" ht="14.25" customHeight="1">
      <c r="A259" s="42" t="s">
        <v>4261</v>
      </c>
      <c r="B259" s="42" t="s">
        <v>4262</v>
      </c>
      <c r="C259" s="42" t="s">
        <v>4264</v>
      </c>
      <c r="D259" s="46" t="s">
        <v>4495</v>
      </c>
    </row>
    <row r="260" ht="14.25" customHeight="1">
      <c r="A260" s="42" t="s">
        <v>4270</v>
      </c>
      <c r="B260" s="42" t="s">
        <v>4271</v>
      </c>
      <c r="C260" s="47" t="s">
        <v>4273</v>
      </c>
      <c r="D260" s="48" t="s">
        <v>4495</v>
      </c>
    </row>
    <row r="261" ht="14.25" customHeight="1">
      <c r="A261" s="42" t="s">
        <v>4279</v>
      </c>
      <c r="B261" s="42" t="s">
        <v>4280</v>
      </c>
      <c r="C261" s="42" t="s">
        <v>4282</v>
      </c>
      <c r="D261" s="46" t="s">
        <v>4495</v>
      </c>
    </row>
    <row r="262" ht="14.25" customHeight="1">
      <c r="A262" s="42" t="s">
        <v>4296</v>
      </c>
      <c r="B262" s="42" t="s">
        <v>4297</v>
      </c>
      <c r="C262" s="47" t="s">
        <v>4299</v>
      </c>
      <c r="D262" s="48" t="s">
        <v>4495</v>
      </c>
    </row>
    <row r="263" ht="14.25" customHeight="1">
      <c r="A263" s="42" t="s">
        <v>4323</v>
      </c>
      <c r="B263" s="42" t="s">
        <v>4324</v>
      </c>
      <c r="C263" s="47" t="s">
        <v>4326</v>
      </c>
      <c r="D263" s="48" t="s">
        <v>4495</v>
      </c>
    </row>
    <row r="264" ht="14.25" customHeight="1">
      <c r="A264" s="42" t="s">
        <v>4338</v>
      </c>
      <c r="B264" s="42" t="s">
        <v>4339</v>
      </c>
      <c r="C264" s="42" t="s">
        <v>4340</v>
      </c>
      <c r="D264" s="46" t="s">
        <v>4495</v>
      </c>
    </row>
    <row r="265" ht="14.25" customHeight="1">
      <c r="A265" s="42" t="s">
        <v>4345</v>
      </c>
      <c r="B265" s="42" t="s">
        <v>4346</v>
      </c>
      <c r="C265" s="47"/>
      <c r="D265" s="48" t="s">
        <v>4495</v>
      </c>
    </row>
    <row r="266" ht="14.25" customHeight="1">
      <c r="A266" s="42" t="s">
        <v>4378</v>
      </c>
      <c r="B266" s="42" t="s">
        <v>4379</v>
      </c>
      <c r="C266" s="42"/>
      <c r="D266" s="46" t="s">
        <v>4495</v>
      </c>
    </row>
    <row r="267" ht="14.25" customHeight="1">
      <c r="A267" s="42" t="s">
        <v>4389</v>
      </c>
      <c r="B267" s="42" t="s">
        <v>4390</v>
      </c>
      <c r="C267" s="47" t="s">
        <v>4392</v>
      </c>
      <c r="D267" s="48" t="s">
        <v>4495</v>
      </c>
    </row>
    <row r="268" ht="14.25" customHeight="1">
      <c r="A268" s="42" t="s">
        <v>4397</v>
      </c>
      <c r="B268" s="42" t="s">
        <v>4398</v>
      </c>
      <c r="C268" s="47" t="s">
        <v>4399</v>
      </c>
      <c r="D268" s="48" t="s">
        <v>4495</v>
      </c>
    </row>
    <row r="269" ht="14.25" customHeight="1">
      <c r="A269" s="42" t="s">
        <v>4404</v>
      </c>
      <c r="B269" s="42" t="s">
        <v>4405</v>
      </c>
      <c r="C269" s="42" t="s">
        <v>4407</v>
      </c>
      <c r="D269" s="46" t="s">
        <v>4495</v>
      </c>
    </row>
    <row r="270" ht="14.25" customHeight="1">
      <c r="A270" s="5" t="s">
        <v>4451</v>
      </c>
      <c r="B270" s="5" t="s">
        <v>4452</v>
      </c>
      <c r="C270" s="47" t="s">
        <v>4455</v>
      </c>
      <c r="D270" s="47" t="s">
        <v>4495</v>
      </c>
    </row>
    <row r="271" ht="14.25" customHeight="1">
      <c r="A271" s="5" t="s">
        <v>4461</v>
      </c>
      <c r="B271" s="5" t="s">
        <v>4462</v>
      </c>
      <c r="C271" s="42" t="s">
        <v>4463</v>
      </c>
      <c r="D271" s="42" t="s">
        <v>4495</v>
      </c>
    </row>
    <row r="272" ht="14.25" customHeight="1">
      <c r="A272" s="49" t="s">
        <v>4477</v>
      </c>
      <c r="B272" s="49" t="s">
        <v>4478</v>
      </c>
      <c r="C272" s="50" t="s">
        <v>4480</v>
      </c>
      <c r="D272" s="51" t="s">
        <v>4495</v>
      </c>
    </row>
    <row r="273" ht="14.25" customHeight="1">
      <c r="A273" s="49"/>
      <c r="B273" s="49"/>
      <c r="C273" s="51"/>
      <c r="D273" s="51" t="s">
        <v>4495</v>
      </c>
    </row>
    <row r="274" ht="14.25" customHeight="1">
      <c r="A274" s="49"/>
      <c r="B274" s="49"/>
      <c r="C274" s="51"/>
      <c r="D274" s="51" t="s">
        <v>4495</v>
      </c>
    </row>
    <row r="275" ht="14.25" customHeight="1">
      <c r="A275" s="49"/>
      <c r="B275" s="49"/>
      <c r="C275" s="51"/>
      <c r="D275" s="51" t="s">
        <v>4495</v>
      </c>
    </row>
    <row r="276" ht="14.25" customHeight="1">
      <c r="A276" s="49"/>
      <c r="B276" s="49"/>
      <c r="C276" s="51"/>
      <c r="D276" s="51" t="s">
        <v>4495</v>
      </c>
    </row>
    <row r="277" ht="14.25" customHeight="1">
      <c r="A277" s="49"/>
      <c r="B277" s="49"/>
      <c r="C277" s="51"/>
      <c r="D277" s="51" t="s">
        <v>4495</v>
      </c>
    </row>
    <row r="278" ht="14.25" customHeight="1">
      <c r="A278" s="49"/>
      <c r="B278" s="49"/>
      <c r="C278" s="51"/>
      <c r="D278" s="51" t="s">
        <v>4495</v>
      </c>
    </row>
    <row r="279" ht="14.25" customHeight="1">
      <c r="A279" s="49"/>
      <c r="B279" s="49"/>
      <c r="C279" s="51"/>
      <c r="D279" s="51" t="s">
        <v>4495</v>
      </c>
    </row>
    <row r="280" ht="14.25" customHeight="1">
      <c r="A280" s="49"/>
      <c r="B280" s="49"/>
      <c r="C280" s="51"/>
      <c r="D280" s="51" t="s">
        <v>4495</v>
      </c>
    </row>
    <row r="281" ht="14.25" customHeight="1">
      <c r="A281" s="49"/>
      <c r="B281" s="49"/>
      <c r="C281" s="51"/>
      <c r="D281" s="51" t="s">
        <v>4495</v>
      </c>
    </row>
    <row r="282" ht="14.25" customHeight="1">
      <c r="A282" s="49"/>
      <c r="B282" s="49"/>
      <c r="C282" s="51"/>
      <c r="D282" s="51" t="s">
        <v>4495</v>
      </c>
    </row>
    <row r="283" ht="14.25" customHeight="1">
      <c r="A283" s="49"/>
      <c r="B283" s="49"/>
      <c r="C283" s="51"/>
      <c r="D283" s="51" t="s">
        <v>4495</v>
      </c>
    </row>
    <row r="284" ht="14.25" customHeight="1">
      <c r="A284" s="49"/>
      <c r="B284" s="49"/>
      <c r="C284" s="51"/>
      <c r="D284" s="51" t="s">
        <v>4495</v>
      </c>
    </row>
    <row r="285" ht="14.25" customHeight="1">
      <c r="A285" s="49"/>
      <c r="B285" s="49"/>
      <c r="C285" s="51"/>
      <c r="D285" s="51" t="s">
        <v>4495</v>
      </c>
    </row>
    <row r="286" ht="14.25" customHeight="1">
      <c r="A286" s="49"/>
      <c r="B286" s="49"/>
      <c r="C286" s="51"/>
      <c r="D286" s="51" t="s">
        <v>4495</v>
      </c>
    </row>
    <row r="287" ht="14.25" customHeight="1">
      <c r="A287" s="49"/>
      <c r="B287" s="49"/>
      <c r="C287" s="51"/>
      <c r="D287" s="51" t="s">
        <v>4495</v>
      </c>
    </row>
    <row r="288" ht="14.25" customHeight="1">
      <c r="A288" s="49"/>
      <c r="B288" s="49"/>
      <c r="C288" s="51"/>
      <c r="D288" s="51" t="s">
        <v>4495</v>
      </c>
    </row>
    <row r="289" ht="14.25" customHeight="1">
      <c r="A289" s="49"/>
      <c r="B289" s="49"/>
      <c r="C289" s="51"/>
      <c r="D289" s="51" t="s">
        <v>4495</v>
      </c>
    </row>
    <row r="290" ht="14.25" customHeight="1">
      <c r="A290" s="49"/>
      <c r="B290" s="49"/>
      <c r="C290" s="51"/>
      <c r="D290" s="51" t="s">
        <v>4495</v>
      </c>
    </row>
    <row r="291" ht="14.25" customHeight="1">
      <c r="A291" s="49"/>
      <c r="B291" s="49"/>
      <c r="C291" s="51"/>
      <c r="D291" s="51" t="s">
        <v>4495</v>
      </c>
    </row>
    <row r="292" ht="14.25" customHeight="1">
      <c r="A292" s="49"/>
      <c r="B292" s="49"/>
      <c r="C292" s="51"/>
      <c r="D292" s="51" t="s">
        <v>4495</v>
      </c>
    </row>
    <row r="293" ht="14.25" customHeight="1">
      <c r="A293" s="49"/>
      <c r="B293" s="49"/>
      <c r="C293" s="51"/>
      <c r="D293" s="51" t="s">
        <v>4495</v>
      </c>
    </row>
    <row r="294" ht="14.25" customHeight="1">
      <c r="A294" s="49"/>
      <c r="B294" s="49"/>
      <c r="C294" s="51"/>
      <c r="D294" s="51" t="s">
        <v>4495</v>
      </c>
    </row>
    <row r="295" ht="14.25" customHeight="1">
      <c r="A295" s="49"/>
      <c r="B295" s="49"/>
      <c r="C295" s="51"/>
      <c r="D295" s="51" t="s">
        <v>4495</v>
      </c>
    </row>
    <row r="296" ht="14.25" customHeight="1">
      <c r="A296" s="49"/>
      <c r="B296" s="49"/>
      <c r="C296" s="51"/>
      <c r="D296" s="51" t="s">
        <v>4495</v>
      </c>
    </row>
    <row r="297" ht="14.25" customHeight="1">
      <c r="A297" s="49"/>
      <c r="B297" s="49"/>
      <c r="C297" s="51"/>
      <c r="D297" s="51" t="s">
        <v>4495</v>
      </c>
    </row>
    <row r="298" ht="14.25" customHeight="1">
      <c r="A298" s="49"/>
      <c r="B298" s="49"/>
      <c r="C298" s="51"/>
      <c r="D298" s="51" t="s">
        <v>4495</v>
      </c>
    </row>
    <row r="299" ht="14.25" customHeight="1">
      <c r="A299" s="49"/>
      <c r="B299" s="49"/>
      <c r="C299" s="51"/>
      <c r="D299" s="51" t="s">
        <v>4495</v>
      </c>
    </row>
    <row r="300" ht="14.25" customHeight="1">
      <c r="A300" s="49"/>
      <c r="B300" s="49"/>
      <c r="C300" s="51"/>
      <c r="D300" s="51" t="s">
        <v>4495</v>
      </c>
    </row>
    <row r="301" ht="14.25" customHeight="1">
      <c r="A301" s="49"/>
      <c r="B301" s="49"/>
      <c r="C301" s="51"/>
      <c r="D301" s="51" t="s">
        <v>4495</v>
      </c>
    </row>
    <row r="302" ht="14.25" customHeight="1">
      <c r="A302" s="49"/>
      <c r="B302" s="49"/>
      <c r="C302" s="51"/>
      <c r="D302" s="51" t="s">
        <v>4495</v>
      </c>
    </row>
    <row r="303" ht="14.25" customHeight="1">
      <c r="A303" s="49"/>
      <c r="B303" s="49"/>
      <c r="C303" s="51"/>
      <c r="D303" s="51" t="s">
        <v>4495</v>
      </c>
    </row>
    <row r="304" ht="14.25" customHeight="1">
      <c r="A304" s="49"/>
      <c r="B304" s="49"/>
      <c r="C304" s="51"/>
      <c r="D304" s="51" t="s">
        <v>4495</v>
      </c>
    </row>
    <row r="305" ht="14.25" customHeight="1">
      <c r="A305" s="49"/>
      <c r="B305" s="49"/>
      <c r="C305" s="51"/>
      <c r="D305" s="51" t="s">
        <v>4495</v>
      </c>
    </row>
    <row r="306" ht="14.25" customHeight="1">
      <c r="A306" s="49"/>
      <c r="B306" s="49"/>
      <c r="C306" s="51"/>
      <c r="D306" s="51" t="s">
        <v>4495</v>
      </c>
    </row>
    <row r="307" ht="14.25" customHeight="1">
      <c r="A307" s="49"/>
      <c r="B307" s="49"/>
      <c r="C307" s="51"/>
      <c r="D307" s="51" t="s">
        <v>4495</v>
      </c>
    </row>
    <row r="308" ht="14.25" customHeight="1">
      <c r="A308" s="49"/>
      <c r="B308" s="49"/>
      <c r="C308" s="51"/>
      <c r="D308" s="51" t="s">
        <v>4495</v>
      </c>
    </row>
    <row r="309" ht="14.25" customHeight="1">
      <c r="A309" s="49"/>
      <c r="B309" s="49"/>
      <c r="C309" s="51"/>
      <c r="D309" s="51" t="s">
        <v>4495</v>
      </c>
    </row>
    <row r="310" ht="14.25" customHeight="1">
      <c r="A310" s="49"/>
      <c r="B310" s="49"/>
      <c r="C310" s="51"/>
      <c r="D310" s="51" t="s">
        <v>4495</v>
      </c>
    </row>
    <row r="311" ht="14.25" customHeight="1">
      <c r="A311" s="49"/>
      <c r="B311" s="49"/>
      <c r="C311" s="51"/>
      <c r="D311" s="51" t="s">
        <v>4495</v>
      </c>
    </row>
    <row r="312" ht="14.25" customHeight="1">
      <c r="A312" s="49"/>
      <c r="B312" s="49"/>
      <c r="C312" s="51"/>
      <c r="D312" s="51" t="s">
        <v>4495</v>
      </c>
    </row>
    <row r="313" ht="14.25" customHeight="1">
      <c r="A313" s="49"/>
      <c r="B313" s="49"/>
      <c r="C313" s="51"/>
      <c r="D313" s="51" t="s">
        <v>4495</v>
      </c>
    </row>
    <row r="314" ht="14.25" customHeight="1">
      <c r="A314" s="49"/>
      <c r="B314" s="49"/>
      <c r="C314" s="51"/>
      <c r="D314" s="51" t="s">
        <v>4495</v>
      </c>
    </row>
    <row r="315" ht="14.25" customHeight="1">
      <c r="A315" s="49"/>
      <c r="B315" s="49"/>
      <c r="C315" s="51"/>
      <c r="D315" s="51" t="s">
        <v>4495</v>
      </c>
    </row>
    <row r="316" ht="14.25" customHeight="1">
      <c r="A316" s="49"/>
      <c r="B316" s="49"/>
      <c r="C316" s="51"/>
      <c r="D316" s="51" t="s">
        <v>4495</v>
      </c>
    </row>
    <row r="317" ht="14.25" customHeight="1">
      <c r="A317" s="49"/>
      <c r="B317" s="49"/>
      <c r="C317" s="51"/>
      <c r="D317" s="51" t="s">
        <v>4495</v>
      </c>
    </row>
    <row r="318" ht="14.25" customHeight="1">
      <c r="A318" s="49"/>
      <c r="B318" s="49"/>
      <c r="C318" s="51"/>
      <c r="D318" s="51" t="s">
        <v>4495</v>
      </c>
    </row>
    <row r="319" ht="14.25" customHeight="1">
      <c r="A319" s="49"/>
      <c r="B319" s="49"/>
      <c r="C319" s="51"/>
      <c r="D319" s="51" t="s">
        <v>4495</v>
      </c>
    </row>
    <row r="320" ht="14.25" customHeight="1">
      <c r="A320" s="49"/>
      <c r="B320" s="49"/>
      <c r="C320" s="51"/>
      <c r="D320" s="51" t="s">
        <v>4495</v>
      </c>
    </row>
    <row r="321" ht="14.25" customHeight="1">
      <c r="A321" s="49"/>
      <c r="B321" s="49"/>
      <c r="C321" s="51"/>
      <c r="D321" s="51" t="s">
        <v>4495</v>
      </c>
    </row>
    <row r="322" ht="14.25" customHeight="1">
      <c r="A322" s="49"/>
      <c r="B322" s="49"/>
      <c r="C322" s="51"/>
      <c r="D322" s="51" t="s">
        <v>4495</v>
      </c>
    </row>
    <row r="323" ht="14.25" customHeight="1">
      <c r="A323" s="49"/>
      <c r="B323" s="49"/>
      <c r="C323" s="51"/>
      <c r="D323" s="51" t="s">
        <v>4495</v>
      </c>
    </row>
    <row r="324" ht="14.25" customHeight="1">
      <c r="A324" s="49"/>
      <c r="B324" s="49"/>
      <c r="C324" s="51"/>
      <c r="D324" s="51" t="s">
        <v>4495</v>
      </c>
    </row>
    <row r="325" ht="14.25" customHeight="1">
      <c r="A325" s="49"/>
      <c r="B325" s="49"/>
      <c r="C325" s="51"/>
      <c r="D325" s="51" t="s">
        <v>4495</v>
      </c>
    </row>
    <row r="326" ht="14.25" customHeight="1">
      <c r="A326" s="49"/>
      <c r="B326" s="49"/>
      <c r="C326" s="51"/>
      <c r="D326" s="51" t="s">
        <v>4495</v>
      </c>
    </row>
    <row r="327" ht="14.25" customHeight="1">
      <c r="A327" s="49"/>
      <c r="B327" s="49"/>
      <c r="C327" s="51"/>
      <c r="D327" s="51" t="s">
        <v>4495</v>
      </c>
    </row>
    <row r="328" ht="14.25" customHeight="1">
      <c r="A328" s="49"/>
      <c r="B328" s="49"/>
      <c r="C328" s="51"/>
      <c r="D328" s="51" t="s">
        <v>4495</v>
      </c>
    </row>
    <row r="329" ht="14.25" customHeight="1">
      <c r="A329" s="49"/>
      <c r="B329" s="49"/>
      <c r="C329" s="51"/>
      <c r="D329" s="51" t="s">
        <v>4495</v>
      </c>
    </row>
    <row r="330" ht="14.25" customHeight="1">
      <c r="A330" s="49"/>
      <c r="B330" s="49"/>
      <c r="C330" s="51"/>
      <c r="D330" s="51" t="s">
        <v>4495</v>
      </c>
    </row>
    <row r="331" ht="14.25" customHeight="1">
      <c r="A331" s="49"/>
      <c r="B331" s="49"/>
      <c r="C331" s="51"/>
      <c r="D331" s="51" t="s">
        <v>4495</v>
      </c>
    </row>
    <row r="332" ht="14.25" customHeight="1">
      <c r="A332" s="49"/>
      <c r="B332" s="49"/>
      <c r="C332" s="51"/>
      <c r="D332" s="51" t="s">
        <v>4495</v>
      </c>
    </row>
    <row r="333" ht="14.25" customHeight="1">
      <c r="A333" s="49"/>
      <c r="B333" s="49"/>
      <c r="C333" s="51"/>
      <c r="D333" s="51" t="s">
        <v>4495</v>
      </c>
    </row>
    <row r="334" ht="14.25" customHeight="1">
      <c r="A334" s="49"/>
      <c r="B334" s="49"/>
      <c r="C334" s="51"/>
      <c r="D334" s="51" t="s">
        <v>4495</v>
      </c>
    </row>
    <row r="335" ht="14.25" customHeight="1">
      <c r="A335" s="49"/>
      <c r="B335" s="49"/>
      <c r="C335" s="51"/>
      <c r="D335" s="51" t="s">
        <v>4495</v>
      </c>
    </row>
    <row r="336" ht="14.25" customHeight="1">
      <c r="A336" s="49"/>
      <c r="B336" s="49"/>
      <c r="C336" s="51"/>
      <c r="D336" s="51" t="s">
        <v>4495</v>
      </c>
    </row>
    <row r="337" ht="14.25" customHeight="1">
      <c r="A337" s="49"/>
      <c r="B337" s="49"/>
      <c r="C337" s="51"/>
      <c r="D337" s="51" t="s">
        <v>4495</v>
      </c>
    </row>
    <row r="338" ht="14.25" customHeight="1">
      <c r="A338" s="49"/>
      <c r="B338" s="49"/>
      <c r="C338" s="51"/>
      <c r="D338" s="51" t="s">
        <v>4495</v>
      </c>
    </row>
    <row r="339" ht="14.25" customHeight="1">
      <c r="A339" s="49"/>
      <c r="B339" s="49"/>
      <c r="C339" s="51"/>
      <c r="D339" s="51" t="s">
        <v>4495</v>
      </c>
    </row>
    <row r="340" ht="14.25" customHeight="1">
      <c r="A340" s="49"/>
      <c r="B340" s="49"/>
      <c r="C340" s="51"/>
      <c r="D340" s="51" t="s">
        <v>4495</v>
      </c>
    </row>
    <row r="341" ht="14.25" customHeight="1">
      <c r="A341" s="49"/>
      <c r="B341" s="49"/>
      <c r="C341" s="51"/>
      <c r="D341" s="51" t="s">
        <v>4495</v>
      </c>
    </row>
    <row r="342" ht="14.25" customHeight="1">
      <c r="A342" s="49"/>
      <c r="B342" s="49"/>
      <c r="C342" s="51"/>
      <c r="D342" s="51" t="s">
        <v>4495</v>
      </c>
    </row>
    <row r="343" ht="14.25" customHeight="1">
      <c r="A343" s="49"/>
      <c r="B343" s="49"/>
      <c r="C343" s="51"/>
      <c r="D343" s="51" t="s">
        <v>4495</v>
      </c>
    </row>
    <row r="344" ht="14.25" customHeight="1">
      <c r="A344" s="49"/>
      <c r="B344" s="49"/>
      <c r="C344" s="51"/>
      <c r="D344" s="51" t="s">
        <v>4495</v>
      </c>
    </row>
    <row r="345" ht="14.25" customHeight="1">
      <c r="A345" s="49"/>
      <c r="B345" s="49"/>
      <c r="C345" s="51"/>
      <c r="D345" s="51" t="s">
        <v>4495</v>
      </c>
    </row>
    <row r="346" ht="14.25" customHeight="1">
      <c r="A346" s="49"/>
      <c r="B346" s="49"/>
      <c r="C346" s="51"/>
      <c r="D346" s="51" t="s">
        <v>4495</v>
      </c>
    </row>
    <row r="347" ht="14.25" customHeight="1">
      <c r="A347" s="49"/>
      <c r="B347" s="49"/>
      <c r="C347" s="51"/>
      <c r="D347" s="51" t="s">
        <v>4495</v>
      </c>
    </row>
    <row r="348" ht="14.25" customHeight="1">
      <c r="A348" s="49"/>
      <c r="B348" s="49"/>
      <c r="C348" s="51"/>
      <c r="D348" s="51" t="s">
        <v>4495</v>
      </c>
    </row>
    <row r="349" ht="14.25" customHeight="1">
      <c r="A349" s="49"/>
      <c r="B349" s="49"/>
      <c r="C349" s="51"/>
      <c r="D349" s="51" t="s">
        <v>4495</v>
      </c>
    </row>
    <row r="350" ht="14.25" customHeight="1">
      <c r="A350" s="49"/>
      <c r="B350" s="49"/>
      <c r="C350" s="51"/>
      <c r="D350" s="51" t="s">
        <v>4495</v>
      </c>
    </row>
    <row r="351" ht="14.25" customHeight="1">
      <c r="A351" s="49"/>
      <c r="B351" s="49"/>
      <c r="C351" s="51"/>
      <c r="D351" s="51" t="s">
        <v>4495</v>
      </c>
    </row>
    <row r="352" ht="14.25" customHeight="1">
      <c r="A352" s="49"/>
      <c r="B352" s="49"/>
      <c r="C352" s="51"/>
      <c r="D352" s="51" t="s">
        <v>4495</v>
      </c>
    </row>
    <row r="353" ht="14.25" customHeight="1">
      <c r="A353" s="49"/>
      <c r="B353" s="49"/>
      <c r="C353" s="51"/>
      <c r="D353" s="51" t="s">
        <v>4495</v>
      </c>
    </row>
    <row r="354" ht="14.25" customHeight="1">
      <c r="A354" s="49"/>
      <c r="B354" s="49"/>
      <c r="C354" s="51"/>
      <c r="D354" s="51" t="s">
        <v>4495</v>
      </c>
    </row>
    <row r="355" ht="14.25" customHeight="1">
      <c r="A355" s="49"/>
      <c r="B355" s="49"/>
      <c r="C355" s="51"/>
      <c r="D355" s="51" t="s">
        <v>4495</v>
      </c>
    </row>
    <row r="356" ht="14.25" customHeight="1">
      <c r="A356" s="49"/>
      <c r="B356" s="49"/>
      <c r="C356" s="51"/>
      <c r="D356" s="51" t="s">
        <v>4495</v>
      </c>
    </row>
    <row r="357" ht="14.25" customHeight="1">
      <c r="A357" s="49"/>
      <c r="B357" s="49"/>
      <c r="C357" s="51"/>
      <c r="D357" s="51" t="s">
        <v>4495</v>
      </c>
    </row>
    <row r="358" ht="14.25" customHeight="1">
      <c r="A358" s="49"/>
      <c r="B358" s="49"/>
      <c r="C358" s="51"/>
      <c r="D358" s="51" t="s">
        <v>4495</v>
      </c>
    </row>
    <row r="359" ht="14.25" customHeight="1">
      <c r="A359" s="49"/>
      <c r="B359" s="49"/>
      <c r="C359" s="51"/>
      <c r="D359" s="51" t="s">
        <v>4495</v>
      </c>
    </row>
    <row r="360" ht="14.25" customHeight="1">
      <c r="A360" s="49"/>
      <c r="B360" s="49"/>
      <c r="C360" s="51"/>
      <c r="D360" s="51" t="s">
        <v>4495</v>
      </c>
    </row>
    <row r="361" ht="14.25" customHeight="1">
      <c r="A361" s="49"/>
      <c r="B361" s="49"/>
      <c r="C361" s="51"/>
      <c r="D361" s="51" t="s">
        <v>4495</v>
      </c>
    </row>
    <row r="362" ht="14.25" customHeight="1">
      <c r="A362" s="49"/>
      <c r="B362" s="49"/>
      <c r="C362" s="51"/>
      <c r="D362" s="51" t="s">
        <v>4495</v>
      </c>
    </row>
    <row r="363" ht="14.25" customHeight="1">
      <c r="A363" s="49"/>
      <c r="B363" s="49"/>
      <c r="C363" s="51"/>
      <c r="D363" s="51" t="s">
        <v>4495</v>
      </c>
    </row>
    <row r="364" ht="14.25" customHeight="1">
      <c r="A364" s="49"/>
      <c r="B364" s="49"/>
      <c r="C364" s="51"/>
      <c r="D364" s="51" t="s">
        <v>4495</v>
      </c>
    </row>
    <row r="365" ht="14.25" customHeight="1">
      <c r="A365" s="49"/>
      <c r="B365" s="49"/>
      <c r="C365" s="51"/>
      <c r="D365" s="51" t="s">
        <v>4495</v>
      </c>
    </row>
    <row r="366" ht="14.25" customHeight="1">
      <c r="A366" s="49"/>
      <c r="B366" s="49"/>
      <c r="C366" s="51"/>
      <c r="D366" s="51" t="s">
        <v>4495</v>
      </c>
    </row>
    <row r="367" ht="14.25" customHeight="1">
      <c r="A367" s="49"/>
      <c r="B367" s="49"/>
      <c r="C367" s="51"/>
      <c r="D367" s="51" t="s">
        <v>4495</v>
      </c>
    </row>
    <row r="368" ht="14.25" customHeight="1">
      <c r="A368" s="49"/>
      <c r="B368" s="49"/>
      <c r="C368" s="51"/>
      <c r="D368" s="51" t="s">
        <v>4495</v>
      </c>
    </row>
    <row r="369" ht="14.25" customHeight="1">
      <c r="A369" s="49"/>
      <c r="B369" s="49"/>
      <c r="C369" s="51"/>
      <c r="D369" s="51" t="s">
        <v>4495</v>
      </c>
    </row>
    <row r="370" ht="14.25" customHeight="1">
      <c r="A370" s="49"/>
      <c r="B370" s="49"/>
      <c r="C370" s="51"/>
      <c r="D370" s="51" t="s">
        <v>4495</v>
      </c>
    </row>
    <row r="371" ht="14.25" customHeight="1">
      <c r="A371" s="49"/>
      <c r="B371" s="49"/>
      <c r="C371" s="51"/>
      <c r="D371" s="51" t="s">
        <v>4495</v>
      </c>
    </row>
    <row r="372" ht="14.25" customHeight="1">
      <c r="A372" s="49"/>
      <c r="B372" s="49"/>
      <c r="C372" s="51"/>
      <c r="D372" s="51" t="s">
        <v>4495</v>
      </c>
    </row>
    <row r="373" ht="14.25" customHeight="1">
      <c r="A373" s="49"/>
      <c r="B373" s="49"/>
      <c r="C373" s="51"/>
      <c r="D373" s="51" t="s">
        <v>4495</v>
      </c>
    </row>
    <row r="374" ht="14.25" customHeight="1">
      <c r="A374" s="49"/>
      <c r="B374" s="49"/>
      <c r="C374" s="51"/>
      <c r="D374" s="51" t="s">
        <v>4495</v>
      </c>
    </row>
    <row r="375" ht="14.25" customHeight="1">
      <c r="A375" s="49"/>
      <c r="B375" s="49"/>
      <c r="C375" s="51"/>
      <c r="D375" s="51" t="s">
        <v>4495</v>
      </c>
    </row>
    <row r="376" ht="14.25" customHeight="1">
      <c r="A376" s="49"/>
      <c r="B376" s="49"/>
      <c r="C376" s="51"/>
      <c r="D376" s="51" t="s">
        <v>4495</v>
      </c>
    </row>
    <row r="377" ht="14.25" customHeight="1">
      <c r="A377" s="49"/>
      <c r="B377" s="49"/>
      <c r="C377" s="51"/>
      <c r="D377" s="51" t="s">
        <v>4495</v>
      </c>
    </row>
    <row r="378" ht="14.25" customHeight="1">
      <c r="A378" s="49"/>
      <c r="B378" s="49"/>
      <c r="C378" s="51"/>
      <c r="D378" s="51" t="s">
        <v>4495</v>
      </c>
    </row>
    <row r="379" ht="14.25" customHeight="1">
      <c r="A379" s="49"/>
      <c r="B379" s="49"/>
      <c r="C379" s="51"/>
      <c r="D379" s="51" t="s">
        <v>4495</v>
      </c>
    </row>
    <row r="380" ht="14.25" customHeight="1">
      <c r="A380" s="49"/>
      <c r="B380" s="49"/>
      <c r="C380" s="51"/>
      <c r="D380" s="51" t="s">
        <v>4495</v>
      </c>
    </row>
    <row r="381" ht="14.25" customHeight="1">
      <c r="A381" s="49"/>
      <c r="B381" s="49"/>
      <c r="C381" s="51"/>
      <c r="D381" s="51" t="s">
        <v>4495</v>
      </c>
    </row>
    <row r="382" ht="14.25" customHeight="1">
      <c r="A382" s="49"/>
      <c r="B382" s="49"/>
      <c r="C382" s="51"/>
      <c r="D382" s="51" t="s">
        <v>4495</v>
      </c>
    </row>
    <row r="383" ht="14.25" customHeight="1">
      <c r="A383" s="49"/>
      <c r="B383" s="49"/>
      <c r="C383" s="51"/>
      <c r="D383" s="51" t="s">
        <v>4495</v>
      </c>
    </row>
    <row r="384" ht="14.25" customHeight="1">
      <c r="A384" s="49"/>
      <c r="B384" s="49"/>
      <c r="C384" s="51"/>
      <c r="D384" s="51" t="s">
        <v>4495</v>
      </c>
    </row>
    <row r="385" ht="14.25" customHeight="1">
      <c r="A385" s="49"/>
      <c r="B385" s="49"/>
      <c r="C385" s="51"/>
      <c r="D385" s="51" t="s">
        <v>4495</v>
      </c>
    </row>
    <row r="386" ht="14.25" customHeight="1">
      <c r="A386" s="49"/>
      <c r="B386" s="49"/>
      <c r="C386" s="51"/>
      <c r="D386" s="51" t="s">
        <v>4495</v>
      </c>
    </row>
    <row r="387" ht="14.25" customHeight="1">
      <c r="A387" s="49"/>
      <c r="B387" s="49"/>
      <c r="C387" s="51"/>
      <c r="D387" s="51" t="s">
        <v>4495</v>
      </c>
    </row>
    <row r="388" ht="14.25" customHeight="1">
      <c r="A388" s="49"/>
      <c r="B388" s="49"/>
      <c r="C388" s="51"/>
      <c r="D388" s="51" t="s">
        <v>4495</v>
      </c>
    </row>
    <row r="389" ht="14.25" customHeight="1">
      <c r="A389" s="49"/>
      <c r="B389" s="49"/>
      <c r="C389" s="51"/>
      <c r="D389" s="51" t="s">
        <v>4495</v>
      </c>
    </row>
    <row r="390" ht="14.25" customHeight="1">
      <c r="A390" s="49"/>
      <c r="B390" s="49"/>
      <c r="C390" s="51"/>
      <c r="D390" s="51" t="s">
        <v>4495</v>
      </c>
    </row>
    <row r="391" ht="14.25" customHeight="1">
      <c r="A391" s="49"/>
      <c r="B391" s="49"/>
      <c r="C391" s="51"/>
      <c r="D391" s="51" t="s">
        <v>4495</v>
      </c>
    </row>
    <row r="392" ht="14.25" customHeight="1">
      <c r="A392" s="49"/>
      <c r="B392" s="49"/>
      <c r="C392" s="51"/>
      <c r="D392" s="51" t="s">
        <v>4495</v>
      </c>
    </row>
    <row r="393" ht="14.25" customHeight="1">
      <c r="A393" s="49"/>
      <c r="B393" s="49"/>
      <c r="C393" s="51"/>
      <c r="D393" s="51" t="s">
        <v>4495</v>
      </c>
    </row>
    <row r="394" ht="14.25" customHeight="1">
      <c r="A394" s="49"/>
      <c r="B394" s="49"/>
      <c r="C394" s="51"/>
      <c r="D394" s="51" t="s">
        <v>4495</v>
      </c>
    </row>
    <row r="395" ht="14.25" customHeight="1">
      <c r="A395" s="49"/>
      <c r="B395" s="49"/>
      <c r="C395" s="51"/>
      <c r="D395" s="51" t="s">
        <v>4495</v>
      </c>
    </row>
    <row r="396" ht="14.25" customHeight="1">
      <c r="A396" s="49"/>
      <c r="B396" s="49"/>
      <c r="C396" s="51"/>
      <c r="D396" s="51" t="s">
        <v>4495</v>
      </c>
    </row>
    <row r="397" ht="14.25" customHeight="1">
      <c r="A397" s="49"/>
      <c r="B397" s="49"/>
      <c r="C397" s="51"/>
      <c r="D397" s="51" t="s">
        <v>4495</v>
      </c>
    </row>
    <row r="398" ht="14.25" customHeight="1">
      <c r="A398" s="49"/>
      <c r="B398" s="49"/>
      <c r="C398" s="51"/>
      <c r="D398" s="51" t="s">
        <v>4495</v>
      </c>
    </row>
    <row r="399" ht="14.25" customHeight="1">
      <c r="A399" s="49"/>
      <c r="B399" s="49"/>
      <c r="C399" s="51"/>
      <c r="D399" s="51" t="s">
        <v>4495</v>
      </c>
    </row>
    <row r="400" ht="14.25" customHeight="1">
      <c r="A400" s="49"/>
      <c r="B400" s="49"/>
      <c r="C400" s="51"/>
      <c r="D400" s="51" t="s">
        <v>4495</v>
      </c>
    </row>
    <row r="401" ht="14.25" customHeight="1">
      <c r="A401" s="49"/>
      <c r="B401" s="49"/>
      <c r="C401" s="51"/>
      <c r="D401" s="51" t="s">
        <v>4495</v>
      </c>
    </row>
    <row r="402" ht="14.25" customHeight="1">
      <c r="A402" s="49"/>
      <c r="B402" s="49"/>
      <c r="C402" s="51"/>
      <c r="D402" s="51" t="s">
        <v>4495</v>
      </c>
    </row>
    <row r="403" ht="14.25" customHeight="1">
      <c r="A403" s="49"/>
      <c r="B403" s="49"/>
      <c r="C403" s="51"/>
      <c r="D403" s="51" t="s">
        <v>4495</v>
      </c>
    </row>
    <row r="404" ht="14.25" customHeight="1">
      <c r="A404" s="49"/>
      <c r="B404" s="49"/>
      <c r="C404" s="51"/>
      <c r="D404" s="51" t="s">
        <v>4495</v>
      </c>
    </row>
    <row r="405" ht="14.25" customHeight="1">
      <c r="A405" s="49"/>
      <c r="B405" s="49"/>
      <c r="C405" s="51"/>
      <c r="D405" s="51" t="s">
        <v>4495</v>
      </c>
    </row>
    <row r="406" ht="14.25" customHeight="1">
      <c r="A406" s="49"/>
      <c r="B406" s="49"/>
      <c r="C406" s="51"/>
      <c r="D406" s="51" t="s">
        <v>4495</v>
      </c>
    </row>
    <row r="407" ht="14.25" customHeight="1">
      <c r="A407" s="49"/>
      <c r="B407" s="49"/>
      <c r="C407" s="51"/>
      <c r="D407" s="51" t="s">
        <v>4495</v>
      </c>
    </row>
    <row r="408" ht="14.25" customHeight="1">
      <c r="A408" s="49"/>
      <c r="B408" s="49"/>
      <c r="C408" s="51"/>
      <c r="D408" s="51" t="s">
        <v>4495</v>
      </c>
    </row>
    <row r="409" ht="14.25" customHeight="1">
      <c r="A409" s="49"/>
      <c r="B409" s="49"/>
      <c r="C409" s="51"/>
      <c r="D409" s="51" t="s">
        <v>4495</v>
      </c>
    </row>
    <row r="410" ht="14.25" customHeight="1">
      <c r="A410" s="49"/>
      <c r="B410" s="49"/>
      <c r="C410" s="51"/>
      <c r="D410" s="51" t="s">
        <v>4495</v>
      </c>
    </row>
    <row r="411" ht="14.25" customHeight="1">
      <c r="A411" s="49"/>
      <c r="B411" s="49"/>
      <c r="C411" s="51"/>
      <c r="D411" s="51" t="s">
        <v>4495</v>
      </c>
    </row>
    <row r="412" ht="14.25" customHeight="1">
      <c r="A412" s="49"/>
      <c r="B412" s="49"/>
      <c r="C412" s="51"/>
      <c r="D412" s="51" t="s">
        <v>4495</v>
      </c>
    </row>
    <row r="413" ht="14.25" customHeight="1">
      <c r="A413" s="49"/>
      <c r="B413" s="49"/>
      <c r="C413" s="51"/>
      <c r="D413" s="51" t="s">
        <v>4495</v>
      </c>
    </row>
    <row r="414" ht="14.25" customHeight="1">
      <c r="A414" s="49"/>
      <c r="B414" s="49"/>
      <c r="C414" s="51"/>
      <c r="D414" s="51" t="s">
        <v>4495</v>
      </c>
    </row>
    <row r="415" ht="14.25" customHeight="1">
      <c r="A415" s="49"/>
      <c r="B415" s="49"/>
      <c r="C415" s="51"/>
      <c r="D415" s="51" t="s">
        <v>4495</v>
      </c>
    </row>
    <row r="416" ht="14.25" customHeight="1">
      <c r="A416" s="49"/>
      <c r="B416" s="49"/>
      <c r="C416" s="51"/>
      <c r="D416" s="51" t="s">
        <v>4495</v>
      </c>
    </row>
    <row r="417" ht="14.25" customHeight="1">
      <c r="A417" s="49"/>
      <c r="B417" s="49"/>
      <c r="C417" s="51"/>
      <c r="D417" s="51" t="s">
        <v>4495</v>
      </c>
    </row>
    <row r="418" ht="14.25" customHeight="1">
      <c r="A418" s="49"/>
      <c r="B418" s="49"/>
      <c r="C418" s="51"/>
      <c r="D418" s="51" t="s">
        <v>4495</v>
      </c>
    </row>
    <row r="419" ht="14.25" customHeight="1">
      <c r="A419" s="49"/>
      <c r="B419" s="49"/>
      <c r="C419" s="51"/>
      <c r="D419" s="51" t="s">
        <v>4495</v>
      </c>
    </row>
    <row r="420" ht="14.25" customHeight="1">
      <c r="A420" s="49"/>
      <c r="B420" s="49"/>
      <c r="C420" s="51"/>
      <c r="D420" s="51" t="s">
        <v>4495</v>
      </c>
    </row>
    <row r="421" ht="14.25" customHeight="1">
      <c r="A421" s="49"/>
      <c r="B421" s="49"/>
      <c r="C421" s="51"/>
      <c r="D421" s="51" t="s">
        <v>4495</v>
      </c>
    </row>
    <row r="422" ht="14.25" customHeight="1">
      <c r="A422" s="49"/>
      <c r="B422" s="49"/>
      <c r="C422" s="51"/>
      <c r="D422" s="51" t="s">
        <v>4495</v>
      </c>
    </row>
    <row r="423" ht="14.25" customHeight="1">
      <c r="A423" s="49"/>
      <c r="B423" s="49"/>
      <c r="C423" s="51"/>
      <c r="D423" s="51" t="s">
        <v>4495</v>
      </c>
    </row>
    <row r="424" ht="14.25" customHeight="1">
      <c r="A424" s="49"/>
      <c r="B424" s="49"/>
      <c r="C424" s="51"/>
      <c r="D424" s="51" t="s">
        <v>4495</v>
      </c>
    </row>
    <row r="425" ht="14.25" customHeight="1">
      <c r="A425" s="49"/>
      <c r="B425" s="49"/>
      <c r="C425" s="51"/>
      <c r="D425" s="51" t="s">
        <v>4495</v>
      </c>
    </row>
    <row r="426" ht="14.25" customHeight="1">
      <c r="A426" s="49"/>
      <c r="B426" s="49"/>
      <c r="C426" s="51"/>
      <c r="D426" s="51" t="s">
        <v>4495</v>
      </c>
    </row>
    <row r="427" ht="14.25" customHeight="1">
      <c r="A427" s="49"/>
      <c r="B427" s="49"/>
      <c r="C427" s="51"/>
      <c r="D427" s="51" t="s">
        <v>4495</v>
      </c>
    </row>
    <row r="428" ht="14.25" customHeight="1">
      <c r="A428" s="49"/>
      <c r="B428" s="49"/>
      <c r="C428" s="51"/>
      <c r="D428" s="51" t="s">
        <v>4495</v>
      </c>
    </row>
    <row r="429" ht="14.25" customHeight="1">
      <c r="A429" s="49"/>
      <c r="B429" s="49"/>
      <c r="C429" s="51"/>
      <c r="D429" s="51" t="s">
        <v>4495</v>
      </c>
    </row>
    <row r="430" ht="14.25" customHeight="1">
      <c r="A430" s="49"/>
      <c r="B430" s="49"/>
      <c r="C430" s="51"/>
      <c r="D430" s="51" t="s">
        <v>4495</v>
      </c>
    </row>
    <row r="431" ht="14.25" customHeight="1">
      <c r="A431" s="49"/>
      <c r="B431" s="49"/>
      <c r="C431" s="51"/>
      <c r="D431" s="51" t="s">
        <v>4495</v>
      </c>
    </row>
    <row r="432" ht="14.25" customHeight="1">
      <c r="A432" s="49"/>
      <c r="B432" s="49"/>
      <c r="C432" s="51"/>
      <c r="D432" s="51" t="s">
        <v>4495</v>
      </c>
    </row>
    <row r="433" ht="14.25" customHeight="1">
      <c r="A433" s="49"/>
      <c r="B433" s="49"/>
      <c r="C433" s="51"/>
      <c r="D433" s="51" t="s">
        <v>4495</v>
      </c>
    </row>
    <row r="434" ht="14.25" customHeight="1">
      <c r="A434" s="49"/>
      <c r="B434" s="49"/>
      <c r="C434" s="51"/>
      <c r="D434" s="51" t="s">
        <v>4495</v>
      </c>
    </row>
    <row r="435" ht="14.25" customHeight="1">
      <c r="A435" s="49"/>
      <c r="B435" s="49"/>
      <c r="C435" s="51"/>
      <c r="D435" s="51" t="s">
        <v>4495</v>
      </c>
    </row>
    <row r="436" ht="14.25" customHeight="1">
      <c r="A436" s="49"/>
      <c r="B436" s="49"/>
      <c r="C436" s="51"/>
      <c r="D436" s="51" t="s">
        <v>4495</v>
      </c>
    </row>
    <row r="437" ht="14.25" customHeight="1">
      <c r="A437" s="49"/>
      <c r="B437" s="49"/>
      <c r="C437" s="51"/>
      <c r="D437" s="51" t="s">
        <v>4495</v>
      </c>
    </row>
    <row r="438" ht="14.25" customHeight="1">
      <c r="A438" s="49"/>
      <c r="B438" s="49"/>
      <c r="C438" s="51"/>
      <c r="D438" s="51" t="s">
        <v>4495</v>
      </c>
    </row>
    <row r="439" ht="14.25" customHeight="1">
      <c r="A439" s="49"/>
      <c r="B439" s="49"/>
      <c r="C439" s="51"/>
      <c r="D439" s="51" t="s">
        <v>4495</v>
      </c>
    </row>
    <row r="440" ht="14.25" customHeight="1">
      <c r="A440" s="49"/>
      <c r="B440" s="49"/>
      <c r="C440" s="51"/>
      <c r="D440" s="51" t="s">
        <v>4495</v>
      </c>
    </row>
    <row r="441" ht="14.25" customHeight="1">
      <c r="A441" s="49"/>
      <c r="B441" s="49"/>
      <c r="C441" s="51"/>
      <c r="D441" s="51" t="s">
        <v>4495</v>
      </c>
    </row>
    <row r="442" ht="14.25" customHeight="1">
      <c r="A442" s="49"/>
      <c r="B442" s="49"/>
      <c r="C442" s="51"/>
      <c r="D442" s="51" t="s">
        <v>4495</v>
      </c>
    </row>
    <row r="443" ht="14.25" customHeight="1">
      <c r="A443" s="49"/>
      <c r="B443" s="49"/>
      <c r="C443" s="51"/>
      <c r="D443" s="51" t="s">
        <v>4495</v>
      </c>
    </row>
    <row r="444" ht="14.25" customHeight="1">
      <c r="A444" s="49"/>
      <c r="B444" s="49"/>
      <c r="C444" s="51"/>
      <c r="D444" s="51" t="s">
        <v>4495</v>
      </c>
    </row>
    <row r="445" ht="14.25" customHeight="1">
      <c r="A445" s="49"/>
      <c r="B445" s="49"/>
      <c r="C445" s="51"/>
      <c r="D445" s="51" t="s">
        <v>4495</v>
      </c>
    </row>
    <row r="446" ht="14.25" customHeight="1">
      <c r="A446" s="49"/>
      <c r="B446" s="49"/>
      <c r="C446" s="51"/>
      <c r="D446" s="51" t="s">
        <v>4495</v>
      </c>
    </row>
    <row r="447" ht="14.25" customHeight="1">
      <c r="A447" s="49"/>
      <c r="B447" s="49"/>
      <c r="C447" s="51"/>
      <c r="D447" s="51" t="s">
        <v>4495</v>
      </c>
    </row>
    <row r="448" ht="14.25" customHeight="1">
      <c r="A448" s="49"/>
      <c r="B448" s="49"/>
      <c r="C448" s="51"/>
      <c r="D448" s="51" t="s">
        <v>4495</v>
      </c>
    </row>
    <row r="449" ht="14.25" customHeight="1">
      <c r="A449" s="49"/>
      <c r="B449" s="49"/>
      <c r="C449" s="51"/>
      <c r="D449" s="51" t="s">
        <v>4495</v>
      </c>
    </row>
    <row r="450" ht="14.25" customHeight="1">
      <c r="A450" s="49"/>
      <c r="B450" s="49"/>
      <c r="C450" s="51"/>
      <c r="D450" s="51" t="s">
        <v>4495</v>
      </c>
    </row>
    <row r="451" ht="14.25" customHeight="1">
      <c r="A451" s="49"/>
      <c r="B451" s="49"/>
      <c r="C451" s="51"/>
      <c r="D451" s="51" t="s">
        <v>4495</v>
      </c>
    </row>
    <row r="452" ht="14.25" customHeight="1">
      <c r="A452" s="49"/>
      <c r="B452" s="49"/>
      <c r="C452" s="51"/>
      <c r="D452" s="51" t="s">
        <v>4495</v>
      </c>
    </row>
    <row r="453" ht="14.25" customHeight="1">
      <c r="A453" s="49"/>
      <c r="B453" s="49"/>
      <c r="C453" s="51"/>
      <c r="D453" s="51" t="s">
        <v>4495</v>
      </c>
    </row>
    <row r="454" ht="14.25" customHeight="1">
      <c r="A454" s="49"/>
      <c r="B454" s="49"/>
      <c r="C454" s="51"/>
      <c r="D454" s="51" t="s">
        <v>4495</v>
      </c>
    </row>
    <row r="455" ht="14.25" customHeight="1">
      <c r="A455" s="49"/>
      <c r="B455" s="49"/>
      <c r="C455" s="51"/>
      <c r="D455" s="51" t="s">
        <v>4495</v>
      </c>
    </row>
    <row r="456" ht="14.25" customHeight="1">
      <c r="A456" s="49"/>
      <c r="B456" s="49"/>
      <c r="C456" s="51"/>
      <c r="D456" s="51" t="s">
        <v>4495</v>
      </c>
    </row>
    <row r="457" ht="14.25" customHeight="1">
      <c r="A457" s="49"/>
      <c r="B457" s="49"/>
      <c r="C457" s="51"/>
      <c r="D457" s="51" t="s">
        <v>4495</v>
      </c>
    </row>
    <row r="458" ht="14.25" customHeight="1">
      <c r="A458" s="49"/>
      <c r="B458" s="49"/>
      <c r="C458" s="51"/>
      <c r="D458" s="51" t="s">
        <v>4495</v>
      </c>
    </row>
    <row r="459" ht="14.25" customHeight="1">
      <c r="A459" s="49"/>
      <c r="B459" s="49"/>
      <c r="C459" s="51"/>
      <c r="D459" s="51" t="s">
        <v>4495</v>
      </c>
    </row>
    <row r="460" ht="14.25" customHeight="1">
      <c r="A460" s="49"/>
      <c r="B460" s="49"/>
      <c r="C460" s="51"/>
      <c r="D460" s="51" t="s">
        <v>4495</v>
      </c>
    </row>
    <row r="461" ht="14.25" customHeight="1">
      <c r="A461" s="49"/>
      <c r="B461" s="49"/>
      <c r="C461" s="51"/>
      <c r="D461" s="51" t="s">
        <v>4495</v>
      </c>
    </row>
    <row r="462" ht="14.25" customHeight="1">
      <c r="A462" s="49"/>
      <c r="B462" s="49"/>
      <c r="C462" s="51"/>
      <c r="D462" s="51" t="s">
        <v>4495</v>
      </c>
    </row>
    <row r="463" ht="14.25" customHeight="1">
      <c r="A463" s="49"/>
      <c r="B463" s="49"/>
      <c r="C463" s="51"/>
      <c r="D463" s="51" t="s">
        <v>4495</v>
      </c>
    </row>
    <row r="464" ht="14.25" customHeight="1">
      <c r="A464" s="49"/>
      <c r="B464" s="49"/>
      <c r="C464" s="51"/>
      <c r="D464" s="51" t="s">
        <v>4495</v>
      </c>
    </row>
    <row r="465" ht="14.25" customHeight="1">
      <c r="A465" s="49"/>
      <c r="B465" s="49"/>
      <c r="C465" s="51"/>
      <c r="D465" s="51" t="s">
        <v>4495</v>
      </c>
    </row>
    <row r="466" ht="14.25" customHeight="1">
      <c r="A466" s="49"/>
      <c r="B466" s="49"/>
      <c r="C466" s="51"/>
      <c r="D466" s="51" t="s">
        <v>4495</v>
      </c>
    </row>
    <row r="467" ht="14.25" customHeight="1">
      <c r="A467" s="49"/>
      <c r="B467" s="49"/>
      <c r="C467" s="51"/>
      <c r="D467" s="51" t="s">
        <v>4495</v>
      </c>
    </row>
    <row r="468" ht="14.25" customHeight="1">
      <c r="A468" s="49"/>
      <c r="B468" s="49"/>
      <c r="C468" s="51"/>
      <c r="D468" s="51" t="s">
        <v>4495</v>
      </c>
    </row>
    <row r="469" ht="14.25" customHeight="1">
      <c r="A469" s="49"/>
      <c r="B469" s="49"/>
      <c r="C469" s="51"/>
      <c r="D469" s="51" t="s">
        <v>4495</v>
      </c>
    </row>
    <row r="470" ht="14.25" customHeight="1">
      <c r="A470" s="49"/>
      <c r="B470" s="49"/>
      <c r="C470" s="51"/>
      <c r="D470" s="51" t="s">
        <v>4495</v>
      </c>
    </row>
    <row r="471" ht="14.25" customHeight="1">
      <c r="A471" s="49"/>
      <c r="B471" s="49"/>
      <c r="C471" s="51"/>
      <c r="D471" s="51" t="s">
        <v>4495</v>
      </c>
    </row>
    <row r="472" ht="14.25" customHeight="1">
      <c r="A472" s="49"/>
      <c r="B472" s="49"/>
      <c r="C472" s="51"/>
      <c r="D472" s="51" t="s">
        <v>4495</v>
      </c>
    </row>
    <row r="473" ht="14.25" customHeight="1">
      <c r="A473" s="49"/>
      <c r="B473" s="49"/>
      <c r="C473" s="51"/>
      <c r="D473" s="51" t="s">
        <v>4495</v>
      </c>
    </row>
    <row r="474" ht="14.25" customHeight="1">
      <c r="A474" s="49"/>
      <c r="B474" s="49"/>
      <c r="C474" s="51"/>
      <c r="D474" s="51" t="s">
        <v>4495</v>
      </c>
    </row>
    <row r="475" ht="14.25" customHeight="1">
      <c r="A475" s="49"/>
      <c r="B475" s="49"/>
      <c r="C475" s="51"/>
      <c r="D475" s="51" t="s">
        <v>4495</v>
      </c>
    </row>
    <row r="476" ht="14.25" customHeight="1">
      <c r="A476" s="49"/>
      <c r="B476" s="49"/>
      <c r="C476" s="51"/>
      <c r="D476" s="51" t="s">
        <v>4495</v>
      </c>
    </row>
    <row r="477" ht="14.25" customHeight="1">
      <c r="A477" s="49"/>
      <c r="B477" s="49"/>
      <c r="C477" s="51"/>
      <c r="D477" s="51" t="s">
        <v>4495</v>
      </c>
    </row>
    <row r="478" ht="14.25" customHeight="1">
      <c r="A478" s="49"/>
      <c r="B478" s="49"/>
      <c r="C478" s="51"/>
      <c r="D478" s="51" t="s">
        <v>4495</v>
      </c>
    </row>
    <row r="479" ht="14.25" customHeight="1">
      <c r="A479" s="49"/>
      <c r="B479" s="49"/>
      <c r="C479" s="51"/>
      <c r="D479" s="51" t="s">
        <v>4495</v>
      </c>
    </row>
    <row r="480" ht="14.25" customHeight="1">
      <c r="A480" s="49"/>
      <c r="B480" s="49"/>
      <c r="C480" s="51"/>
      <c r="D480" s="51" t="s">
        <v>4495</v>
      </c>
    </row>
    <row r="481" ht="14.25" customHeight="1">
      <c r="A481" s="49"/>
      <c r="B481" s="49"/>
      <c r="C481" s="51"/>
      <c r="D481" s="51" t="s">
        <v>4495</v>
      </c>
    </row>
    <row r="482" ht="14.25" customHeight="1">
      <c r="A482" s="49"/>
      <c r="B482" s="49"/>
      <c r="C482" s="51"/>
      <c r="D482" s="51" t="s">
        <v>4495</v>
      </c>
    </row>
    <row r="483" ht="14.25" customHeight="1">
      <c r="A483" s="49"/>
      <c r="B483" s="49"/>
      <c r="C483" s="51"/>
      <c r="D483" s="51" t="s">
        <v>4495</v>
      </c>
    </row>
    <row r="484" ht="14.25" customHeight="1">
      <c r="A484" s="49"/>
      <c r="B484" s="49"/>
      <c r="C484" s="51"/>
      <c r="D484" s="51" t="s">
        <v>4495</v>
      </c>
    </row>
    <row r="485" ht="14.25" customHeight="1">
      <c r="A485" s="49"/>
      <c r="B485" s="49"/>
      <c r="C485" s="51"/>
      <c r="D485" s="51" t="s">
        <v>4495</v>
      </c>
    </row>
    <row r="486" ht="14.25" customHeight="1">
      <c r="A486" s="49"/>
      <c r="B486" s="49"/>
      <c r="C486" s="51"/>
      <c r="D486" s="51" t="s">
        <v>4495</v>
      </c>
    </row>
    <row r="487" ht="14.25" customHeight="1">
      <c r="A487" s="49"/>
      <c r="B487" s="49"/>
      <c r="C487" s="51"/>
      <c r="D487" s="51" t="s">
        <v>4495</v>
      </c>
    </row>
    <row r="488" ht="14.25" customHeight="1">
      <c r="A488" s="49"/>
      <c r="B488" s="49"/>
      <c r="C488" s="51"/>
      <c r="D488" s="51" t="s">
        <v>4495</v>
      </c>
    </row>
    <row r="489" ht="14.25" customHeight="1">
      <c r="A489" s="49"/>
      <c r="B489" s="49"/>
      <c r="C489" s="51"/>
      <c r="D489" s="51" t="s">
        <v>4495</v>
      </c>
    </row>
    <row r="490" ht="14.25" customHeight="1">
      <c r="A490" s="49"/>
      <c r="B490" s="49"/>
      <c r="C490" s="51"/>
      <c r="D490" s="51" t="s">
        <v>4495</v>
      </c>
    </row>
    <row r="491" ht="14.25" customHeight="1">
      <c r="A491" s="49"/>
      <c r="B491" s="49"/>
      <c r="C491" s="51"/>
      <c r="D491" s="51" t="s">
        <v>4495</v>
      </c>
    </row>
    <row r="492" ht="14.25" customHeight="1">
      <c r="A492" s="49"/>
      <c r="B492" s="49"/>
      <c r="C492" s="51"/>
      <c r="D492" s="51" t="s">
        <v>4495</v>
      </c>
    </row>
    <row r="493" ht="14.25" customHeight="1">
      <c r="A493" s="49"/>
      <c r="B493" s="49"/>
      <c r="C493" s="51"/>
      <c r="D493" s="51" t="s">
        <v>4495</v>
      </c>
    </row>
    <row r="494" ht="14.25" customHeight="1">
      <c r="A494" s="49"/>
      <c r="B494" s="49"/>
      <c r="C494" s="51"/>
      <c r="D494" s="51" t="s">
        <v>4495</v>
      </c>
    </row>
    <row r="495" ht="14.25" customHeight="1">
      <c r="A495" s="49"/>
      <c r="B495" s="49"/>
      <c r="C495" s="51"/>
      <c r="D495" s="51" t="s">
        <v>4495</v>
      </c>
    </row>
    <row r="496" ht="14.25" customHeight="1">
      <c r="A496" s="49"/>
      <c r="B496" s="49"/>
      <c r="C496" s="51"/>
      <c r="D496" s="51" t="s">
        <v>4495</v>
      </c>
    </row>
    <row r="497" ht="14.25" customHeight="1">
      <c r="A497" s="49"/>
      <c r="B497" s="49"/>
      <c r="C497" s="51"/>
      <c r="D497" s="51" t="s">
        <v>4495</v>
      </c>
    </row>
    <row r="498" ht="14.25" customHeight="1">
      <c r="A498" s="49"/>
      <c r="B498" s="49"/>
      <c r="C498" s="51"/>
      <c r="D498" s="51" t="s">
        <v>4495</v>
      </c>
    </row>
    <row r="499" ht="14.25" customHeight="1">
      <c r="A499" s="49"/>
      <c r="B499" s="49"/>
      <c r="C499" s="51"/>
      <c r="D499" s="51" t="s">
        <v>4495</v>
      </c>
    </row>
    <row r="500" ht="14.25" customHeight="1">
      <c r="A500" s="49"/>
      <c r="B500" s="49"/>
      <c r="C500" s="51"/>
      <c r="D500" s="51" t="s">
        <v>4495</v>
      </c>
    </row>
    <row r="501" ht="14.25" customHeight="1">
      <c r="A501" s="49"/>
      <c r="B501" s="49"/>
      <c r="C501" s="51"/>
      <c r="D501" s="51" t="s">
        <v>4495</v>
      </c>
    </row>
    <row r="502" ht="14.25" customHeight="1">
      <c r="A502" s="49"/>
      <c r="B502" s="49"/>
      <c r="C502" s="51"/>
      <c r="D502" s="51" t="s">
        <v>4495</v>
      </c>
    </row>
    <row r="503" ht="14.25" customHeight="1">
      <c r="A503" s="49"/>
      <c r="B503" s="49"/>
      <c r="C503" s="51"/>
      <c r="D503" s="51" t="s">
        <v>4495</v>
      </c>
    </row>
    <row r="504" ht="14.25" customHeight="1">
      <c r="A504" s="49"/>
      <c r="B504" s="49"/>
      <c r="C504" s="51"/>
      <c r="D504" s="51" t="s">
        <v>4495</v>
      </c>
    </row>
    <row r="505" ht="14.25" customHeight="1">
      <c r="A505" s="49"/>
      <c r="B505" s="49"/>
      <c r="C505" s="51"/>
      <c r="D505" s="51" t="s">
        <v>4495</v>
      </c>
    </row>
    <row r="506" ht="14.25" customHeight="1">
      <c r="A506" s="49"/>
      <c r="B506" s="49"/>
      <c r="C506" s="51"/>
      <c r="D506" s="51" t="s">
        <v>4495</v>
      </c>
    </row>
    <row r="507" ht="14.25" customHeight="1">
      <c r="A507" s="49"/>
      <c r="B507" s="49"/>
      <c r="C507" s="51"/>
      <c r="D507" s="51" t="s">
        <v>4495</v>
      </c>
    </row>
    <row r="508" ht="14.25" customHeight="1">
      <c r="A508" s="49"/>
      <c r="B508" s="49"/>
      <c r="C508" s="51"/>
      <c r="D508" s="51" t="s">
        <v>4495</v>
      </c>
    </row>
    <row r="509" ht="14.25" customHeight="1">
      <c r="A509" s="49"/>
      <c r="B509" s="49"/>
      <c r="C509" s="51"/>
      <c r="D509" s="51" t="s">
        <v>4495</v>
      </c>
    </row>
    <row r="510" ht="14.25" customHeight="1">
      <c r="A510" s="49"/>
      <c r="B510" s="49"/>
      <c r="C510" s="51"/>
      <c r="D510" s="51" t="s">
        <v>4495</v>
      </c>
    </row>
    <row r="511" ht="14.25" customHeight="1">
      <c r="A511" s="49"/>
      <c r="B511" s="49"/>
      <c r="C511" s="51"/>
      <c r="D511" s="51" t="s">
        <v>4495</v>
      </c>
    </row>
    <row r="512" ht="14.25" customHeight="1">
      <c r="A512" s="49"/>
      <c r="B512" s="49"/>
      <c r="C512" s="51"/>
      <c r="D512" s="51" t="s">
        <v>4495</v>
      </c>
    </row>
    <row r="513" ht="14.25" customHeight="1">
      <c r="A513" s="49"/>
      <c r="B513" s="49"/>
      <c r="C513" s="51"/>
      <c r="D513" s="51" t="s">
        <v>4495</v>
      </c>
    </row>
    <row r="514" ht="14.25" customHeight="1">
      <c r="A514" s="49"/>
      <c r="B514" s="49"/>
      <c r="C514" s="51"/>
      <c r="D514" s="51" t="s">
        <v>4495</v>
      </c>
    </row>
    <row r="515" ht="14.25" customHeight="1">
      <c r="A515" s="49"/>
      <c r="B515" s="49"/>
      <c r="C515" s="51"/>
      <c r="D515" s="51" t="s">
        <v>4495</v>
      </c>
    </row>
    <row r="516" ht="14.25" customHeight="1">
      <c r="A516" s="49"/>
      <c r="B516" s="49"/>
      <c r="C516" s="51"/>
      <c r="D516" s="51" t="s">
        <v>4495</v>
      </c>
    </row>
    <row r="517" ht="14.25" customHeight="1">
      <c r="A517" s="49"/>
      <c r="B517" s="49"/>
      <c r="C517" s="51"/>
      <c r="D517" s="51" t="s">
        <v>4495</v>
      </c>
    </row>
    <row r="518" ht="14.25" customHeight="1">
      <c r="A518" s="49"/>
      <c r="B518" s="49"/>
      <c r="C518" s="51"/>
      <c r="D518" s="51" t="s">
        <v>4495</v>
      </c>
    </row>
    <row r="519" ht="14.25" customHeight="1">
      <c r="A519" s="49"/>
      <c r="B519" s="49"/>
      <c r="C519" s="51"/>
      <c r="D519" s="51" t="s">
        <v>4495</v>
      </c>
    </row>
    <row r="520" ht="14.25" customHeight="1">
      <c r="A520" s="49"/>
      <c r="B520" s="49"/>
      <c r="C520" s="51"/>
      <c r="D520" s="51" t="s">
        <v>4495</v>
      </c>
    </row>
    <row r="521" ht="14.25" customHeight="1">
      <c r="A521" s="49"/>
      <c r="B521" s="49"/>
      <c r="C521" s="51"/>
      <c r="D521" s="51" t="s">
        <v>4495</v>
      </c>
    </row>
    <row r="522" ht="14.25" customHeight="1">
      <c r="A522" s="49"/>
      <c r="B522" s="49"/>
      <c r="C522" s="51"/>
      <c r="D522" s="51" t="s">
        <v>4495</v>
      </c>
    </row>
    <row r="523" ht="14.25" customHeight="1">
      <c r="A523" s="49"/>
      <c r="B523" s="49"/>
      <c r="C523" s="51"/>
      <c r="D523" s="51" t="s">
        <v>4495</v>
      </c>
    </row>
    <row r="524" ht="14.25" customHeight="1">
      <c r="A524" s="49"/>
      <c r="B524" s="49"/>
      <c r="C524" s="51"/>
      <c r="D524" s="51" t="s">
        <v>4495</v>
      </c>
    </row>
    <row r="525" ht="14.25" customHeight="1">
      <c r="A525" s="49"/>
      <c r="B525" s="49"/>
      <c r="C525" s="51"/>
      <c r="D525" s="51" t="s">
        <v>4495</v>
      </c>
    </row>
    <row r="526" ht="14.25" customHeight="1">
      <c r="A526" s="49"/>
      <c r="B526" s="49"/>
      <c r="C526" s="51"/>
      <c r="D526" s="51" t="s">
        <v>4495</v>
      </c>
    </row>
    <row r="527" ht="14.25" customHeight="1">
      <c r="A527" s="49"/>
      <c r="B527" s="49"/>
      <c r="C527" s="51"/>
      <c r="D527" s="51" t="s">
        <v>4495</v>
      </c>
    </row>
    <row r="528" ht="14.25" customHeight="1">
      <c r="A528" s="49"/>
      <c r="B528" s="49"/>
      <c r="C528" s="51"/>
      <c r="D528" s="51" t="s">
        <v>4495</v>
      </c>
    </row>
    <row r="529" ht="14.25" customHeight="1">
      <c r="A529" s="49"/>
      <c r="B529" s="49"/>
      <c r="C529" s="51"/>
      <c r="D529" s="51" t="s">
        <v>4495</v>
      </c>
    </row>
    <row r="530" ht="14.25" customHeight="1">
      <c r="A530" s="49"/>
      <c r="B530" s="49"/>
      <c r="C530" s="51"/>
      <c r="D530" s="51" t="s">
        <v>4495</v>
      </c>
    </row>
    <row r="531" ht="14.25" customHeight="1">
      <c r="A531" s="49"/>
      <c r="B531" s="49"/>
      <c r="C531" s="51"/>
      <c r="D531" s="51" t="s">
        <v>4495</v>
      </c>
    </row>
    <row r="532" ht="14.25" customHeight="1">
      <c r="A532" s="49"/>
      <c r="B532" s="49"/>
      <c r="C532" s="51"/>
      <c r="D532" s="51" t="s">
        <v>4495</v>
      </c>
    </row>
    <row r="533" ht="14.25" customHeight="1">
      <c r="A533" s="49"/>
      <c r="B533" s="49"/>
      <c r="C533" s="51"/>
      <c r="D533" s="51" t="s">
        <v>4495</v>
      </c>
    </row>
    <row r="534" ht="14.25" customHeight="1">
      <c r="A534" s="49"/>
      <c r="B534" s="49"/>
      <c r="C534" s="51"/>
      <c r="D534" s="51" t="s">
        <v>4495</v>
      </c>
    </row>
    <row r="535" ht="14.25" customHeight="1">
      <c r="A535" s="49"/>
      <c r="B535" s="49"/>
      <c r="C535" s="51"/>
      <c r="D535" s="51" t="s">
        <v>4495</v>
      </c>
    </row>
    <row r="536" ht="14.25" customHeight="1">
      <c r="A536" s="49"/>
      <c r="B536" s="49"/>
      <c r="C536" s="51"/>
      <c r="D536" s="51" t="s">
        <v>4495</v>
      </c>
    </row>
    <row r="537" ht="14.25" customHeight="1">
      <c r="A537" s="49"/>
      <c r="B537" s="49"/>
      <c r="C537" s="51"/>
      <c r="D537" s="51" t="s">
        <v>4495</v>
      </c>
    </row>
    <row r="538" ht="14.25" customHeight="1">
      <c r="A538" s="49"/>
      <c r="B538" s="49"/>
      <c r="C538" s="51"/>
      <c r="D538" s="51" t="s">
        <v>4495</v>
      </c>
    </row>
    <row r="539" ht="14.25" customHeight="1">
      <c r="A539" s="49"/>
      <c r="B539" s="49"/>
      <c r="C539" s="51"/>
      <c r="D539" s="51" t="s">
        <v>4495</v>
      </c>
    </row>
    <row r="540" ht="14.25" customHeight="1">
      <c r="A540" s="49"/>
      <c r="B540" s="49"/>
      <c r="C540" s="51"/>
      <c r="D540" s="51" t="s">
        <v>4495</v>
      </c>
    </row>
    <row r="541" ht="14.25" customHeight="1">
      <c r="A541" s="49"/>
      <c r="B541" s="49"/>
      <c r="C541" s="51"/>
      <c r="D541" s="51" t="s">
        <v>4495</v>
      </c>
    </row>
    <row r="542" ht="14.25" customHeight="1">
      <c r="A542" s="49"/>
      <c r="B542" s="49"/>
      <c r="C542" s="51"/>
      <c r="D542" s="51" t="s">
        <v>4495</v>
      </c>
    </row>
    <row r="543" ht="14.25" customHeight="1">
      <c r="A543" s="49"/>
      <c r="B543" s="49"/>
      <c r="C543" s="51"/>
      <c r="D543" s="51" t="s">
        <v>4495</v>
      </c>
    </row>
    <row r="544" ht="14.25" customHeight="1">
      <c r="A544" s="49"/>
      <c r="B544" s="49"/>
      <c r="C544" s="51"/>
      <c r="D544" s="51" t="s">
        <v>4495</v>
      </c>
    </row>
    <row r="545" ht="14.25" customHeight="1">
      <c r="A545" s="49"/>
      <c r="B545" s="49"/>
      <c r="C545" s="51"/>
      <c r="D545" s="51" t="s">
        <v>4495</v>
      </c>
    </row>
    <row r="546" ht="14.25" customHeight="1">
      <c r="A546" s="49"/>
      <c r="B546" s="49"/>
      <c r="C546" s="51"/>
      <c r="D546" s="51" t="s">
        <v>4495</v>
      </c>
    </row>
    <row r="547" ht="14.25" customHeight="1">
      <c r="A547" s="49"/>
      <c r="B547" s="49"/>
      <c r="C547" s="51"/>
      <c r="D547" s="51" t="s">
        <v>4495</v>
      </c>
    </row>
    <row r="548" ht="14.25" customHeight="1">
      <c r="A548" s="49"/>
      <c r="B548" s="49"/>
      <c r="C548" s="51"/>
      <c r="D548" s="51" t="s">
        <v>4495</v>
      </c>
    </row>
    <row r="549" ht="14.25" customHeight="1">
      <c r="A549" s="49"/>
      <c r="B549" s="49"/>
      <c r="C549" s="51"/>
      <c r="D549" s="51" t="s">
        <v>4495</v>
      </c>
    </row>
    <row r="550" ht="14.25" customHeight="1">
      <c r="A550" s="49"/>
      <c r="B550" s="49"/>
      <c r="C550" s="51"/>
      <c r="D550" s="51" t="s">
        <v>4495</v>
      </c>
    </row>
    <row r="551" ht="14.25" customHeight="1">
      <c r="A551" s="49"/>
      <c r="B551" s="49"/>
      <c r="C551" s="51"/>
      <c r="D551" s="51" t="s">
        <v>4495</v>
      </c>
    </row>
    <row r="552" ht="14.25" customHeight="1">
      <c r="A552" s="49"/>
      <c r="B552" s="49"/>
      <c r="C552" s="51"/>
      <c r="D552" s="51" t="s">
        <v>4495</v>
      </c>
    </row>
    <row r="553" ht="14.25" customHeight="1">
      <c r="A553" s="49"/>
      <c r="B553" s="49"/>
      <c r="C553" s="51"/>
      <c r="D553" s="51" t="s">
        <v>4495</v>
      </c>
    </row>
    <row r="554" ht="14.25" customHeight="1">
      <c r="A554" s="49"/>
      <c r="B554" s="49"/>
      <c r="C554" s="51"/>
      <c r="D554" s="51" t="s">
        <v>4495</v>
      </c>
    </row>
    <row r="555" ht="14.25" customHeight="1">
      <c r="A555" s="49"/>
      <c r="B555" s="49"/>
      <c r="C555" s="51"/>
      <c r="D555" s="51" t="s">
        <v>4495</v>
      </c>
    </row>
    <row r="556" ht="14.25" customHeight="1">
      <c r="A556" s="49"/>
      <c r="B556" s="49"/>
      <c r="C556" s="51"/>
      <c r="D556" s="51" t="s">
        <v>4495</v>
      </c>
    </row>
    <row r="557" ht="14.25" customHeight="1">
      <c r="A557" s="49"/>
      <c r="B557" s="49"/>
      <c r="C557" s="51"/>
      <c r="D557" s="51" t="s">
        <v>4495</v>
      </c>
    </row>
    <row r="558" ht="14.25" customHeight="1">
      <c r="A558" s="49"/>
      <c r="B558" s="49"/>
      <c r="C558" s="51"/>
      <c r="D558" s="51" t="s">
        <v>4495</v>
      </c>
    </row>
    <row r="559" ht="14.25" customHeight="1">
      <c r="A559" s="49"/>
      <c r="B559" s="49"/>
      <c r="C559" s="51"/>
      <c r="D559" s="51" t="s">
        <v>4495</v>
      </c>
    </row>
    <row r="560" ht="14.25" customHeight="1">
      <c r="A560" s="49"/>
      <c r="B560" s="49"/>
      <c r="C560" s="51"/>
      <c r="D560" s="51" t="s">
        <v>4495</v>
      </c>
    </row>
    <row r="561" ht="14.25" customHeight="1">
      <c r="A561" s="49"/>
      <c r="B561" s="49"/>
      <c r="C561" s="51"/>
      <c r="D561" s="51" t="s">
        <v>4495</v>
      </c>
    </row>
    <row r="562" ht="14.25" customHeight="1">
      <c r="A562" s="49"/>
      <c r="B562" s="49"/>
      <c r="C562" s="51"/>
      <c r="D562" s="51" t="s">
        <v>4495</v>
      </c>
    </row>
    <row r="563" ht="14.25" customHeight="1">
      <c r="A563" s="49"/>
      <c r="B563" s="49"/>
      <c r="C563" s="51"/>
      <c r="D563" s="51" t="s">
        <v>4495</v>
      </c>
    </row>
    <row r="564" ht="14.25" customHeight="1">
      <c r="A564" s="49"/>
      <c r="B564" s="49"/>
      <c r="C564" s="51"/>
      <c r="D564" s="51" t="s">
        <v>4495</v>
      </c>
    </row>
    <row r="565" ht="14.25" customHeight="1">
      <c r="A565" s="49"/>
      <c r="B565" s="49"/>
      <c r="C565" s="51"/>
      <c r="D565" s="51" t="s">
        <v>4495</v>
      </c>
    </row>
    <row r="566" ht="14.25" customHeight="1">
      <c r="A566" s="49"/>
      <c r="B566" s="49"/>
      <c r="C566" s="51"/>
      <c r="D566" s="51" t="s">
        <v>4495</v>
      </c>
    </row>
    <row r="567" ht="14.25" customHeight="1">
      <c r="A567" s="49"/>
      <c r="B567" s="49"/>
      <c r="C567" s="51"/>
      <c r="D567" s="51" t="s">
        <v>4495</v>
      </c>
    </row>
    <row r="568" ht="14.25" customHeight="1">
      <c r="A568" s="49"/>
      <c r="B568" s="49"/>
      <c r="C568" s="51"/>
      <c r="D568" s="51" t="s">
        <v>4495</v>
      </c>
    </row>
    <row r="569" ht="14.25" customHeight="1">
      <c r="A569" s="49"/>
      <c r="B569" s="49"/>
      <c r="C569" s="51"/>
      <c r="D569" s="51" t="s">
        <v>4495</v>
      </c>
    </row>
    <row r="570" ht="14.25" customHeight="1">
      <c r="A570" s="49"/>
      <c r="B570" s="49"/>
      <c r="C570" s="51"/>
      <c r="D570" s="51" t="s">
        <v>4495</v>
      </c>
    </row>
    <row r="571" ht="14.25" customHeight="1">
      <c r="A571" s="49"/>
      <c r="B571" s="49"/>
      <c r="C571" s="51"/>
      <c r="D571" s="51" t="s">
        <v>4495</v>
      </c>
    </row>
    <row r="572" ht="14.25" customHeight="1">
      <c r="A572" s="49"/>
      <c r="B572" s="49"/>
      <c r="C572" s="51"/>
      <c r="D572" s="51" t="s">
        <v>4495</v>
      </c>
    </row>
    <row r="573" ht="14.25" customHeight="1">
      <c r="A573" s="49"/>
      <c r="B573" s="49"/>
      <c r="C573" s="51"/>
      <c r="D573" s="51" t="s">
        <v>4495</v>
      </c>
    </row>
    <row r="574" ht="14.25" customHeight="1">
      <c r="A574" s="49"/>
      <c r="B574" s="49"/>
      <c r="C574" s="51"/>
      <c r="D574" s="51" t="s">
        <v>4495</v>
      </c>
    </row>
    <row r="575" ht="14.25" customHeight="1">
      <c r="A575" s="49"/>
      <c r="B575" s="49"/>
      <c r="C575" s="51"/>
      <c r="D575" s="51" t="s">
        <v>4495</v>
      </c>
    </row>
    <row r="576" ht="14.25" customHeight="1">
      <c r="A576" s="49"/>
      <c r="B576" s="49"/>
      <c r="C576" s="51"/>
      <c r="D576" s="51" t="s">
        <v>4495</v>
      </c>
    </row>
    <row r="577" ht="14.25" customHeight="1">
      <c r="A577" s="49"/>
      <c r="B577" s="49"/>
      <c r="C577" s="51"/>
      <c r="D577" s="51" t="s">
        <v>4495</v>
      </c>
    </row>
    <row r="578" ht="14.25" customHeight="1">
      <c r="A578" s="49"/>
      <c r="B578" s="49"/>
      <c r="C578" s="51"/>
      <c r="D578" s="51" t="s">
        <v>4495</v>
      </c>
    </row>
    <row r="579" ht="14.25" customHeight="1">
      <c r="A579" s="49"/>
      <c r="B579" s="49"/>
      <c r="C579" s="51"/>
      <c r="D579" s="51" t="s">
        <v>4495</v>
      </c>
    </row>
    <row r="580" ht="14.25" customHeight="1">
      <c r="A580" s="49"/>
      <c r="B580" s="49"/>
      <c r="C580" s="51"/>
      <c r="D580" s="51" t="s">
        <v>4495</v>
      </c>
    </row>
    <row r="581" ht="14.25" customHeight="1">
      <c r="A581" s="49"/>
      <c r="B581" s="49"/>
      <c r="C581" s="51"/>
      <c r="D581" s="51" t="s">
        <v>4495</v>
      </c>
    </row>
    <row r="582" ht="14.25" customHeight="1">
      <c r="A582" s="49"/>
      <c r="B582" s="49"/>
      <c r="C582" s="51"/>
      <c r="D582" s="51" t="s">
        <v>4495</v>
      </c>
    </row>
    <row r="583" ht="14.25" customHeight="1">
      <c r="A583" s="49"/>
      <c r="B583" s="49"/>
      <c r="C583" s="51"/>
      <c r="D583" s="51" t="s">
        <v>4495</v>
      </c>
    </row>
    <row r="584" ht="14.25" customHeight="1">
      <c r="A584" s="49"/>
      <c r="B584" s="49"/>
      <c r="C584" s="51"/>
      <c r="D584" s="51" t="s">
        <v>4495</v>
      </c>
    </row>
    <row r="585" ht="14.25" customHeight="1">
      <c r="A585" s="49"/>
      <c r="B585" s="49"/>
      <c r="C585" s="51"/>
      <c r="D585" s="51" t="s">
        <v>4495</v>
      </c>
    </row>
    <row r="586" ht="14.25" customHeight="1">
      <c r="A586" s="49"/>
      <c r="B586" s="49"/>
      <c r="C586" s="51"/>
      <c r="D586" s="51" t="s">
        <v>4495</v>
      </c>
    </row>
    <row r="587" ht="14.25" customHeight="1">
      <c r="A587" s="49"/>
      <c r="B587" s="49"/>
      <c r="C587" s="51"/>
      <c r="D587" s="51" t="s">
        <v>4495</v>
      </c>
    </row>
    <row r="588" ht="14.25" customHeight="1">
      <c r="A588" s="49"/>
      <c r="B588" s="49"/>
      <c r="C588" s="51"/>
      <c r="D588" s="51" t="s">
        <v>4495</v>
      </c>
    </row>
    <row r="589" ht="14.25" customHeight="1">
      <c r="A589" s="49"/>
      <c r="B589" s="49"/>
      <c r="C589" s="51"/>
      <c r="D589" s="51" t="s">
        <v>4495</v>
      </c>
    </row>
    <row r="590" ht="14.25" customHeight="1">
      <c r="A590" s="49"/>
      <c r="B590" s="49"/>
      <c r="C590" s="51"/>
      <c r="D590" s="51" t="s">
        <v>4495</v>
      </c>
    </row>
    <row r="591" ht="14.25" customHeight="1">
      <c r="A591" s="49"/>
      <c r="B591" s="49"/>
      <c r="C591" s="51"/>
      <c r="D591" s="51" t="s">
        <v>4495</v>
      </c>
    </row>
    <row r="592" ht="14.25" customHeight="1">
      <c r="A592" s="49"/>
      <c r="B592" s="49"/>
      <c r="C592" s="51"/>
      <c r="D592" s="51" t="s">
        <v>4495</v>
      </c>
    </row>
    <row r="593" ht="14.25" customHeight="1">
      <c r="A593" s="49"/>
      <c r="B593" s="49"/>
      <c r="C593" s="51"/>
      <c r="D593" s="51" t="s">
        <v>4495</v>
      </c>
    </row>
    <row r="594" ht="14.25" customHeight="1">
      <c r="A594" s="49"/>
      <c r="B594" s="49"/>
      <c r="C594" s="51"/>
      <c r="D594" s="51" t="s">
        <v>4495</v>
      </c>
    </row>
    <row r="595" ht="14.25" customHeight="1">
      <c r="A595" s="49"/>
      <c r="B595" s="49"/>
      <c r="C595" s="51"/>
      <c r="D595" s="51" t="s">
        <v>4495</v>
      </c>
    </row>
    <row r="596" ht="14.25" customHeight="1">
      <c r="A596" s="49"/>
      <c r="B596" s="49"/>
      <c r="C596" s="51"/>
      <c r="D596" s="51" t="s">
        <v>4495</v>
      </c>
    </row>
    <row r="597" ht="14.25" customHeight="1">
      <c r="A597" s="49"/>
      <c r="B597" s="49"/>
      <c r="C597" s="51"/>
      <c r="D597" s="51" t="s">
        <v>4495</v>
      </c>
    </row>
    <row r="598" ht="14.25" customHeight="1">
      <c r="A598" s="49"/>
      <c r="B598" s="49"/>
      <c r="C598" s="51"/>
      <c r="D598" s="51" t="s">
        <v>4495</v>
      </c>
    </row>
    <row r="599" ht="14.25" customHeight="1">
      <c r="A599" s="49"/>
      <c r="B599" s="49"/>
      <c r="C599" s="51"/>
      <c r="D599" s="51" t="s">
        <v>4495</v>
      </c>
    </row>
    <row r="600" ht="14.25" customHeight="1">
      <c r="A600" s="49"/>
      <c r="B600" s="49"/>
      <c r="C600" s="51"/>
      <c r="D600" s="51" t="s">
        <v>4495</v>
      </c>
    </row>
    <row r="601" ht="14.25" customHeight="1">
      <c r="A601" s="49"/>
      <c r="B601" s="49"/>
      <c r="C601" s="51"/>
      <c r="D601" s="51" t="s">
        <v>4495</v>
      </c>
    </row>
    <row r="602" ht="14.25" customHeight="1">
      <c r="A602" s="49"/>
      <c r="B602" s="49"/>
      <c r="C602" s="51"/>
      <c r="D602" s="51" t="s">
        <v>4495</v>
      </c>
    </row>
    <row r="603" ht="14.25" customHeight="1">
      <c r="A603" s="49"/>
      <c r="B603" s="49"/>
      <c r="C603" s="51"/>
      <c r="D603" s="51" t="s">
        <v>4495</v>
      </c>
    </row>
    <row r="604" ht="14.25" customHeight="1">
      <c r="A604" s="49"/>
      <c r="B604" s="49"/>
      <c r="C604" s="51"/>
      <c r="D604" s="51" t="s">
        <v>4495</v>
      </c>
    </row>
    <row r="605" ht="14.25" customHeight="1">
      <c r="A605" s="49"/>
      <c r="B605" s="49"/>
      <c r="C605" s="51"/>
      <c r="D605" s="51" t="s">
        <v>4495</v>
      </c>
    </row>
    <row r="606" ht="14.25" customHeight="1">
      <c r="A606" s="49"/>
      <c r="B606" s="49"/>
      <c r="C606" s="51"/>
      <c r="D606" s="51" t="s">
        <v>4495</v>
      </c>
    </row>
    <row r="607" ht="14.25" customHeight="1">
      <c r="A607" s="49"/>
      <c r="B607" s="49"/>
      <c r="C607" s="51"/>
      <c r="D607" s="51" t="s">
        <v>4495</v>
      </c>
    </row>
    <row r="608" ht="14.25" customHeight="1">
      <c r="A608" s="49"/>
      <c r="B608" s="49"/>
      <c r="C608" s="51"/>
      <c r="D608" s="51" t="s">
        <v>4495</v>
      </c>
    </row>
    <row r="609" ht="14.25" customHeight="1">
      <c r="A609" s="49"/>
      <c r="B609" s="49"/>
      <c r="C609" s="51"/>
      <c r="D609" s="51" t="s">
        <v>4495</v>
      </c>
    </row>
    <row r="610" ht="14.25" customHeight="1">
      <c r="A610" s="49"/>
      <c r="B610" s="49"/>
      <c r="C610" s="51"/>
      <c r="D610" s="51" t="s">
        <v>4495</v>
      </c>
    </row>
    <row r="611" ht="14.25" customHeight="1">
      <c r="A611" s="49"/>
      <c r="B611" s="49"/>
      <c r="C611" s="51"/>
      <c r="D611" s="51" t="s">
        <v>4495</v>
      </c>
    </row>
    <row r="612" ht="14.25" customHeight="1">
      <c r="A612" s="49"/>
      <c r="B612" s="49"/>
      <c r="C612" s="51"/>
      <c r="D612" s="51" t="s">
        <v>4495</v>
      </c>
    </row>
    <row r="613" ht="14.25" customHeight="1">
      <c r="A613" s="49"/>
      <c r="B613" s="49"/>
      <c r="C613" s="51"/>
      <c r="D613" s="51" t="s">
        <v>4495</v>
      </c>
    </row>
    <row r="614" ht="14.25" customHeight="1">
      <c r="A614" s="49"/>
      <c r="B614" s="49"/>
      <c r="C614" s="51"/>
      <c r="D614" s="51" t="s">
        <v>4495</v>
      </c>
    </row>
    <row r="615" ht="14.25" customHeight="1">
      <c r="A615" s="49"/>
      <c r="B615" s="49"/>
      <c r="C615" s="51"/>
      <c r="D615" s="51" t="s">
        <v>4495</v>
      </c>
    </row>
    <row r="616" ht="14.25" customHeight="1">
      <c r="A616" s="49"/>
      <c r="B616" s="49"/>
      <c r="C616" s="51"/>
      <c r="D616" s="51" t="s">
        <v>4495</v>
      </c>
    </row>
    <row r="617" ht="14.25" customHeight="1">
      <c r="A617" s="49"/>
      <c r="B617" s="49"/>
      <c r="C617" s="51"/>
      <c r="D617" s="51" t="s">
        <v>4495</v>
      </c>
    </row>
    <row r="618" ht="14.25" customHeight="1">
      <c r="A618" s="49"/>
      <c r="B618" s="49"/>
      <c r="C618" s="51"/>
      <c r="D618" s="51" t="s">
        <v>4495</v>
      </c>
    </row>
    <row r="619" ht="14.25" customHeight="1">
      <c r="A619" s="49"/>
      <c r="B619" s="49"/>
      <c r="C619" s="51"/>
      <c r="D619" s="51" t="s">
        <v>4495</v>
      </c>
    </row>
    <row r="620" ht="14.25" customHeight="1">
      <c r="A620" s="49"/>
      <c r="B620" s="49"/>
      <c r="C620" s="51"/>
      <c r="D620" s="51" t="s">
        <v>4495</v>
      </c>
    </row>
    <row r="621" ht="14.25" customHeight="1">
      <c r="A621" s="49"/>
      <c r="B621" s="49"/>
      <c r="C621" s="51"/>
      <c r="D621" s="51" t="s">
        <v>4495</v>
      </c>
    </row>
    <row r="622" ht="14.25" customHeight="1">
      <c r="A622" s="49"/>
      <c r="B622" s="49"/>
      <c r="C622" s="51"/>
      <c r="D622" s="51" t="s">
        <v>4495</v>
      </c>
    </row>
    <row r="623" ht="14.25" customHeight="1">
      <c r="A623" s="49"/>
      <c r="B623" s="49"/>
      <c r="C623" s="51"/>
      <c r="D623" s="51" t="s">
        <v>4495</v>
      </c>
    </row>
    <row r="624" ht="14.25" customHeight="1">
      <c r="A624" s="49"/>
      <c r="B624" s="49"/>
      <c r="C624" s="51"/>
      <c r="D624" s="51" t="s">
        <v>4495</v>
      </c>
    </row>
    <row r="625" ht="14.25" customHeight="1">
      <c r="A625" s="49"/>
      <c r="B625" s="49"/>
      <c r="C625" s="51"/>
      <c r="D625" s="51" t="s">
        <v>4495</v>
      </c>
    </row>
    <row r="626" ht="14.25" customHeight="1">
      <c r="A626" s="49"/>
      <c r="B626" s="49"/>
      <c r="C626" s="51"/>
      <c r="D626" s="51" t="s">
        <v>4495</v>
      </c>
    </row>
    <row r="627" ht="14.25" customHeight="1">
      <c r="A627" s="49"/>
      <c r="B627" s="49"/>
      <c r="C627" s="51"/>
      <c r="D627" s="51" t="s">
        <v>4495</v>
      </c>
    </row>
    <row r="628" ht="14.25" customHeight="1">
      <c r="A628" s="49"/>
      <c r="B628" s="49"/>
      <c r="C628" s="51"/>
      <c r="D628" s="51" t="s">
        <v>4495</v>
      </c>
    </row>
    <row r="629" ht="14.25" customHeight="1">
      <c r="A629" s="49"/>
      <c r="B629" s="49"/>
      <c r="C629" s="51"/>
      <c r="D629" s="51" t="s">
        <v>4495</v>
      </c>
    </row>
    <row r="630" ht="14.25" customHeight="1">
      <c r="A630" s="49"/>
      <c r="B630" s="49"/>
      <c r="C630" s="51"/>
      <c r="D630" s="51" t="s">
        <v>4495</v>
      </c>
    </row>
    <row r="631" ht="14.25" customHeight="1">
      <c r="A631" s="49"/>
      <c r="B631" s="49"/>
      <c r="C631" s="51"/>
      <c r="D631" s="51" t="s">
        <v>4495</v>
      </c>
    </row>
    <row r="632" ht="14.25" customHeight="1">
      <c r="A632" s="49"/>
      <c r="B632" s="49"/>
      <c r="C632" s="51"/>
      <c r="D632" s="51" t="s">
        <v>4495</v>
      </c>
    </row>
    <row r="633" ht="14.25" customHeight="1">
      <c r="A633" s="49"/>
      <c r="B633" s="49"/>
      <c r="C633" s="51"/>
      <c r="D633" s="51" t="s">
        <v>4495</v>
      </c>
    </row>
    <row r="634" ht="14.25" customHeight="1">
      <c r="A634" s="49"/>
      <c r="B634" s="49"/>
      <c r="C634" s="51"/>
      <c r="D634" s="51" t="s">
        <v>4495</v>
      </c>
    </row>
    <row r="635" ht="14.25" customHeight="1">
      <c r="A635" s="49"/>
      <c r="B635" s="49"/>
      <c r="C635" s="51"/>
      <c r="D635" s="51" t="s">
        <v>4495</v>
      </c>
    </row>
    <row r="636" ht="14.25" customHeight="1">
      <c r="A636" s="49"/>
      <c r="B636" s="49"/>
      <c r="C636" s="51"/>
      <c r="D636" s="51" t="s">
        <v>4495</v>
      </c>
    </row>
    <row r="637" ht="14.25" customHeight="1">
      <c r="A637" s="49"/>
      <c r="B637" s="49"/>
      <c r="C637" s="51"/>
      <c r="D637" s="51" t="s">
        <v>4495</v>
      </c>
    </row>
    <row r="638" ht="14.25" customHeight="1">
      <c r="A638" s="49"/>
      <c r="B638" s="49"/>
      <c r="C638" s="51"/>
      <c r="D638" s="51" t="s">
        <v>4495</v>
      </c>
    </row>
    <row r="639" ht="14.25" customHeight="1">
      <c r="A639" s="49"/>
      <c r="B639" s="49"/>
      <c r="C639" s="51"/>
      <c r="D639" s="51" t="s">
        <v>4495</v>
      </c>
    </row>
    <row r="640" ht="14.25" customHeight="1">
      <c r="A640" s="49"/>
      <c r="B640" s="49"/>
      <c r="C640" s="51"/>
      <c r="D640" s="51" t="s">
        <v>4495</v>
      </c>
    </row>
    <row r="641" ht="14.25" customHeight="1">
      <c r="A641" s="49"/>
      <c r="B641" s="49"/>
      <c r="C641" s="51"/>
      <c r="D641" s="51" t="s">
        <v>4495</v>
      </c>
    </row>
    <row r="642" ht="14.25" customHeight="1">
      <c r="A642" s="49"/>
      <c r="B642" s="49"/>
      <c r="C642" s="51"/>
      <c r="D642" s="51" t="s">
        <v>4495</v>
      </c>
    </row>
    <row r="643" ht="14.25" customHeight="1">
      <c r="A643" s="49"/>
      <c r="B643" s="49"/>
      <c r="C643" s="51"/>
      <c r="D643" s="51" t="s">
        <v>4495</v>
      </c>
    </row>
    <row r="644" ht="14.25" customHeight="1">
      <c r="A644" s="49"/>
      <c r="B644" s="49"/>
      <c r="C644" s="51"/>
      <c r="D644" s="51" t="s">
        <v>4495</v>
      </c>
    </row>
    <row r="645" ht="14.25" customHeight="1">
      <c r="A645" s="49"/>
      <c r="B645" s="49"/>
      <c r="C645" s="51"/>
      <c r="D645" s="51" t="s">
        <v>4495</v>
      </c>
    </row>
    <row r="646" ht="14.25" customHeight="1">
      <c r="A646" s="49"/>
      <c r="B646" s="49"/>
      <c r="C646" s="51"/>
      <c r="D646" s="51" t="s">
        <v>4495</v>
      </c>
    </row>
    <row r="647" ht="14.25" customHeight="1">
      <c r="A647" s="49"/>
      <c r="B647" s="49"/>
      <c r="C647" s="51"/>
      <c r="D647" s="51" t="s">
        <v>4495</v>
      </c>
    </row>
    <row r="648" ht="14.25" customHeight="1">
      <c r="A648" s="49"/>
      <c r="B648" s="49"/>
      <c r="C648" s="51"/>
      <c r="D648" s="51" t="s">
        <v>4495</v>
      </c>
    </row>
    <row r="649" ht="14.25" customHeight="1">
      <c r="A649" s="49"/>
      <c r="B649" s="49"/>
      <c r="C649" s="51"/>
      <c r="D649" s="51" t="s">
        <v>4495</v>
      </c>
    </row>
    <row r="650" ht="14.25" customHeight="1">
      <c r="A650" s="49"/>
      <c r="B650" s="49"/>
      <c r="C650" s="51"/>
      <c r="D650" s="51" t="s">
        <v>4495</v>
      </c>
    </row>
    <row r="651" ht="14.25" customHeight="1">
      <c r="A651" s="49"/>
      <c r="B651" s="49"/>
      <c r="C651" s="51"/>
      <c r="D651" s="51" t="s">
        <v>4495</v>
      </c>
    </row>
    <row r="652" ht="14.25" customHeight="1">
      <c r="A652" s="49"/>
      <c r="B652" s="49"/>
      <c r="C652" s="51"/>
      <c r="D652" s="51" t="s">
        <v>4495</v>
      </c>
    </row>
    <row r="653" ht="14.25" customHeight="1">
      <c r="A653" s="49"/>
      <c r="B653" s="49"/>
      <c r="C653" s="51"/>
      <c r="D653" s="51" t="s">
        <v>4495</v>
      </c>
    </row>
    <row r="654" ht="14.25" customHeight="1">
      <c r="A654" s="49"/>
      <c r="B654" s="49"/>
      <c r="C654" s="51"/>
      <c r="D654" s="51" t="s">
        <v>4495</v>
      </c>
    </row>
    <row r="655" ht="14.25" customHeight="1">
      <c r="A655" s="49"/>
      <c r="B655" s="49"/>
      <c r="C655" s="51"/>
      <c r="D655" s="51" t="s">
        <v>4495</v>
      </c>
    </row>
    <row r="656" ht="14.25" customHeight="1">
      <c r="A656" s="49"/>
      <c r="B656" s="49"/>
      <c r="C656" s="51"/>
      <c r="D656" s="51" t="s">
        <v>4495</v>
      </c>
    </row>
    <row r="657" ht="14.25" customHeight="1">
      <c r="A657" s="49"/>
      <c r="B657" s="49"/>
      <c r="C657" s="51"/>
      <c r="D657" s="51" t="s">
        <v>4495</v>
      </c>
    </row>
    <row r="658" ht="14.25" customHeight="1">
      <c r="A658" s="49"/>
      <c r="B658" s="49"/>
      <c r="C658" s="51"/>
      <c r="D658" s="51" t="s">
        <v>4495</v>
      </c>
    </row>
    <row r="659" ht="14.25" customHeight="1">
      <c r="A659" s="49"/>
      <c r="B659" s="49"/>
      <c r="C659" s="51"/>
      <c r="D659" s="51" t="s">
        <v>4495</v>
      </c>
    </row>
    <row r="660" ht="14.25" customHeight="1">
      <c r="A660" s="49"/>
      <c r="B660" s="49"/>
      <c r="C660" s="51"/>
      <c r="D660" s="51" t="s">
        <v>4495</v>
      </c>
    </row>
    <row r="661" ht="14.25" customHeight="1">
      <c r="A661" s="49"/>
      <c r="B661" s="49"/>
      <c r="C661" s="51"/>
      <c r="D661" s="51" t="s">
        <v>4495</v>
      </c>
    </row>
    <row r="662" ht="14.25" customHeight="1">
      <c r="A662" s="49"/>
      <c r="B662" s="49"/>
      <c r="C662" s="51"/>
      <c r="D662" s="51" t="s">
        <v>4495</v>
      </c>
    </row>
    <row r="663" ht="14.25" customHeight="1">
      <c r="A663" s="49"/>
      <c r="B663" s="49"/>
      <c r="C663" s="51"/>
      <c r="D663" s="51" t="s">
        <v>4495</v>
      </c>
    </row>
    <row r="664" ht="14.25" customHeight="1">
      <c r="A664" s="49"/>
      <c r="B664" s="49"/>
      <c r="C664" s="51"/>
      <c r="D664" s="51" t="s">
        <v>4495</v>
      </c>
    </row>
    <row r="665" ht="14.25" customHeight="1">
      <c r="A665" s="49"/>
      <c r="B665" s="49"/>
      <c r="C665" s="51"/>
      <c r="D665" s="51" t="s">
        <v>4495</v>
      </c>
    </row>
    <row r="666" ht="14.25" customHeight="1">
      <c r="A666" s="49"/>
      <c r="B666" s="49"/>
      <c r="C666" s="51"/>
      <c r="D666" s="51" t="s">
        <v>4495</v>
      </c>
    </row>
    <row r="667" ht="14.25" customHeight="1">
      <c r="A667" s="49"/>
      <c r="B667" s="49"/>
      <c r="C667" s="51"/>
      <c r="D667" s="51" t="s">
        <v>4495</v>
      </c>
    </row>
    <row r="668" ht="14.25" customHeight="1">
      <c r="A668" s="49"/>
      <c r="B668" s="49"/>
      <c r="C668" s="51"/>
      <c r="D668" s="51" t="s">
        <v>4495</v>
      </c>
    </row>
    <row r="669" ht="14.25" customHeight="1">
      <c r="A669" s="49"/>
      <c r="B669" s="49"/>
      <c r="C669" s="51"/>
      <c r="D669" s="51" t="s">
        <v>4495</v>
      </c>
    </row>
    <row r="670" ht="14.25" customHeight="1">
      <c r="A670" s="49"/>
      <c r="B670" s="49"/>
      <c r="C670" s="51"/>
      <c r="D670" s="51" t="s">
        <v>4495</v>
      </c>
    </row>
    <row r="671" ht="14.25" customHeight="1">
      <c r="A671" s="49"/>
      <c r="B671" s="49"/>
      <c r="C671" s="51"/>
      <c r="D671" s="51" t="s">
        <v>4495</v>
      </c>
    </row>
    <row r="672" ht="14.25" customHeight="1">
      <c r="A672" s="49"/>
      <c r="B672" s="49"/>
      <c r="C672" s="51"/>
      <c r="D672" s="51" t="s">
        <v>4495</v>
      </c>
    </row>
    <row r="673" ht="14.25" customHeight="1">
      <c r="A673" s="49"/>
      <c r="B673" s="49"/>
      <c r="C673" s="51"/>
      <c r="D673" s="51" t="s">
        <v>4495</v>
      </c>
    </row>
    <row r="674" ht="14.25" customHeight="1">
      <c r="A674" s="49"/>
      <c r="B674" s="49"/>
      <c r="C674" s="51"/>
      <c r="D674" s="51" t="s">
        <v>4495</v>
      </c>
    </row>
    <row r="675" ht="14.25" customHeight="1">
      <c r="A675" s="49"/>
      <c r="B675" s="49"/>
      <c r="C675" s="51"/>
      <c r="D675" s="51" t="s">
        <v>4495</v>
      </c>
    </row>
    <row r="676" ht="14.25" customHeight="1">
      <c r="A676" s="49"/>
      <c r="B676" s="49"/>
      <c r="C676" s="51"/>
      <c r="D676" s="51" t="s">
        <v>4495</v>
      </c>
    </row>
    <row r="677" ht="14.25" customHeight="1">
      <c r="A677" s="49"/>
      <c r="B677" s="49"/>
      <c r="C677" s="51"/>
      <c r="D677" s="51" t="s">
        <v>4495</v>
      </c>
    </row>
    <row r="678" ht="14.25" customHeight="1">
      <c r="A678" s="49"/>
      <c r="B678" s="49"/>
      <c r="C678" s="51"/>
      <c r="D678" s="51" t="s">
        <v>4495</v>
      </c>
    </row>
    <row r="679" ht="14.25" customHeight="1">
      <c r="A679" s="49"/>
      <c r="B679" s="49"/>
      <c r="C679" s="51"/>
      <c r="D679" s="51" t="s">
        <v>4495</v>
      </c>
    </row>
    <row r="680" ht="14.25" customHeight="1">
      <c r="A680" s="49"/>
      <c r="B680" s="49"/>
      <c r="C680" s="51"/>
      <c r="D680" s="51" t="s">
        <v>4495</v>
      </c>
    </row>
    <row r="681" ht="14.25" customHeight="1">
      <c r="A681" s="49"/>
      <c r="B681" s="49"/>
      <c r="C681" s="51"/>
      <c r="D681" s="51" t="s">
        <v>4495</v>
      </c>
    </row>
    <row r="682" ht="14.25" customHeight="1">
      <c r="A682" s="49"/>
      <c r="B682" s="49"/>
      <c r="C682" s="51"/>
      <c r="D682" s="51" t="s">
        <v>4495</v>
      </c>
    </row>
    <row r="683" ht="14.25" customHeight="1">
      <c r="A683" s="49"/>
      <c r="B683" s="49"/>
      <c r="C683" s="51"/>
      <c r="D683" s="51" t="s">
        <v>4495</v>
      </c>
    </row>
    <row r="684" ht="14.25" customHeight="1">
      <c r="A684" s="49"/>
      <c r="B684" s="49"/>
      <c r="C684" s="51"/>
      <c r="D684" s="51" t="s">
        <v>4495</v>
      </c>
    </row>
    <row r="685" ht="14.25" customHeight="1">
      <c r="A685" s="49"/>
      <c r="B685" s="49"/>
      <c r="C685" s="51"/>
      <c r="D685" s="51" t="s">
        <v>4495</v>
      </c>
    </row>
    <row r="686" ht="14.25" customHeight="1">
      <c r="A686" s="49"/>
      <c r="B686" s="49"/>
      <c r="C686" s="51"/>
      <c r="D686" s="51" t="s">
        <v>4495</v>
      </c>
    </row>
    <row r="687" ht="14.25" customHeight="1">
      <c r="A687" s="49"/>
      <c r="B687" s="49"/>
      <c r="C687" s="51"/>
      <c r="D687" s="51" t="s">
        <v>4495</v>
      </c>
    </row>
    <row r="688" ht="14.25" customHeight="1">
      <c r="A688" s="49"/>
      <c r="B688" s="49"/>
      <c r="C688" s="51"/>
      <c r="D688" s="51" t="s">
        <v>4495</v>
      </c>
    </row>
    <row r="689" ht="14.25" customHeight="1">
      <c r="A689" s="49"/>
      <c r="B689" s="49"/>
      <c r="C689" s="51"/>
      <c r="D689" s="51" t="s">
        <v>4495</v>
      </c>
    </row>
    <row r="690" ht="14.25" customHeight="1">
      <c r="A690" s="49"/>
      <c r="B690" s="49"/>
      <c r="C690" s="51"/>
      <c r="D690" s="51" t="s">
        <v>4495</v>
      </c>
    </row>
    <row r="691" ht="14.25" customHeight="1">
      <c r="A691" s="49"/>
      <c r="B691" s="49"/>
      <c r="C691" s="51"/>
      <c r="D691" s="51" t="s">
        <v>4495</v>
      </c>
    </row>
    <row r="692" ht="14.25" customHeight="1">
      <c r="A692" s="49"/>
      <c r="B692" s="49"/>
      <c r="C692" s="51"/>
      <c r="D692" s="51" t="s">
        <v>4495</v>
      </c>
    </row>
    <row r="693" ht="14.25" customHeight="1">
      <c r="A693" s="49"/>
      <c r="B693" s="49"/>
      <c r="C693" s="51"/>
      <c r="D693" s="51" t="s">
        <v>4495</v>
      </c>
    </row>
    <row r="694" ht="14.25" customHeight="1">
      <c r="A694" s="49"/>
      <c r="B694" s="49"/>
      <c r="C694" s="51"/>
      <c r="D694" s="51" t="s">
        <v>4495</v>
      </c>
    </row>
    <row r="695" ht="14.25" customHeight="1">
      <c r="A695" s="49"/>
      <c r="B695" s="49"/>
      <c r="C695" s="51"/>
      <c r="D695" s="51" t="s">
        <v>4495</v>
      </c>
    </row>
    <row r="696" ht="14.25" customHeight="1">
      <c r="A696" s="49"/>
      <c r="B696" s="49"/>
      <c r="C696" s="51"/>
      <c r="D696" s="51" t="s">
        <v>4495</v>
      </c>
    </row>
    <row r="697" ht="14.25" customHeight="1">
      <c r="A697" s="49"/>
      <c r="B697" s="49"/>
      <c r="C697" s="51"/>
      <c r="D697" s="51" t="s">
        <v>4495</v>
      </c>
    </row>
    <row r="698" ht="14.25" customHeight="1">
      <c r="A698" s="49"/>
      <c r="B698" s="49"/>
      <c r="C698" s="51"/>
      <c r="D698" s="51" t="s">
        <v>4495</v>
      </c>
    </row>
    <row r="699" ht="14.25" customHeight="1">
      <c r="A699" s="49"/>
      <c r="B699" s="49"/>
      <c r="C699" s="51"/>
      <c r="D699" s="51" t="s">
        <v>4495</v>
      </c>
    </row>
    <row r="700" ht="14.25" customHeight="1">
      <c r="A700" s="49"/>
      <c r="B700" s="49"/>
      <c r="C700" s="51"/>
      <c r="D700" s="51" t="s">
        <v>4495</v>
      </c>
    </row>
    <row r="701" ht="14.25" customHeight="1">
      <c r="A701" s="49"/>
      <c r="B701" s="49"/>
      <c r="C701" s="51"/>
      <c r="D701" s="51" t="s">
        <v>4495</v>
      </c>
    </row>
    <row r="702" ht="14.25" customHeight="1">
      <c r="A702" s="49"/>
      <c r="B702" s="49"/>
      <c r="C702" s="51"/>
      <c r="D702" s="51" t="s">
        <v>4495</v>
      </c>
    </row>
    <row r="703" ht="14.25" customHeight="1">
      <c r="A703" s="49"/>
      <c r="B703" s="49"/>
      <c r="C703" s="51"/>
      <c r="D703" s="51" t="s">
        <v>4495</v>
      </c>
    </row>
    <row r="704" ht="14.25" customHeight="1">
      <c r="A704" s="49"/>
      <c r="B704" s="49"/>
      <c r="C704" s="51"/>
      <c r="D704" s="51" t="s">
        <v>4495</v>
      </c>
    </row>
    <row r="705" ht="14.25" customHeight="1">
      <c r="A705" s="49"/>
      <c r="B705" s="49"/>
      <c r="C705" s="51"/>
      <c r="D705" s="51" t="s">
        <v>4495</v>
      </c>
    </row>
    <row r="706" ht="14.25" customHeight="1">
      <c r="A706" s="49"/>
      <c r="B706" s="49"/>
      <c r="C706" s="51"/>
      <c r="D706" s="51" t="s">
        <v>4495</v>
      </c>
    </row>
    <row r="707" ht="14.25" customHeight="1">
      <c r="A707" s="49"/>
      <c r="B707" s="49"/>
      <c r="C707" s="51"/>
      <c r="D707" s="51" t="s">
        <v>4495</v>
      </c>
    </row>
    <row r="708" ht="14.25" customHeight="1">
      <c r="A708" s="49"/>
      <c r="B708" s="49"/>
      <c r="C708" s="51"/>
      <c r="D708" s="51" t="s">
        <v>4495</v>
      </c>
    </row>
    <row r="709" ht="14.25" customHeight="1">
      <c r="A709" s="49"/>
      <c r="B709" s="49"/>
      <c r="C709" s="51"/>
      <c r="D709" s="51" t="s">
        <v>4495</v>
      </c>
    </row>
    <row r="710" ht="14.25" customHeight="1">
      <c r="A710" s="49"/>
      <c r="B710" s="49"/>
      <c r="C710" s="51"/>
      <c r="D710" s="51" t="s">
        <v>4495</v>
      </c>
    </row>
    <row r="711" ht="14.25" customHeight="1">
      <c r="A711" s="49"/>
      <c r="B711" s="49"/>
      <c r="C711" s="51"/>
      <c r="D711" s="51" t="s">
        <v>4495</v>
      </c>
    </row>
    <row r="712" ht="14.25" customHeight="1">
      <c r="A712" s="49"/>
      <c r="B712" s="49"/>
      <c r="C712" s="51"/>
      <c r="D712" s="51" t="s">
        <v>4495</v>
      </c>
    </row>
    <row r="713" ht="14.25" customHeight="1">
      <c r="A713" s="49"/>
      <c r="B713" s="49"/>
      <c r="C713" s="51"/>
      <c r="D713" s="51" t="s">
        <v>4495</v>
      </c>
    </row>
    <row r="714" ht="14.25" customHeight="1">
      <c r="A714" s="49"/>
      <c r="B714" s="49"/>
      <c r="C714" s="51"/>
      <c r="D714" s="51" t="s">
        <v>4495</v>
      </c>
    </row>
    <row r="715" ht="14.25" customHeight="1">
      <c r="A715" s="49"/>
      <c r="B715" s="49"/>
      <c r="C715" s="51"/>
      <c r="D715" s="51" t="s">
        <v>4495</v>
      </c>
    </row>
    <row r="716" ht="14.25" customHeight="1">
      <c r="A716" s="49"/>
      <c r="B716" s="49"/>
      <c r="C716" s="51"/>
      <c r="D716" s="51" t="s">
        <v>4495</v>
      </c>
    </row>
    <row r="717" ht="14.25" customHeight="1">
      <c r="A717" s="49"/>
      <c r="B717" s="49"/>
      <c r="C717" s="51"/>
      <c r="D717" s="51" t="s">
        <v>4495</v>
      </c>
    </row>
    <row r="718" ht="14.25" customHeight="1">
      <c r="A718" s="49"/>
      <c r="B718" s="49"/>
      <c r="C718" s="51"/>
      <c r="D718" s="51" t="s">
        <v>4495</v>
      </c>
    </row>
    <row r="719" ht="14.25" customHeight="1">
      <c r="A719" s="49"/>
      <c r="B719" s="49"/>
      <c r="C719" s="51"/>
      <c r="D719" s="51" t="s">
        <v>4495</v>
      </c>
    </row>
    <row r="720" ht="14.25" customHeight="1">
      <c r="A720" s="49"/>
      <c r="B720" s="49"/>
      <c r="C720" s="51"/>
      <c r="D720" s="51" t="s">
        <v>4495</v>
      </c>
    </row>
    <row r="721" ht="14.25" customHeight="1">
      <c r="A721" s="49"/>
      <c r="B721" s="49"/>
      <c r="C721" s="51"/>
      <c r="D721" s="51" t="s">
        <v>4495</v>
      </c>
    </row>
    <row r="722" ht="14.25" customHeight="1">
      <c r="A722" s="49"/>
      <c r="B722" s="49"/>
      <c r="C722" s="51"/>
      <c r="D722" s="51" t="s">
        <v>4495</v>
      </c>
    </row>
    <row r="723" ht="14.25" customHeight="1">
      <c r="A723" s="49"/>
      <c r="B723" s="49"/>
      <c r="C723" s="51"/>
      <c r="D723" s="51" t="s">
        <v>4495</v>
      </c>
    </row>
    <row r="724" ht="14.25" customHeight="1">
      <c r="A724" s="49"/>
      <c r="B724" s="49"/>
      <c r="C724" s="51"/>
      <c r="D724" s="51" t="s">
        <v>4495</v>
      </c>
    </row>
    <row r="725" ht="14.25" customHeight="1">
      <c r="A725" s="49"/>
      <c r="B725" s="49"/>
      <c r="C725" s="51"/>
      <c r="D725" s="51" t="s">
        <v>4495</v>
      </c>
    </row>
    <row r="726" ht="14.25" customHeight="1">
      <c r="A726" s="49"/>
      <c r="B726" s="49"/>
      <c r="C726" s="51"/>
      <c r="D726" s="51" t="s">
        <v>4495</v>
      </c>
    </row>
    <row r="727" ht="14.25" customHeight="1">
      <c r="A727" s="49"/>
      <c r="B727" s="49"/>
      <c r="C727" s="51"/>
      <c r="D727" s="51" t="s">
        <v>4495</v>
      </c>
    </row>
    <row r="728" ht="14.25" customHeight="1">
      <c r="A728" s="49"/>
      <c r="B728" s="49"/>
      <c r="C728" s="51"/>
      <c r="D728" s="51" t="s">
        <v>4495</v>
      </c>
    </row>
    <row r="729" ht="14.25" customHeight="1">
      <c r="A729" s="49"/>
      <c r="B729" s="49"/>
      <c r="C729" s="51"/>
      <c r="D729" s="51" t="s">
        <v>4495</v>
      </c>
    </row>
    <row r="730" ht="14.25" customHeight="1">
      <c r="A730" s="49"/>
      <c r="B730" s="49"/>
      <c r="C730" s="51"/>
      <c r="D730" s="51" t="s">
        <v>4495</v>
      </c>
    </row>
    <row r="731" ht="14.25" customHeight="1">
      <c r="A731" s="49"/>
      <c r="B731" s="49"/>
      <c r="C731" s="51"/>
      <c r="D731" s="51" t="s">
        <v>4495</v>
      </c>
    </row>
    <row r="732" ht="14.25" customHeight="1">
      <c r="A732" s="49"/>
      <c r="B732" s="49"/>
      <c r="C732" s="51"/>
      <c r="D732" s="51" t="s">
        <v>4495</v>
      </c>
    </row>
    <row r="733" ht="14.25" customHeight="1">
      <c r="A733" s="49"/>
      <c r="B733" s="49"/>
      <c r="C733" s="51"/>
      <c r="D733" s="51" t="s">
        <v>4495</v>
      </c>
    </row>
    <row r="734" ht="14.25" customHeight="1">
      <c r="A734" s="49"/>
      <c r="B734" s="49"/>
      <c r="C734" s="51"/>
      <c r="D734" s="51" t="s">
        <v>4495</v>
      </c>
    </row>
    <row r="735" ht="14.25" customHeight="1">
      <c r="A735" s="49"/>
      <c r="B735" s="49"/>
      <c r="C735" s="51"/>
      <c r="D735" s="51" t="s">
        <v>4495</v>
      </c>
    </row>
    <row r="736" ht="14.25" customHeight="1">
      <c r="A736" s="49"/>
      <c r="B736" s="49"/>
      <c r="C736" s="51"/>
      <c r="D736" s="51" t="s">
        <v>4495</v>
      </c>
    </row>
    <row r="737" ht="14.25" customHeight="1">
      <c r="A737" s="49"/>
      <c r="B737" s="49"/>
      <c r="C737" s="51"/>
      <c r="D737" s="51" t="s">
        <v>4495</v>
      </c>
    </row>
    <row r="738" ht="14.25" customHeight="1">
      <c r="A738" s="49"/>
      <c r="B738" s="49"/>
      <c r="C738" s="51"/>
      <c r="D738" s="51" t="s">
        <v>4495</v>
      </c>
    </row>
    <row r="739" ht="14.25" customHeight="1">
      <c r="A739" s="49"/>
      <c r="B739" s="49"/>
      <c r="C739" s="51"/>
      <c r="D739" s="51" t="s">
        <v>4495</v>
      </c>
    </row>
    <row r="740" ht="14.25" customHeight="1">
      <c r="A740" s="49"/>
      <c r="B740" s="49"/>
      <c r="C740" s="51"/>
      <c r="D740" s="51" t="s">
        <v>4495</v>
      </c>
    </row>
    <row r="741" ht="14.25" customHeight="1">
      <c r="A741" s="49"/>
      <c r="B741" s="49"/>
      <c r="C741" s="51"/>
      <c r="D741" s="51" t="s">
        <v>4495</v>
      </c>
    </row>
    <row r="742" ht="14.25" customHeight="1">
      <c r="A742" s="49"/>
      <c r="B742" s="49"/>
      <c r="C742" s="51"/>
      <c r="D742" s="51" t="s">
        <v>4495</v>
      </c>
    </row>
    <row r="743" ht="14.25" customHeight="1">
      <c r="A743" s="49"/>
      <c r="B743" s="49"/>
      <c r="C743" s="51"/>
      <c r="D743" s="51" t="s">
        <v>4495</v>
      </c>
    </row>
    <row r="744" ht="14.25" customHeight="1">
      <c r="A744" s="49"/>
      <c r="B744" s="49"/>
      <c r="C744" s="51"/>
      <c r="D744" s="51" t="s">
        <v>4495</v>
      </c>
    </row>
    <row r="745" ht="14.25" customHeight="1">
      <c r="A745" s="49"/>
      <c r="B745" s="49"/>
      <c r="C745" s="51"/>
      <c r="D745" s="51" t="s">
        <v>4495</v>
      </c>
    </row>
    <row r="746" ht="14.25" customHeight="1">
      <c r="A746" s="49"/>
      <c r="B746" s="49"/>
      <c r="C746" s="51"/>
      <c r="D746" s="51" t="s">
        <v>4495</v>
      </c>
    </row>
    <row r="747" ht="14.25" customHeight="1">
      <c r="A747" s="49"/>
      <c r="B747" s="49"/>
      <c r="C747" s="51"/>
      <c r="D747" s="51" t="s">
        <v>4495</v>
      </c>
    </row>
    <row r="748" ht="14.25" customHeight="1">
      <c r="A748" s="49"/>
      <c r="B748" s="49"/>
      <c r="C748" s="51"/>
      <c r="D748" s="51" t="s">
        <v>4495</v>
      </c>
    </row>
    <row r="749" ht="14.25" customHeight="1">
      <c r="A749" s="49"/>
      <c r="B749" s="49"/>
      <c r="C749" s="51"/>
      <c r="D749" s="51" t="s">
        <v>4495</v>
      </c>
    </row>
    <row r="750" ht="14.25" customHeight="1">
      <c r="A750" s="49"/>
      <c r="B750" s="49"/>
      <c r="C750" s="51"/>
      <c r="D750" s="51" t="s">
        <v>4495</v>
      </c>
    </row>
    <row r="751" ht="14.25" customHeight="1">
      <c r="A751" s="49"/>
      <c r="B751" s="49"/>
      <c r="C751" s="51"/>
      <c r="D751" s="51" t="s">
        <v>4495</v>
      </c>
    </row>
    <row r="752" ht="14.25" customHeight="1">
      <c r="A752" s="49"/>
      <c r="B752" s="49"/>
      <c r="C752" s="51"/>
      <c r="D752" s="51" t="s">
        <v>4495</v>
      </c>
    </row>
    <row r="753" ht="14.25" customHeight="1">
      <c r="A753" s="49"/>
      <c r="B753" s="49"/>
      <c r="C753" s="51"/>
      <c r="D753" s="51" t="s">
        <v>4495</v>
      </c>
    </row>
    <row r="754" ht="14.25" customHeight="1">
      <c r="A754" s="49"/>
      <c r="B754" s="49"/>
      <c r="C754" s="51"/>
      <c r="D754" s="51" t="s">
        <v>4495</v>
      </c>
    </row>
    <row r="755" ht="14.25" customHeight="1">
      <c r="A755" s="49"/>
      <c r="B755" s="49"/>
      <c r="C755" s="51"/>
      <c r="D755" s="51" t="s">
        <v>4495</v>
      </c>
    </row>
    <row r="756" ht="14.25" customHeight="1">
      <c r="A756" s="49"/>
      <c r="B756" s="49"/>
      <c r="C756" s="51"/>
      <c r="D756" s="51" t="s">
        <v>4495</v>
      </c>
    </row>
    <row r="757" ht="14.25" customHeight="1">
      <c r="A757" s="49"/>
      <c r="B757" s="49"/>
      <c r="C757" s="51"/>
      <c r="D757" s="51" t="s">
        <v>4495</v>
      </c>
    </row>
    <row r="758" ht="14.25" customHeight="1">
      <c r="A758" s="49"/>
      <c r="B758" s="49"/>
      <c r="C758" s="51"/>
      <c r="D758" s="51" t="s">
        <v>4495</v>
      </c>
    </row>
    <row r="759" ht="14.25" customHeight="1">
      <c r="A759" s="49"/>
      <c r="B759" s="49"/>
      <c r="C759" s="51"/>
      <c r="D759" s="51" t="s">
        <v>4495</v>
      </c>
    </row>
    <row r="760" ht="14.25" customHeight="1">
      <c r="A760" s="49"/>
      <c r="B760" s="49"/>
      <c r="C760" s="51"/>
      <c r="D760" s="51" t="s">
        <v>4495</v>
      </c>
    </row>
    <row r="761" ht="14.25" customHeight="1">
      <c r="A761" s="49"/>
      <c r="B761" s="49"/>
      <c r="C761" s="51"/>
      <c r="D761" s="51" t="s">
        <v>4495</v>
      </c>
    </row>
    <row r="762" ht="14.25" customHeight="1">
      <c r="A762" s="49"/>
      <c r="B762" s="49"/>
      <c r="C762" s="51"/>
      <c r="D762" s="51" t="s">
        <v>4495</v>
      </c>
    </row>
    <row r="763" ht="14.25" customHeight="1">
      <c r="A763" s="49"/>
      <c r="B763" s="49"/>
      <c r="C763" s="51"/>
      <c r="D763" s="51" t="s">
        <v>4495</v>
      </c>
    </row>
    <row r="764" ht="14.25" customHeight="1">
      <c r="A764" s="49"/>
      <c r="B764" s="49"/>
      <c r="C764" s="51"/>
      <c r="D764" s="51" t="s">
        <v>4495</v>
      </c>
    </row>
    <row r="765" ht="14.25" customHeight="1">
      <c r="A765" s="49"/>
      <c r="B765" s="49"/>
      <c r="C765" s="51"/>
      <c r="D765" s="51" t="s">
        <v>4495</v>
      </c>
    </row>
    <row r="766" ht="14.25" customHeight="1">
      <c r="A766" s="49"/>
      <c r="B766" s="49"/>
      <c r="C766" s="51"/>
      <c r="D766" s="51" t="s">
        <v>4495</v>
      </c>
    </row>
    <row r="767" ht="14.25" customHeight="1">
      <c r="A767" s="49"/>
      <c r="B767" s="49"/>
      <c r="C767" s="51"/>
      <c r="D767" s="51" t="s">
        <v>4495</v>
      </c>
    </row>
    <row r="768" ht="14.25" customHeight="1">
      <c r="A768" s="49"/>
      <c r="B768" s="49"/>
      <c r="C768" s="51"/>
      <c r="D768" s="51" t="s">
        <v>4495</v>
      </c>
    </row>
    <row r="769" ht="14.25" customHeight="1">
      <c r="A769" s="49"/>
      <c r="B769" s="49"/>
      <c r="C769" s="51"/>
      <c r="D769" s="51" t="s">
        <v>4495</v>
      </c>
    </row>
    <row r="770" ht="14.25" customHeight="1">
      <c r="A770" s="49"/>
      <c r="B770" s="49"/>
      <c r="C770" s="51"/>
      <c r="D770" s="51" t="s">
        <v>4495</v>
      </c>
    </row>
    <row r="771" ht="14.25" customHeight="1">
      <c r="A771" s="49"/>
      <c r="B771" s="49"/>
      <c r="C771" s="51"/>
      <c r="D771" s="51" t="s">
        <v>4495</v>
      </c>
    </row>
    <row r="772" ht="14.25" customHeight="1">
      <c r="A772" s="49"/>
      <c r="B772" s="49"/>
      <c r="C772" s="51"/>
      <c r="D772" s="51" t="s">
        <v>4495</v>
      </c>
    </row>
    <row r="773" ht="14.25" customHeight="1">
      <c r="A773" s="49"/>
      <c r="B773" s="49"/>
      <c r="C773" s="51"/>
      <c r="D773" s="51" t="s">
        <v>4495</v>
      </c>
    </row>
    <row r="774" ht="14.25" customHeight="1">
      <c r="A774" s="49"/>
      <c r="B774" s="49"/>
      <c r="C774" s="51"/>
      <c r="D774" s="51" t="s">
        <v>4495</v>
      </c>
    </row>
    <row r="775" ht="14.25" customHeight="1">
      <c r="A775" s="49"/>
      <c r="B775" s="49"/>
      <c r="C775" s="51"/>
      <c r="D775" s="51" t="s">
        <v>4495</v>
      </c>
    </row>
    <row r="776" ht="14.25" customHeight="1">
      <c r="A776" s="49"/>
      <c r="B776" s="49"/>
      <c r="C776" s="51"/>
      <c r="D776" s="51" t="s">
        <v>4495</v>
      </c>
    </row>
    <row r="777" ht="14.25" customHeight="1">
      <c r="A777" s="49"/>
      <c r="B777" s="49"/>
      <c r="C777" s="51"/>
      <c r="D777" s="51" t="s">
        <v>4495</v>
      </c>
    </row>
    <row r="778" ht="14.25" customHeight="1">
      <c r="A778" s="49"/>
      <c r="B778" s="49"/>
      <c r="C778" s="51"/>
      <c r="D778" s="51" t="s">
        <v>4495</v>
      </c>
    </row>
    <row r="779" ht="14.25" customHeight="1">
      <c r="A779" s="49"/>
      <c r="B779" s="49"/>
      <c r="C779" s="51"/>
      <c r="D779" s="51" t="s">
        <v>4495</v>
      </c>
    </row>
    <row r="780" ht="14.25" customHeight="1">
      <c r="A780" s="49"/>
      <c r="B780" s="49"/>
      <c r="C780" s="51"/>
      <c r="D780" s="51" t="s">
        <v>4495</v>
      </c>
    </row>
    <row r="781" ht="14.25" customHeight="1">
      <c r="A781" s="49"/>
      <c r="B781" s="49"/>
      <c r="C781" s="51"/>
      <c r="D781" s="51" t="s">
        <v>4495</v>
      </c>
    </row>
    <row r="782" ht="14.25" customHeight="1">
      <c r="A782" s="49"/>
      <c r="B782" s="49"/>
      <c r="C782" s="51"/>
      <c r="D782" s="51" t="s">
        <v>4495</v>
      </c>
    </row>
    <row r="783" ht="14.25" customHeight="1">
      <c r="A783" s="49"/>
      <c r="B783" s="49"/>
      <c r="C783" s="51"/>
      <c r="D783" s="51" t="s">
        <v>4495</v>
      </c>
    </row>
    <row r="784" ht="14.25" customHeight="1">
      <c r="A784" s="49"/>
      <c r="B784" s="49"/>
      <c r="C784" s="51"/>
      <c r="D784" s="51" t="s">
        <v>4495</v>
      </c>
    </row>
    <row r="785" ht="14.25" customHeight="1">
      <c r="A785" s="49"/>
      <c r="B785" s="49"/>
      <c r="C785" s="51"/>
      <c r="D785" s="51" t="s">
        <v>4495</v>
      </c>
    </row>
    <row r="786" ht="14.25" customHeight="1">
      <c r="A786" s="49"/>
      <c r="B786" s="49"/>
      <c r="C786" s="51"/>
      <c r="D786" s="51" t="s">
        <v>4495</v>
      </c>
    </row>
    <row r="787" ht="14.25" customHeight="1">
      <c r="A787" s="49"/>
      <c r="B787" s="49"/>
      <c r="C787" s="51"/>
      <c r="D787" s="51" t="s">
        <v>4495</v>
      </c>
    </row>
    <row r="788" ht="14.25" customHeight="1">
      <c r="A788" s="49"/>
      <c r="B788" s="49"/>
      <c r="C788" s="51"/>
      <c r="D788" s="51" t="s">
        <v>4495</v>
      </c>
    </row>
    <row r="789" ht="14.25" customHeight="1">
      <c r="A789" s="49"/>
      <c r="B789" s="49"/>
      <c r="C789" s="51"/>
      <c r="D789" s="51" t="s">
        <v>4495</v>
      </c>
    </row>
    <row r="790" ht="14.25" customHeight="1">
      <c r="A790" s="49"/>
      <c r="B790" s="49"/>
      <c r="C790" s="51"/>
      <c r="D790" s="51" t="s">
        <v>4495</v>
      </c>
    </row>
    <row r="791" ht="14.25" customHeight="1">
      <c r="A791" s="49"/>
      <c r="B791" s="49"/>
      <c r="C791" s="51"/>
      <c r="D791" s="51" t="s">
        <v>4495</v>
      </c>
    </row>
    <row r="792" ht="14.25" customHeight="1">
      <c r="A792" s="49"/>
      <c r="B792" s="49"/>
      <c r="C792" s="51"/>
      <c r="D792" s="51" t="s">
        <v>4495</v>
      </c>
    </row>
    <row r="793" ht="14.25" customHeight="1">
      <c r="A793" s="49"/>
      <c r="B793" s="49"/>
      <c r="C793" s="51"/>
      <c r="D793" s="51" t="s">
        <v>4495</v>
      </c>
    </row>
    <row r="794" ht="14.25" customHeight="1">
      <c r="A794" s="49"/>
      <c r="B794" s="49"/>
      <c r="C794" s="51"/>
      <c r="D794" s="51" t="s">
        <v>4495</v>
      </c>
    </row>
    <row r="795" ht="14.25" customHeight="1">
      <c r="A795" s="49"/>
      <c r="B795" s="49"/>
      <c r="C795" s="51"/>
      <c r="D795" s="51" t="s">
        <v>4495</v>
      </c>
    </row>
    <row r="796" ht="14.25" customHeight="1">
      <c r="A796" s="49"/>
      <c r="B796" s="49"/>
      <c r="C796" s="51"/>
      <c r="D796" s="51" t="s">
        <v>4495</v>
      </c>
    </row>
    <row r="797" ht="14.25" customHeight="1">
      <c r="A797" s="49"/>
      <c r="B797" s="49"/>
      <c r="C797" s="51"/>
      <c r="D797" s="51" t="s">
        <v>4495</v>
      </c>
    </row>
    <row r="798" ht="14.25" customHeight="1">
      <c r="A798" s="49"/>
      <c r="B798" s="49"/>
      <c r="C798" s="51"/>
      <c r="D798" s="51" t="s">
        <v>4495</v>
      </c>
    </row>
    <row r="799" ht="14.25" customHeight="1">
      <c r="A799" s="49"/>
      <c r="B799" s="49"/>
      <c r="C799" s="51"/>
      <c r="D799" s="51" t="s">
        <v>4495</v>
      </c>
    </row>
    <row r="800" ht="14.25" customHeight="1">
      <c r="A800" s="49"/>
      <c r="B800" s="49"/>
      <c r="C800" s="51"/>
      <c r="D800" s="51" t="s">
        <v>4495</v>
      </c>
    </row>
    <row r="801" ht="14.25" customHeight="1">
      <c r="A801" s="49"/>
      <c r="B801" s="49"/>
      <c r="C801" s="51"/>
      <c r="D801" s="51" t="s">
        <v>4495</v>
      </c>
    </row>
    <row r="802" ht="14.25" customHeight="1">
      <c r="A802" s="49"/>
      <c r="B802" s="49"/>
      <c r="C802" s="51"/>
      <c r="D802" s="51" t="s">
        <v>4495</v>
      </c>
    </row>
    <row r="803" ht="14.25" customHeight="1">
      <c r="A803" s="49"/>
      <c r="B803" s="49"/>
      <c r="C803" s="51"/>
      <c r="D803" s="51" t="s">
        <v>4495</v>
      </c>
    </row>
    <row r="804" ht="14.25" customHeight="1">
      <c r="A804" s="49"/>
      <c r="B804" s="49"/>
      <c r="C804" s="51"/>
      <c r="D804" s="51" t="s">
        <v>4495</v>
      </c>
    </row>
    <row r="805" ht="14.25" customHeight="1">
      <c r="A805" s="49"/>
      <c r="B805" s="49"/>
      <c r="C805" s="51"/>
      <c r="D805" s="51" t="s">
        <v>4495</v>
      </c>
    </row>
    <row r="806" ht="14.25" customHeight="1">
      <c r="A806" s="49"/>
      <c r="B806" s="49"/>
      <c r="C806" s="51"/>
      <c r="D806" s="51" t="s">
        <v>4495</v>
      </c>
    </row>
    <row r="807" ht="14.25" customHeight="1">
      <c r="A807" s="49"/>
      <c r="B807" s="49"/>
      <c r="C807" s="51"/>
      <c r="D807" s="51" t="s">
        <v>4495</v>
      </c>
    </row>
    <row r="808" ht="14.25" customHeight="1">
      <c r="A808" s="49"/>
      <c r="B808" s="49"/>
      <c r="C808" s="51"/>
      <c r="D808" s="51" t="s">
        <v>4495</v>
      </c>
    </row>
    <row r="809" ht="14.25" customHeight="1">
      <c r="A809" s="49"/>
      <c r="B809" s="49"/>
      <c r="C809" s="51"/>
      <c r="D809" s="51" t="s">
        <v>4495</v>
      </c>
    </row>
    <row r="810" ht="14.25" customHeight="1">
      <c r="A810" s="49"/>
      <c r="B810" s="49"/>
      <c r="C810" s="51"/>
      <c r="D810" s="51" t="s">
        <v>4495</v>
      </c>
    </row>
    <row r="811" ht="14.25" customHeight="1">
      <c r="A811" s="49"/>
      <c r="B811" s="49"/>
      <c r="C811" s="51"/>
      <c r="D811" s="51" t="s">
        <v>4495</v>
      </c>
    </row>
    <row r="812" ht="14.25" customHeight="1">
      <c r="A812" s="49"/>
      <c r="B812" s="49"/>
      <c r="C812" s="51"/>
      <c r="D812" s="51" t="s">
        <v>4495</v>
      </c>
    </row>
    <row r="813" ht="14.25" customHeight="1">
      <c r="A813" s="49"/>
      <c r="B813" s="49"/>
      <c r="C813" s="51"/>
      <c r="D813" s="51" t="s">
        <v>4495</v>
      </c>
    </row>
    <row r="814" ht="14.25" customHeight="1">
      <c r="A814" s="49"/>
      <c r="B814" s="49"/>
      <c r="C814" s="51"/>
      <c r="D814" s="51" t="s">
        <v>4495</v>
      </c>
    </row>
    <row r="815" ht="14.25" customHeight="1">
      <c r="A815" s="49"/>
      <c r="B815" s="49"/>
      <c r="C815" s="51"/>
      <c r="D815" s="51" t="s">
        <v>4495</v>
      </c>
    </row>
    <row r="816" ht="14.25" customHeight="1">
      <c r="A816" s="49"/>
      <c r="B816" s="49"/>
      <c r="C816" s="51"/>
      <c r="D816" s="51" t="s">
        <v>4495</v>
      </c>
    </row>
    <row r="817" ht="14.25" customHeight="1">
      <c r="A817" s="49"/>
      <c r="B817" s="49"/>
      <c r="C817" s="51"/>
      <c r="D817" s="51" t="s">
        <v>4495</v>
      </c>
    </row>
    <row r="818" ht="14.25" customHeight="1">
      <c r="A818" s="49"/>
      <c r="B818" s="49"/>
      <c r="C818" s="51"/>
      <c r="D818" s="51" t="s">
        <v>4495</v>
      </c>
    </row>
    <row r="819" ht="14.25" customHeight="1">
      <c r="A819" s="49"/>
      <c r="B819" s="49"/>
      <c r="C819" s="51"/>
      <c r="D819" s="51" t="s">
        <v>4495</v>
      </c>
    </row>
    <row r="820" ht="14.25" customHeight="1">
      <c r="A820" s="49"/>
      <c r="B820" s="49"/>
      <c r="C820" s="51"/>
      <c r="D820" s="51" t="s">
        <v>4495</v>
      </c>
    </row>
    <row r="821" ht="14.25" customHeight="1">
      <c r="A821" s="49"/>
      <c r="B821" s="49"/>
      <c r="C821" s="51"/>
      <c r="D821" s="51" t="s">
        <v>4495</v>
      </c>
    </row>
    <row r="822" ht="14.25" customHeight="1">
      <c r="A822" s="49"/>
      <c r="B822" s="49"/>
      <c r="C822" s="51"/>
      <c r="D822" s="51" t="s">
        <v>4495</v>
      </c>
    </row>
    <row r="823" ht="14.25" customHeight="1">
      <c r="A823" s="49"/>
      <c r="B823" s="49"/>
      <c r="C823" s="51"/>
      <c r="D823" s="51" t="s">
        <v>4495</v>
      </c>
    </row>
    <row r="824" ht="14.25" customHeight="1">
      <c r="A824" s="49"/>
      <c r="B824" s="49"/>
      <c r="C824" s="51"/>
      <c r="D824" s="51" t="s">
        <v>4495</v>
      </c>
    </row>
    <row r="825" ht="14.25" customHeight="1">
      <c r="A825" s="49"/>
      <c r="B825" s="49"/>
      <c r="C825" s="51"/>
      <c r="D825" s="51" t="s">
        <v>4495</v>
      </c>
    </row>
    <row r="826" ht="14.25" customHeight="1">
      <c r="A826" s="49"/>
      <c r="B826" s="49"/>
      <c r="C826" s="51"/>
      <c r="D826" s="51" t="s">
        <v>4495</v>
      </c>
    </row>
    <row r="827" ht="14.25" customHeight="1">
      <c r="A827" s="49"/>
      <c r="B827" s="49"/>
      <c r="C827" s="51"/>
      <c r="D827" s="51" t="s">
        <v>4495</v>
      </c>
    </row>
    <row r="828" ht="14.25" customHeight="1">
      <c r="A828" s="49"/>
      <c r="B828" s="49"/>
      <c r="C828" s="51"/>
      <c r="D828" s="51" t="s">
        <v>4495</v>
      </c>
    </row>
    <row r="829" ht="14.25" customHeight="1">
      <c r="A829" s="49"/>
      <c r="B829" s="49"/>
      <c r="C829" s="51"/>
      <c r="D829" s="51" t="s">
        <v>4495</v>
      </c>
    </row>
    <row r="830" ht="14.25" customHeight="1">
      <c r="A830" s="49"/>
      <c r="B830" s="49"/>
      <c r="C830" s="51"/>
      <c r="D830" s="51" t="s">
        <v>4495</v>
      </c>
    </row>
    <row r="831" ht="14.25" customHeight="1">
      <c r="A831" s="49"/>
      <c r="B831" s="49"/>
      <c r="C831" s="51"/>
      <c r="D831" s="51" t="s">
        <v>4495</v>
      </c>
    </row>
    <row r="832" ht="14.25" customHeight="1">
      <c r="A832" s="49"/>
      <c r="B832" s="49"/>
      <c r="C832" s="51"/>
      <c r="D832" s="51" t="s">
        <v>4495</v>
      </c>
    </row>
    <row r="833" ht="14.25" customHeight="1">
      <c r="A833" s="49"/>
      <c r="B833" s="49"/>
      <c r="C833" s="51"/>
      <c r="D833" s="51" t="s">
        <v>4495</v>
      </c>
    </row>
    <row r="834" ht="14.25" customHeight="1">
      <c r="A834" s="49"/>
      <c r="B834" s="49"/>
      <c r="C834" s="51"/>
      <c r="D834" s="51" t="s">
        <v>4495</v>
      </c>
    </row>
    <row r="835" ht="14.25" customHeight="1">
      <c r="A835" s="49"/>
      <c r="B835" s="49"/>
      <c r="C835" s="51"/>
      <c r="D835" s="51" t="s">
        <v>4495</v>
      </c>
    </row>
    <row r="836" ht="14.25" customHeight="1">
      <c r="A836" s="49"/>
      <c r="B836" s="49"/>
      <c r="C836" s="51"/>
      <c r="D836" s="51" t="s">
        <v>4495</v>
      </c>
    </row>
    <row r="837" ht="14.25" customHeight="1">
      <c r="A837" s="49"/>
      <c r="B837" s="49"/>
      <c r="C837" s="51"/>
      <c r="D837" s="51" t="s">
        <v>4495</v>
      </c>
    </row>
    <row r="838" ht="14.25" customHeight="1">
      <c r="A838" s="49"/>
      <c r="B838" s="49"/>
      <c r="C838" s="51"/>
      <c r="D838" s="51" t="s">
        <v>4495</v>
      </c>
    </row>
    <row r="839" ht="14.25" customHeight="1">
      <c r="A839" s="49"/>
      <c r="B839" s="49"/>
      <c r="C839" s="51"/>
      <c r="D839" s="51" t="s">
        <v>4495</v>
      </c>
    </row>
    <row r="840" ht="14.25" customHeight="1">
      <c r="A840" s="49"/>
      <c r="B840" s="49"/>
      <c r="C840" s="51"/>
      <c r="D840" s="51" t="s">
        <v>4495</v>
      </c>
    </row>
    <row r="841" ht="14.25" customHeight="1">
      <c r="A841" s="49"/>
      <c r="B841" s="49"/>
      <c r="C841" s="51"/>
      <c r="D841" s="51" t="s">
        <v>4495</v>
      </c>
    </row>
    <row r="842" ht="14.25" customHeight="1">
      <c r="A842" s="49"/>
      <c r="B842" s="49"/>
      <c r="C842" s="51"/>
      <c r="D842" s="51" t="s">
        <v>4495</v>
      </c>
    </row>
    <row r="843" ht="14.25" customHeight="1">
      <c r="A843" s="49"/>
      <c r="B843" s="49"/>
      <c r="C843" s="51"/>
      <c r="D843" s="51" t="s">
        <v>4495</v>
      </c>
    </row>
    <row r="844" ht="14.25" customHeight="1">
      <c r="A844" s="49"/>
      <c r="B844" s="49"/>
      <c r="C844" s="51"/>
      <c r="D844" s="51" t="s">
        <v>4495</v>
      </c>
    </row>
    <row r="845" ht="14.25" customHeight="1">
      <c r="A845" s="49"/>
      <c r="B845" s="49"/>
      <c r="C845" s="51"/>
      <c r="D845" s="51" t="s">
        <v>4495</v>
      </c>
    </row>
    <row r="846" ht="14.25" customHeight="1">
      <c r="A846" s="49"/>
      <c r="B846" s="49"/>
      <c r="C846" s="51"/>
      <c r="D846" s="51" t="s">
        <v>4495</v>
      </c>
    </row>
    <row r="847" ht="14.25" customHeight="1">
      <c r="A847" s="49"/>
      <c r="B847" s="49"/>
      <c r="C847" s="51"/>
      <c r="D847" s="51" t="s">
        <v>4495</v>
      </c>
    </row>
    <row r="848" ht="14.25" customHeight="1">
      <c r="A848" s="49"/>
      <c r="B848" s="49"/>
      <c r="C848" s="51"/>
      <c r="D848" s="51" t="s">
        <v>4495</v>
      </c>
    </row>
    <row r="849" ht="14.25" customHeight="1">
      <c r="A849" s="49"/>
      <c r="B849" s="49"/>
      <c r="C849" s="51"/>
      <c r="D849" s="51" t="s">
        <v>4495</v>
      </c>
    </row>
    <row r="850" ht="14.25" customHeight="1">
      <c r="A850" s="49"/>
      <c r="B850" s="49"/>
      <c r="C850" s="51"/>
      <c r="D850" s="51" t="s">
        <v>4495</v>
      </c>
    </row>
    <row r="851" ht="14.25" customHeight="1">
      <c r="A851" s="49"/>
      <c r="B851" s="49"/>
      <c r="C851" s="51"/>
      <c r="D851" s="51" t="s">
        <v>4495</v>
      </c>
    </row>
    <row r="852" ht="14.25" customHeight="1">
      <c r="A852" s="49"/>
      <c r="B852" s="49"/>
      <c r="C852" s="51"/>
      <c r="D852" s="51" t="s">
        <v>4495</v>
      </c>
    </row>
    <row r="853" ht="14.25" customHeight="1">
      <c r="A853" s="49"/>
      <c r="B853" s="49"/>
      <c r="C853" s="51"/>
      <c r="D853" s="51" t="s">
        <v>4495</v>
      </c>
    </row>
    <row r="854" ht="14.25" customHeight="1">
      <c r="A854" s="49"/>
      <c r="B854" s="49"/>
      <c r="C854" s="51"/>
      <c r="D854" s="51" t="s">
        <v>4495</v>
      </c>
    </row>
    <row r="855" ht="14.25" customHeight="1">
      <c r="A855" s="49"/>
      <c r="B855" s="49"/>
      <c r="C855" s="51"/>
      <c r="D855" s="51" t="s">
        <v>4495</v>
      </c>
    </row>
    <row r="856" ht="14.25" customHeight="1">
      <c r="A856" s="49"/>
      <c r="B856" s="49"/>
      <c r="C856" s="51"/>
      <c r="D856" s="51" t="s">
        <v>4495</v>
      </c>
    </row>
    <row r="857" ht="14.25" customHeight="1">
      <c r="A857" s="49"/>
      <c r="B857" s="49"/>
      <c r="C857" s="51"/>
      <c r="D857" s="51" t="s">
        <v>4495</v>
      </c>
    </row>
    <row r="858" ht="14.25" customHeight="1">
      <c r="A858" s="49"/>
      <c r="B858" s="49"/>
      <c r="C858" s="51"/>
      <c r="D858" s="51" t="s">
        <v>4495</v>
      </c>
    </row>
    <row r="859" ht="14.25" customHeight="1">
      <c r="A859" s="49"/>
      <c r="B859" s="49"/>
      <c r="C859" s="51"/>
      <c r="D859" s="51" t="s">
        <v>4495</v>
      </c>
    </row>
    <row r="860" ht="14.25" customHeight="1">
      <c r="A860" s="49"/>
      <c r="B860" s="49"/>
      <c r="C860" s="51"/>
      <c r="D860" s="51" t="s">
        <v>4495</v>
      </c>
    </row>
    <row r="861" ht="14.25" customHeight="1">
      <c r="A861" s="49"/>
      <c r="B861" s="49"/>
      <c r="C861" s="51"/>
      <c r="D861" s="51" t="s">
        <v>4495</v>
      </c>
    </row>
    <row r="862" ht="14.25" customHeight="1">
      <c r="A862" s="49"/>
      <c r="B862" s="49"/>
      <c r="C862" s="51"/>
      <c r="D862" s="51" t="s">
        <v>4495</v>
      </c>
    </row>
    <row r="863" ht="14.25" customHeight="1">
      <c r="A863" s="49"/>
      <c r="B863" s="49"/>
      <c r="C863" s="51"/>
      <c r="D863" s="51" t="s">
        <v>4495</v>
      </c>
    </row>
    <row r="864" ht="14.25" customHeight="1">
      <c r="A864" s="49"/>
      <c r="B864" s="49"/>
      <c r="C864" s="51"/>
      <c r="D864" s="51" t="s">
        <v>4495</v>
      </c>
    </row>
    <row r="865" ht="14.25" customHeight="1">
      <c r="A865" s="49"/>
      <c r="B865" s="49"/>
      <c r="C865" s="51"/>
      <c r="D865" s="51" t="s">
        <v>4495</v>
      </c>
    </row>
    <row r="866" ht="14.25" customHeight="1">
      <c r="A866" s="49"/>
      <c r="B866" s="49"/>
      <c r="C866" s="51"/>
      <c r="D866" s="51" t="s">
        <v>4495</v>
      </c>
    </row>
    <row r="867" ht="14.25" customHeight="1">
      <c r="A867" s="49"/>
      <c r="B867" s="49"/>
      <c r="C867" s="51"/>
      <c r="D867" s="51" t="s">
        <v>4495</v>
      </c>
    </row>
    <row r="868" ht="14.25" customHeight="1">
      <c r="A868" s="49"/>
      <c r="B868" s="49"/>
      <c r="C868" s="51"/>
      <c r="D868" s="51" t="s">
        <v>4495</v>
      </c>
    </row>
    <row r="869" ht="14.25" customHeight="1">
      <c r="A869" s="49"/>
      <c r="B869" s="49"/>
      <c r="C869" s="51"/>
      <c r="D869" s="51" t="s">
        <v>4495</v>
      </c>
    </row>
    <row r="870" ht="14.25" customHeight="1">
      <c r="A870" s="49"/>
      <c r="B870" s="49"/>
      <c r="C870" s="51"/>
      <c r="D870" s="51" t="s">
        <v>4495</v>
      </c>
    </row>
    <row r="871" ht="14.25" customHeight="1">
      <c r="A871" s="49"/>
      <c r="B871" s="49"/>
      <c r="C871" s="51"/>
      <c r="D871" s="51" t="s">
        <v>4495</v>
      </c>
    </row>
    <row r="872" ht="14.25" customHeight="1">
      <c r="A872" s="49"/>
      <c r="B872" s="49"/>
      <c r="C872" s="51"/>
      <c r="D872" s="51" t="s">
        <v>4495</v>
      </c>
    </row>
    <row r="873" ht="14.25" customHeight="1">
      <c r="A873" s="49"/>
      <c r="B873" s="49"/>
      <c r="C873" s="51"/>
      <c r="D873" s="51" t="s">
        <v>4495</v>
      </c>
    </row>
    <row r="874" ht="14.25" customHeight="1">
      <c r="A874" s="49"/>
      <c r="B874" s="49"/>
      <c r="C874" s="51"/>
      <c r="D874" s="51" t="s">
        <v>4495</v>
      </c>
    </row>
    <row r="875" ht="14.25" customHeight="1">
      <c r="A875" s="49"/>
      <c r="B875" s="49"/>
      <c r="C875" s="51"/>
      <c r="D875" s="51" t="s">
        <v>4495</v>
      </c>
    </row>
    <row r="876" ht="14.25" customHeight="1">
      <c r="A876" s="49"/>
      <c r="B876" s="49"/>
      <c r="C876" s="51"/>
      <c r="D876" s="51" t="s">
        <v>4495</v>
      </c>
    </row>
    <row r="877" ht="14.25" customHeight="1">
      <c r="A877" s="49"/>
      <c r="B877" s="49"/>
      <c r="C877" s="51"/>
      <c r="D877" s="51" t="s">
        <v>4495</v>
      </c>
    </row>
    <row r="878" ht="14.25" customHeight="1">
      <c r="A878" s="49"/>
      <c r="B878" s="49"/>
      <c r="C878" s="51"/>
      <c r="D878" s="51" t="s">
        <v>4495</v>
      </c>
    </row>
    <row r="879" ht="14.25" customHeight="1">
      <c r="A879" s="49"/>
      <c r="B879" s="49"/>
      <c r="C879" s="51"/>
      <c r="D879" s="51" t="s">
        <v>4495</v>
      </c>
    </row>
    <row r="880" ht="14.25" customHeight="1">
      <c r="A880" s="49"/>
      <c r="B880" s="49"/>
      <c r="C880" s="51"/>
      <c r="D880" s="51" t="s">
        <v>4495</v>
      </c>
    </row>
    <row r="881" ht="14.25" customHeight="1">
      <c r="A881" s="49"/>
      <c r="B881" s="49"/>
      <c r="C881" s="51"/>
      <c r="D881" s="51" t="s">
        <v>4495</v>
      </c>
    </row>
    <row r="882" ht="14.25" customHeight="1">
      <c r="A882" s="49"/>
      <c r="B882" s="49"/>
      <c r="C882" s="51"/>
      <c r="D882" s="51" t="s">
        <v>4495</v>
      </c>
    </row>
    <row r="883" ht="14.25" customHeight="1">
      <c r="A883" s="49"/>
      <c r="B883" s="49"/>
      <c r="C883" s="51"/>
      <c r="D883" s="51" t="s">
        <v>4495</v>
      </c>
    </row>
    <row r="884" ht="14.25" customHeight="1">
      <c r="A884" s="49"/>
      <c r="B884" s="49"/>
      <c r="C884" s="51"/>
      <c r="D884" s="51" t="s">
        <v>4495</v>
      </c>
    </row>
    <row r="885" ht="14.25" customHeight="1">
      <c r="A885" s="49"/>
      <c r="B885" s="49"/>
      <c r="C885" s="51"/>
      <c r="D885" s="51" t="s">
        <v>4495</v>
      </c>
    </row>
    <row r="886" ht="14.25" customHeight="1">
      <c r="A886" s="49"/>
      <c r="B886" s="49"/>
      <c r="C886" s="51"/>
      <c r="D886" s="51" t="s">
        <v>4495</v>
      </c>
    </row>
    <row r="887" ht="14.25" customHeight="1">
      <c r="A887" s="49"/>
      <c r="B887" s="49"/>
      <c r="C887" s="51"/>
      <c r="D887" s="51" t="s">
        <v>4495</v>
      </c>
    </row>
    <row r="888" ht="14.25" customHeight="1">
      <c r="A888" s="49"/>
      <c r="B888" s="49"/>
      <c r="C888" s="51"/>
      <c r="D888" s="51" t="s">
        <v>4495</v>
      </c>
    </row>
    <row r="889" ht="14.25" customHeight="1">
      <c r="A889" s="49"/>
      <c r="B889" s="49"/>
      <c r="C889" s="51"/>
      <c r="D889" s="51" t="s">
        <v>4495</v>
      </c>
    </row>
    <row r="890" ht="14.25" customHeight="1">
      <c r="A890" s="49"/>
      <c r="B890" s="49"/>
      <c r="C890" s="51"/>
      <c r="D890" s="51" t="s">
        <v>4495</v>
      </c>
    </row>
    <row r="891" ht="14.25" customHeight="1">
      <c r="A891" s="49"/>
      <c r="B891" s="49"/>
      <c r="C891" s="51"/>
      <c r="D891" s="51" t="s">
        <v>4495</v>
      </c>
    </row>
    <row r="892" ht="14.25" customHeight="1">
      <c r="A892" s="49"/>
      <c r="B892" s="49"/>
      <c r="C892" s="51"/>
      <c r="D892" s="51" t="s">
        <v>4495</v>
      </c>
    </row>
    <row r="893" ht="14.25" customHeight="1">
      <c r="A893" s="49"/>
      <c r="B893" s="49"/>
      <c r="C893" s="51"/>
      <c r="D893" s="51" t="s">
        <v>4495</v>
      </c>
    </row>
    <row r="894" ht="14.25" customHeight="1">
      <c r="A894" s="49"/>
      <c r="B894" s="49"/>
      <c r="C894" s="51"/>
      <c r="D894" s="51" t="s">
        <v>4495</v>
      </c>
    </row>
    <row r="895" ht="14.25" customHeight="1">
      <c r="A895" s="49"/>
      <c r="B895" s="49"/>
      <c r="C895" s="51"/>
      <c r="D895" s="51" t="s">
        <v>4495</v>
      </c>
    </row>
    <row r="896" ht="14.25" customHeight="1">
      <c r="A896" s="49"/>
      <c r="B896" s="49"/>
      <c r="C896" s="51"/>
      <c r="D896" s="51" t="s">
        <v>4495</v>
      </c>
    </row>
    <row r="897" ht="14.25" customHeight="1">
      <c r="A897" s="49"/>
      <c r="B897" s="49"/>
      <c r="C897" s="51"/>
      <c r="D897" s="51" t="s">
        <v>4495</v>
      </c>
    </row>
    <row r="898" ht="14.25" customHeight="1">
      <c r="A898" s="49"/>
      <c r="B898" s="49"/>
      <c r="C898" s="51"/>
      <c r="D898" s="51" t="s">
        <v>4495</v>
      </c>
    </row>
    <row r="899" ht="14.25" customHeight="1">
      <c r="A899" s="49"/>
      <c r="B899" s="49"/>
      <c r="C899" s="51"/>
      <c r="D899" s="51" t="s">
        <v>4495</v>
      </c>
    </row>
    <row r="900" ht="14.25" customHeight="1">
      <c r="A900" s="49"/>
      <c r="B900" s="49"/>
      <c r="C900" s="51"/>
      <c r="D900" s="51" t="s">
        <v>4495</v>
      </c>
    </row>
    <row r="901" ht="14.25" customHeight="1">
      <c r="A901" s="49"/>
      <c r="B901" s="49"/>
      <c r="C901" s="51"/>
      <c r="D901" s="51" t="s">
        <v>4495</v>
      </c>
    </row>
    <row r="902" ht="14.25" customHeight="1">
      <c r="A902" s="49"/>
      <c r="B902" s="49"/>
      <c r="C902" s="51"/>
      <c r="D902" s="51" t="s">
        <v>4495</v>
      </c>
    </row>
    <row r="903" ht="14.25" customHeight="1">
      <c r="A903" s="49"/>
      <c r="B903" s="49"/>
      <c r="C903" s="51"/>
      <c r="D903" s="51" t="s">
        <v>4495</v>
      </c>
    </row>
    <row r="904" ht="14.25" customHeight="1">
      <c r="A904" s="49"/>
      <c r="B904" s="49"/>
      <c r="C904" s="51"/>
      <c r="D904" s="51" t="s">
        <v>4495</v>
      </c>
    </row>
    <row r="905" ht="14.25" customHeight="1">
      <c r="A905" s="49"/>
      <c r="B905" s="49"/>
      <c r="C905" s="51"/>
      <c r="D905" s="51" t="s">
        <v>4495</v>
      </c>
    </row>
    <row r="906" ht="14.25" customHeight="1">
      <c r="A906" s="49"/>
      <c r="B906" s="49"/>
      <c r="C906" s="51"/>
      <c r="D906" s="51" t="s">
        <v>4495</v>
      </c>
    </row>
    <row r="907" ht="14.25" customHeight="1">
      <c r="A907" s="49"/>
      <c r="B907" s="49"/>
      <c r="C907" s="51"/>
      <c r="D907" s="51" t="s">
        <v>4495</v>
      </c>
    </row>
    <row r="908" ht="14.25" customHeight="1">
      <c r="A908" s="49"/>
      <c r="B908" s="49"/>
      <c r="C908" s="51"/>
      <c r="D908" s="51" t="s">
        <v>4495</v>
      </c>
    </row>
    <row r="909" ht="14.25" customHeight="1">
      <c r="A909" s="49"/>
      <c r="B909" s="49"/>
      <c r="C909" s="51"/>
      <c r="D909" s="51" t="s">
        <v>4495</v>
      </c>
    </row>
    <row r="910" ht="14.25" customHeight="1">
      <c r="A910" s="49"/>
      <c r="B910" s="49"/>
      <c r="C910" s="51"/>
      <c r="D910" s="51" t="s">
        <v>4495</v>
      </c>
    </row>
    <row r="911" ht="14.25" customHeight="1">
      <c r="A911" s="49"/>
      <c r="B911" s="49"/>
      <c r="C911" s="51"/>
      <c r="D911" s="51" t="s">
        <v>4495</v>
      </c>
    </row>
    <row r="912" ht="14.25" customHeight="1">
      <c r="A912" s="49"/>
      <c r="B912" s="49"/>
      <c r="C912" s="51"/>
      <c r="D912" s="51" t="s">
        <v>4495</v>
      </c>
    </row>
    <row r="913" ht="14.25" customHeight="1">
      <c r="A913" s="49"/>
      <c r="B913" s="49"/>
      <c r="C913" s="51"/>
      <c r="D913" s="51" t="s">
        <v>4495</v>
      </c>
    </row>
    <row r="914" ht="14.25" customHeight="1">
      <c r="A914" s="49"/>
      <c r="B914" s="49"/>
      <c r="C914" s="51"/>
      <c r="D914" s="51" t="s">
        <v>4495</v>
      </c>
    </row>
    <row r="915" ht="14.25" customHeight="1">
      <c r="A915" s="49"/>
      <c r="B915" s="49"/>
      <c r="C915" s="51"/>
      <c r="D915" s="51" t="s">
        <v>4495</v>
      </c>
    </row>
    <row r="916" ht="14.25" customHeight="1">
      <c r="A916" s="49"/>
      <c r="B916" s="49"/>
      <c r="C916" s="51"/>
      <c r="D916" s="51" t="s">
        <v>4495</v>
      </c>
    </row>
    <row r="917" ht="14.25" customHeight="1">
      <c r="A917" s="49"/>
      <c r="B917" s="49"/>
      <c r="C917" s="51"/>
      <c r="D917" s="51" t="s">
        <v>4495</v>
      </c>
    </row>
    <row r="918" ht="14.25" customHeight="1">
      <c r="A918" s="49"/>
      <c r="B918" s="49"/>
      <c r="C918" s="51"/>
      <c r="D918" s="51" t="s">
        <v>4495</v>
      </c>
    </row>
    <row r="919" ht="14.25" customHeight="1">
      <c r="A919" s="49"/>
      <c r="B919" s="49"/>
      <c r="C919" s="51"/>
      <c r="D919" s="51" t="s">
        <v>4495</v>
      </c>
    </row>
    <row r="920" ht="14.25" customHeight="1">
      <c r="A920" s="49"/>
      <c r="B920" s="49"/>
      <c r="C920" s="51"/>
      <c r="D920" s="51" t="s">
        <v>4495</v>
      </c>
    </row>
    <row r="921" ht="14.25" customHeight="1">
      <c r="A921" s="49"/>
      <c r="B921" s="49"/>
      <c r="C921" s="51"/>
      <c r="D921" s="51" t="s">
        <v>4495</v>
      </c>
    </row>
    <row r="922" ht="14.25" customHeight="1">
      <c r="A922" s="49"/>
      <c r="B922" s="49"/>
      <c r="C922" s="51"/>
      <c r="D922" s="51" t="s">
        <v>4495</v>
      </c>
    </row>
    <row r="923" ht="14.25" customHeight="1">
      <c r="A923" s="49"/>
      <c r="B923" s="49"/>
      <c r="C923" s="51"/>
      <c r="D923" s="51" t="s">
        <v>4495</v>
      </c>
    </row>
    <row r="924" ht="14.25" customHeight="1">
      <c r="A924" s="49"/>
      <c r="B924" s="49"/>
      <c r="C924" s="51"/>
      <c r="D924" s="51" t="s">
        <v>4495</v>
      </c>
    </row>
    <row r="925" ht="14.25" customHeight="1">
      <c r="A925" s="49"/>
      <c r="B925" s="49"/>
      <c r="C925" s="51"/>
      <c r="D925" s="51" t="s">
        <v>4495</v>
      </c>
    </row>
    <row r="926" ht="14.25" customHeight="1">
      <c r="A926" s="49"/>
      <c r="B926" s="49"/>
      <c r="C926" s="51"/>
      <c r="D926" s="51" t="s">
        <v>4495</v>
      </c>
    </row>
    <row r="927" ht="14.25" customHeight="1">
      <c r="A927" s="49"/>
      <c r="B927" s="49"/>
      <c r="C927" s="51"/>
      <c r="D927" s="51" t="s">
        <v>4495</v>
      </c>
    </row>
    <row r="928" ht="14.25" customHeight="1">
      <c r="A928" s="49"/>
      <c r="B928" s="49"/>
      <c r="C928" s="51"/>
      <c r="D928" s="51" t="s">
        <v>4495</v>
      </c>
    </row>
    <row r="929" ht="14.25" customHeight="1">
      <c r="A929" s="49"/>
      <c r="B929" s="49"/>
      <c r="C929" s="51"/>
      <c r="D929" s="51" t="s">
        <v>4495</v>
      </c>
    </row>
    <row r="930" ht="14.25" customHeight="1">
      <c r="A930" s="49"/>
      <c r="B930" s="49"/>
      <c r="C930" s="51"/>
      <c r="D930" s="51" t="s">
        <v>4495</v>
      </c>
    </row>
    <row r="931" ht="14.25" customHeight="1">
      <c r="A931" s="49"/>
      <c r="B931" s="49"/>
      <c r="C931" s="51"/>
      <c r="D931" s="51" t="s">
        <v>4495</v>
      </c>
    </row>
    <row r="932" ht="14.25" customHeight="1">
      <c r="A932" s="49"/>
      <c r="B932" s="49"/>
      <c r="C932" s="51"/>
      <c r="D932" s="51" t="s">
        <v>4495</v>
      </c>
    </row>
    <row r="933" ht="14.25" customHeight="1">
      <c r="A933" s="49"/>
      <c r="B933" s="49"/>
      <c r="C933" s="51"/>
      <c r="D933" s="51" t="s">
        <v>4495</v>
      </c>
    </row>
    <row r="934" ht="14.25" customHeight="1">
      <c r="A934" s="49"/>
      <c r="B934" s="49"/>
      <c r="C934" s="51"/>
      <c r="D934" s="51" t="s">
        <v>4495</v>
      </c>
    </row>
    <row r="935" ht="14.25" customHeight="1">
      <c r="A935" s="49"/>
      <c r="B935" s="49"/>
      <c r="C935" s="51"/>
      <c r="D935" s="51" t="s">
        <v>4495</v>
      </c>
    </row>
    <row r="936" ht="14.25" customHeight="1">
      <c r="A936" s="49"/>
      <c r="B936" s="49"/>
      <c r="C936" s="51"/>
      <c r="D936" s="51" t="s">
        <v>4495</v>
      </c>
    </row>
    <row r="937" ht="14.25" customHeight="1">
      <c r="A937" s="49"/>
      <c r="B937" s="49"/>
      <c r="C937" s="51"/>
      <c r="D937" s="51" t="s">
        <v>4495</v>
      </c>
    </row>
    <row r="938" ht="14.25" customHeight="1">
      <c r="A938" s="49"/>
      <c r="B938" s="49"/>
      <c r="C938" s="51"/>
      <c r="D938" s="51" t="s">
        <v>4495</v>
      </c>
    </row>
    <row r="939" ht="14.25" customHeight="1">
      <c r="A939" s="49"/>
      <c r="B939" s="49"/>
      <c r="C939" s="51"/>
      <c r="D939" s="51" t="s">
        <v>4495</v>
      </c>
    </row>
    <row r="940" ht="14.25" customHeight="1">
      <c r="A940" s="49"/>
      <c r="B940" s="49"/>
      <c r="C940" s="51"/>
      <c r="D940" s="51" t="s">
        <v>4495</v>
      </c>
    </row>
    <row r="941" ht="14.25" customHeight="1">
      <c r="A941" s="49"/>
      <c r="B941" s="49"/>
      <c r="C941" s="51"/>
      <c r="D941" s="51" t="s">
        <v>4495</v>
      </c>
    </row>
    <row r="942" ht="14.25" customHeight="1">
      <c r="A942" s="49"/>
      <c r="B942" s="49"/>
      <c r="C942" s="51"/>
      <c r="D942" s="51" t="s">
        <v>4495</v>
      </c>
    </row>
    <row r="943" ht="14.25" customHeight="1">
      <c r="A943" s="49"/>
      <c r="B943" s="49"/>
      <c r="C943" s="51"/>
      <c r="D943" s="51" t="s">
        <v>4495</v>
      </c>
    </row>
    <row r="944" ht="14.25" customHeight="1">
      <c r="A944" s="49"/>
      <c r="B944" s="49"/>
      <c r="C944" s="51"/>
      <c r="D944" s="51" t="s">
        <v>4495</v>
      </c>
    </row>
    <row r="945" ht="14.25" customHeight="1">
      <c r="A945" s="49"/>
      <c r="B945" s="49"/>
      <c r="C945" s="51"/>
      <c r="D945" s="51" t="s">
        <v>4495</v>
      </c>
    </row>
    <row r="946" ht="14.25" customHeight="1">
      <c r="A946" s="49"/>
      <c r="B946" s="49"/>
      <c r="C946" s="51"/>
      <c r="D946" s="51" t="s">
        <v>4495</v>
      </c>
    </row>
    <row r="947" ht="14.25" customHeight="1">
      <c r="A947" s="49"/>
      <c r="B947" s="49"/>
      <c r="C947" s="51"/>
      <c r="D947" s="51" t="s">
        <v>4495</v>
      </c>
    </row>
    <row r="948" ht="14.25" customHeight="1">
      <c r="A948" s="49"/>
      <c r="B948" s="49"/>
      <c r="C948" s="51"/>
      <c r="D948" s="51" t="s">
        <v>4495</v>
      </c>
    </row>
    <row r="949" ht="14.25" customHeight="1">
      <c r="A949" s="49"/>
      <c r="B949" s="49"/>
      <c r="C949" s="51"/>
      <c r="D949" s="51" t="s">
        <v>4495</v>
      </c>
    </row>
    <row r="950" ht="14.25" customHeight="1">
      <c r="A950" s="49"/>
      <c r="B950" s="49"/>
      <c r="C950" s="51"/>
      <c r="D950" s="51" t="s">
        <v>4495</v>
      </c>
    </row>
    <row r="951" ht="14.25" customHeight="1">
      <c r="A951" s="49"/>
      <c r="B951" s="49"/>
      <c r="C951" s="51"/>
      <c r="D951" s="51" t="s">
        <v>4495</v>
      </c>
    </row>
    <row r="952" ht="14.25" customHeight="1">
      <c r="A952" s="49"/>
      <c r="B952" s="49"/>
      <c r="C952" s="51"/>
      <c r="D952" s="51" t="s">
        <v>4495</v>
      </c>
    </row>
    <row r="953" ht="14.25" customHeight="1">
      <c r="A953" s="49"/>
      <c r="B953" s="49"/>
      <c r="C953" s="51"/>
      <c r="D953" s="51" t="s">
        <v>4495</v>
      </c>
    </row>
    <row r="954" ht="14.25" customHeight="1">
      <c r="A954" s="49"/>
      <c r="B954" s="49"/>
      <c r="C954" s="51"/>
      <c r="D954" s="51" t="s">
        <v>4495</v>
      </c>
    </row>
    <row r="955" ht="14.25" customHeight="1">
      <c r="A955" s="49"/>
      <c r="B955" s="49"/>
      <c r="C955" s="51"/>
      <c r="D955" s="51" t="s">
        <v>4495</v>
      </c>
    </row>
    <row r="956" ht="14.25" customHeight="1">
      <c r="A956" s="49"/>
      <c r="B956" s="49"/>
      <c r="C956" s="51"/>
      <c r="D956" s="51" t="s">
        <v>4495</v>
      </c>
    </row>
    <row r="957" ht="14.25" customHeight="1">
      <c r="A957" s="49"/>
      <c r="B957" s="49"/>
      <c r="C957" s="51"/>
      <c r="D957" s="51" t="s">
        <v>4495</v>
      </c>
    </row>
    <row r="958" ht="14.25" customHeight="1">
      <c r="A958" s="49"/>
      <c r="B958" s="49"/>
      <c r="C958" s="51"/>
      <c r="D958" s="51" t="s">
        <v>4495</v>
      </c>
    </row>
    <row r="959" ht="14.25" customHeight="1">
      <c r="A959" s="49"/>
      <c r="B959" s="49"/>
      <c r="C959" s="51"/>
      <c r="D959" s="51" t="s">
        <v>4495</v>
      </c>
    </row>
    <row r="960" ht="14.25" customHeight="1">
      <c r="A960" s="49"/>
      <c r="B960" s="49"/>
      <c r="C960" s="51"/>
      <c r="D960" s="51" t="s">
        <v>4495</v>
      </c>
    </row>
    <row r="961" ht="14.25" customHeight="1">
      <c r="A961" s="49"/>
      <c r="B961" s="49"/>
      <c r="C961" s="51"/>
      <c r="D961" s="51" t="s">
        <v>4495</v>
      </c>
    </row>
    <row r="962" ht="14.25" customHeight="1">
      <c r="A962" s="49"/>
      <c r="B962" s="49"/>
      <c r="C962" s="51"/>
      <c r="D962" s="51" t="s">
        <v>4495</v>
      </c>
    </row>
    <row r="963" ht="14.25" customHeight="1">
      <c r="A963" s="49"/>
      <c r="B963" s="49"/>
      <c r="C963" s="51"/>
      <c r="D963" s="51" t="s">
        <v>4495</v>
      </c>
    </row>
    <row r="964" ht="14.25" customHeight="1">
      <c r="A964" s="49"/>
      <c r="B964" s="49"/>
      <c r="C964" s="51"/>
      <c r="D964" s="51" t="s">
        <v>4495</v>
      </c>
    </row>
    <row r="965" ht="14.25" customHeight="1">
      <c r="A965" s="49"/>
      <c r="B965" s="49"/>
      <c r="C965" s="51"/>
      <c r="D965" s="51" t="s">
        <v>4495</v>
      </c>
    </row>
    <row r="966" ht="14.25" customHeight="1">
      <c r="A966" s="49"/>
      <c r="B966" s="49"/>
      <c r="C966" s="51"/>
      <c r="D966" s="51" t="s">
        <v>4495</v>
      </c>
    </row>
    <row r="967" ht="14.25" customHeight="1">
      <c r="A967" s="49"/>
      <c r="B967" s="49"/>
      <c r="C967" s="51"/>
      <c r="D967" s="51" t="s">
        <v>4495</v>
      </c>
    </row>
    <row r="968" ht="14.25" customHeight="1">
      <c r="A968" s="49"/>
      <c r="B968" s="49"/>
      <c r="C968" s="51"/>
      <c r="D968" s="51" t="s">
        <v>4495</v>
      </c>
    </row>
    <row r="969" ht="14.25" customHeight="1">
      <c r="A969" s="49"/>
      <c r="B969" s="49"/>
      <c r="C969" s="51"/>
      <c r="D969" s="51" t="s">
        <v>4495</v>
      </c>
    </row>
    <row r="970" ht="14.25" customHeight="1">
      <c r="A970" s="49"/>
      <c r="B970" s="49"/>
      <c r="C970" s="51"/>
      <c r="D970" s="51" t="s">
        <v>4495</v>
      </c>
    </row>
    <row r="971" ht="14.25" customHeight="1">
      <c r="A971" s="49"/>
      <c r="B971" s="49"/>
      <c r="C971" s="51"/>
      <c r="D971" s="51" t="s">
        <v>4495</v>
      </c>
    </row>
    <row r="972" ht="14.25" customHeight="1">
      <c r="A972" s="49"/>
      <c r="B972" s="49"/>
      <c r="C972" s="51"/>
      <c r="D972" s="51" t="s">
        <v>4495</v>
      </c>
    </row>
    <row r="973" ht="14.25" customHeight="1">
      <c r="A973" s="49"/>
      <c r="B973" s="49"/>
      <c r="C973" s="51"/>
      <c r="D973" s="51" t="s">
        <v>4495</v>
      </c>
    </row>
    <row r="974" ht="14.25" customHeight="1">
      <c r="A974" s="49"/>
      <c r="B974" s="49"/>
      <c r="C974" s="51"/>
      <c r="D974" s="51" t="s">
        <v>4495</v>
      </c>
    </row>
    <row r="975" ht="14.25" customHeight="1">
      <c r="A975" s="49"/>
      <c r="B975" s="49"/>
      <c r="C975" s="51"/>
      <c r="D975" s="51" t="s">
        <v>4495</v>
      </c>
    </row>
    <row r="976" ht="14.25" customHeight="1">
      <c r="A976" s="49"/>
      <c r="B976" s="49"/>
      <c r="C976" s="51"/>
      <c r="D976" s="51" t="s">
        <v>4495</v>
      </c>
    </row>
    <row r="977" ht="14.25" customHeight="1">
      <c r="A977" s="49"/>
      <c r="B977" s="49"/>
      <c r="C977" s="51"/>
      <c r="D977" s="51" t="s">
        <v>4495</v>
      </c>
    </row>
    <row r="978" ht="14.25" customHeight="1">
      <c r="A978" s="49"/>
      <c r="B978" s="49"/>
      <c r="C978" s="51"/>
      <c r="D978" s="51" t="s">
        <v>4495</v>
      </c>
    </row>
    <row r="979" ht="14.25" customHeight="1">
      <c r="A979" s="49"/>
      <c r="B979" s="49"/>
      <c r="C979" s="51"/>
      <c r="D979" s="51" t="s">
        <v>4495</v>
      </c>
    </row>
    <row r="980" ht="14.25" customHeight="1">
      <c r="A980" s="49"/>
      <c r="B980" s="49"/>
      <c r="C980" s="51"/>
      <c r="D980" s="51" t="s">
        <v>4495</v>
      </c>
    </row>
    <row r="981" ht="14.25" customHeight="1">
      <c r="A981" s="49"/>
      <c r="B981" s="49"/>
      <c r="C981" s="51"/>
      <c r="D981" s="51" t="s">
        <v>4495</v>
      </c>
    </row>
    <row r="982" ht="14.25" customHeight="1">
      <c r="A982" s="49"/>
      <c r="B982" s="49"/>
      <c r="C982" s="51"/>
      <c r="D982" s="51" t="s">
        <v>4495</v>
      </c>
    </row>
    <row r="983" ht="14.25" customHeight="1">
      <c r="A983" s="49"/>
      <c r="B983" s="49"/>
      <c r="C983" s="51"/>
      <c r="D983" s="51" t="s">
        <v>4495</v>
      </c>
    </row>
    <row r="984" ht="14.25" customHeight="1">
      <c r="A984" s="49"/>
      <c r="B984" s="49"/>
      <c r="C984" s="51"/>
      <c r="D984" s="51" t="s">
        <v>4495</v>
      </c>
    </row>
    <row r="985" ht="14.25" customHeight="1">
      <c r="A985" s="49"/>
      <c r="B985" s="49"/>
      <c r="C985" s="51"/>
      <c r="D985" s="51" t="s">
        <v>4495</v>
      </c>
    </row>
    <row r="986" ht="14.25" customHeight="1">
      <c r="A986" s="49"/>
      <c r="B986" s="49"/>
      <c r="C986" s="51"/>
      <c r="D986" s="51" t="s">
        <v>4495</v>
      </c>
    </row>
    <row r="987" ht="14.25" customHeight="1">
      <c r="A987" s="49"/>
      <c r="B987" s="49"/>
      <c r="C987" s="51"/>
      <c r="D987" s="51" t="s">
        <v>4495</v>
      </c>
    </row>
    <row r="988" ht="14.25" customHeight="1">
      <c r="A988" s="49"/>
      <c r="B988" s="49"/>
      <c r="C988" s="51"/>
      <c r="D988" s="51" t="s">
        <v>4495</v>
      </c>
    </row>
    <row r="989" ht="14.25" customHeight="1">
      <c r="A989" s="49"/>
      <c r="B989" s="49"/>
      <c r="C989" s="51"/>
      <c r="D989" s="51" t="s">
        <v>4495</v>
      </c>
    </row>
    <row r="990" ht="14.25" customHeight="1">
      <c r="A990" s="49"/>
      <c r="B990" s="49"/>
      <c r="C990" s="51"/>
      <c r="D990" s="51" t="s">
        <v>4495</v>
      </c>
    </row>
    <row r="991" ht="14.25" customHeight="1">
      <c r="A991" s="49"/>
      <c r="B991" s="49"/>
      <c r="C991" s="51"/>
      <c r="D991" s="51" t="s">
        <v>4495</v>
      </c>
    </row>
    <row r="992" ht="14.25" customHeight="1">
      <c r="A992" s="49"/>
      <c r="B992" s="49"/>
      <c r="C992" s="51"/>
      <c r="D992" s="51" t="s">
        <v>4495</v>
      </c>
    </row>
    <row r="993" ht="14.25" customHeight="1">
      <c r="A993" s="49"/>
      <c r="B993" s="49"/>
      <c r="C993" s="51"/>
      <c r="D993" s="51" t="s">
        <v>4495</v>
      </c>
    </row>
    <row r="994" ht="14.25" customHeight="1">
      <c r="A994" s="49"/>
      <c r="B994" s="49"/>
      <c r="C994" s="51"/>
      <c r="D994" s="51" t="s">
        <v>4495</v>
      </c>
    </row>
    <row r="995" ht="14.25" customHeight="1">
      <c r="A995" s="49"/>
      <c r="B995" s="49"/>
      <c r="C995" s="51"/>
      <c r="D995" s="51" t="s">
        <v>4495</v>
      </c>
    </row>
    <row r="996" ht="14.25" customHeight="1">
      <c r="A996" s="49"/>
      <c r="B996" s="49"/>
      <c r="C996" s="51"/>
      <c r="D996" s="51" t="s">
        <v>4495</v>
      </c>
    </row>
    <row r="997" ht="14.25" customHeight="1">
      <c r="A997" s="49"/>
      <c r="B997" s="49"/>
      <c r="C997" s="51"/>
      <c r="D997" s="51" t="s">
        <v>4495</v>
      </c>
    </row>
    <row r="998" ht="14.25" customHeight="1">
      <c r="A998" s="49"/>
      <c r="B998" s="49"/>
      <c r="C998" s="51"/>
      <c r="D998" s="51" t="s">
        <v>4495</v>
      </c>
    </row>
    <row r="999" ht="14.25" customHeight="1">
      <c r="A999" s="49"/>
      <c r="B999" s="49"/>
      <c r="C999" s="51"/>
      <c r="D999" s="51" t="s">
        <v>4495</v>
      </c>
    </row>
    <row r="1000" ht="14.25" customHeight="1">
      <c r="A1000" s="49"/>
      <c r="B1000" s="49"/>
      <c r="C1000" s="51"/>
      <c r="D1000" s="51" t="s">
        <v>4495</v>
      </c>
    </row>
    <row r="1001" ht="14.25" customHeight="1">
      <c r="A1001" s="49"/>
      <c r="B1001" s="49"/>
      <c r="C1001" s="51"/>
      <c r="D1001" s="51" t="s">
        <v>4495</v>
      </c>
    </row>
    <row r="1002" ht="14.25" customHeight="1">
      <c r="A1002" s="49"/>
      <c r="B1002" s="49"/>
      <c r="C1002" s="51"/>
      <c r="D1002" s="51" t="s">
        <v>4495</v>
      </c>
    </row>
    <row r="1003" ht="14.25" customHeight="1">
      <c r="A1003" s="49"/>
      <c r="B1003" s="49"/>
      <c r="C1003" s="51"/>
      <c r="D1003" s="51" t="s">
        <v>4495</v>
      </c>
    </row>
    <row r="1004" ht="14.25" customHeight="1">
      <c r="A1004" s="49"/>
      <c r="B1004" s="49"/>
      <c r="C1004" s="51"/>
      <c r="D1004" s="51" t="s">
        <v>4495</v>
      </c>
    </row>
    <row r="1005" ht="14.25" customHeight="1">
      <c r="A1005" s="49"/>
      <c r="B1005" s="49"/>
      <c r="C1005" s="51"/>
      <c r="D1005" s="51" t="s">
        <v>4495</v>
      </c>
    </row>
    <row r="1006" ht="14.25" customHeight="1">
      <c r="A1006" s="49"/>
      <c r="B1006" s="49"/>
      <c r="C1006" s="51"/>
      <c r="D1006" s="51" t="s">
        <v>4495</v>
      </c>
    </row>
    <row r="1007" ht="14.25" customHeight="1">
      <c r="A1007" s="49"/>
      <c r="B1007" s="49"/>
      <c r="C1007" s="51"/>
      <c r="D1007" s="51" t="s">
        <v>4495</v>
      </c>
    </row>
    <row r="1008" ht="14.25" customHeight="1">
      <c r="A1008" s="49"/>
      <c r="B1008" s="49"/>
      <c r="C1008" s="51"/>
      <c r="D1008" s="51" t="s">
        <v>4495</v>
      </c>
    </row>
    <row r="1009" ht="14.25" customHeight="1">
      <c r="A1009" s="49"/>
      <c r="B1009" s="49"/>
      <c r="C1009" s="51"/>
      <c r="D1009" s="51" t="s">
        <v>4495</v>
      </c>
    </row>
    <row r="1010" ht="14.25" customHeight="1">
      <c r="A1010" s="49"/>
      <c r="B1010" s="49"/>
      <c r="C1010" s="51"/>
      <c r="D1010" s="51" t="s">
        <v>4495</v>
      </c>
    </row>
    <row r="1011" ht="14.25" customHeight="1">
      <c r="A1011" s="49"/>
      <c r="B1011" s="49"/>
      <c r="C1011" s="51"/>
      <c r="D1011" s="51" t="s">
        <v>4495</v>
      </c>
    </row>
    <row r="1012" ht="14.25" customHeight="1">
      <c r="A1012" s="49"/>
      <c r="B1012" s="49"/>
      <c r="C1012" s="51"/>
      <c r="D1012" s="51" t="s">
        <v>4495</v>
      </c>
    </row>
    <row r="1013" ht="14.25" customHeight="1">
      <c r="A1013" s="49"/>
      <c r="B1013" s="49"/>
      <c r="C1013" s="51"/>
      <c r="D1013" s="51" t="s">
        <v>4495</v>
      </c>
    </row>
    <row r="1014" ht="14.25" customHeight="1">
      <c r="A1014" s="49"/>
      <c r="B1014" s="49"/>
      <c r="C1014" s="51"/>
      <c r="D1014" s="51" t="s">
        <v>4495</v>
      </c>
    </row>
    <row r="1015" ht="14.25" customHeight="1">
      <c r="A1015" s="49"/>
      <c r="B1015" s="49"/>
      <c r="C1015" s="51"/>
      <c r="D1015" s="51" t="s">
        <v>4495</v>
      </c>
    </row>
    <row r="1016" ht="14.25" customHeight="1">
      <c r="A1016" s="49"/>
      <c r="B1016" s="49"/>
      <c r="C1016" s="51"/>
      <c r="D1016" s="51" t="s">
        <v>4495</v>
      </c>
    </row>
    <row r="1017" ht="14.25" customHeight="1">
      <c r="A1017" s="49"/>
      <c r="B1017" s="49"/>
      <c r="C1017" s="51"/>
      <c r="D1017" s="51" t="s">
        <v>4495</v>
      </c>
    </row>
    <row r="1018" ht="14.25" customHeight="1">
      <c r="A1018" s="49"/>
      <c r="B1018" s="49"/>
      <c r="C1018" s="51"/>
      <c r="D1018" s="51" t="s">
        <v>4495</v>
      </c>
    </row>
    <row r="1019" ht="14.25" customHeight="1">
      <c r="A1019" s="49"/>
      <c r="B1019" s="49"/>
      <c r="C1019" s="51"/>
      <c r="D1019" s="51" t="s">
        <v>4495</v>
      </c>
    </row>
    <row r="1020" ht="14.25" customHeight="1">
      <c r="A1020" s="49"/>
      <c r="B1020" s="49"/>
      <c r="C1020" s="51"/>
      <c r="D1020" s="51" t="s">
        <v>4495</v>
      </c>
    </row>
    <row r="1021" ht="14.25" customHeight="1">
      <c r="A1021" s="49"/>
      <c r="B1021" s="49"/>
      <c r="C1021" s="51"/>
      <c r="D1021" s="51" t="s">
        <v>4495</v>
      </c>
    </row>
    <row r="1022" ht="14.25" customHeight="1">
      <c r="A1022" s="49"/>
      <c r="B1022" s="49"/>
      <c r="C1022" s="51"/>
      <c r="D1022" s="51" t="s">
        <v>4495</v>
      </c>
    </row>
    <row r="1023" ht="14.25" customHeight="1">
      <c r="A1023" s="49"/>
      <c r="B1023" s="49"/>
      <c r="C1023" s="51"/>
      <c r="D1023" s="51" t="s">
        <v>4495</v>
      </c>
    </row>
    <row r="1024" ht="14.25" customHeight="1">
      <c r="A1024" s="49"/>
      <c r="B1024" s="49"/>
      <c r="C1024" s="51"/>
      <c r="D1024" s="51" t="s">
        <v>4495</v>
      </c>
    </row>
    <row r="1025" ht="14.25" customHeight="1">
      <c r="A1025" s="49"/>
      <c r="B1025" s="49"/>
      <c r="C1025" s="51"/>
      <c r="D1025" s="51" t="s">
        <v>4495</v>
      </c>
    </row>
    <row r="1026" ht="14.25" customHeight="1">
      <c r="A1026" s="49"/>
      <c r="B1026" s="49"/>
      <c r="C1026" s="51"/>
      <c r="D1026" s="51" t="s">
        <v>4495</v>
      </c>
    </row>
    <row r="1027" ht="14.25" customHeight="1">
      <c r="A1027" s="49"/>
      <c r="B1027" s="49"/>
      <c r="C1027" s="51"/>
      <c r="D1027" s="51" t="s">
        <v>4495</v>
      </c>
    </row>
    <row r="1028" ht="14.25" customHeight="1">
      <c r="A1028" s="49"/>
      <c r="B1028" s="49"/>
      <c r="C1028" s="51"/>
      <c r="D1028" s="51" t="s">
        <v>4495</v>
      </c>
    </row>
    <row r="1029" ht="14.25" customHeight="1">
      <c r="A1029" s="49"/>
      <c r="B1029" s="49"/>
      <c r="C1029" s="51"/>
      <c r="D1029" s="51" t="s">
        <v>4495</v>
      </c>
    </row>
    <row r="1030" ht="14.25" customHeight="1">
      <c r="A1030" s="49"/>
      <c r="B1030" s="49"/>
      <c r="C1030" s="51"/>
      <c r="D1030" s="51" t="s">
        <v>4495</v>
      </c>
    </row>
    <row r="1031" ht="14.25" customHeight="1">
      <c r="A1031" s="49"/>
      <c r="B1031" s="49"/>
      <c r="C1031" s="51"/>
      <c r="D1031" s="51" t="s">
        <v>4495</v>
      </c>
    </row>
    <row r="1032" ht="14.25" customHeight="1">
      <c r="A1032" s="49"/>
      <c r="B1032" s="49"/>
      <c r="C1032" s="51"/>
      <c r="D1032" s="51" t="s">
        <v>4495</v>
      </c>
    </row>
    <row r="1033" ht="14.25" customHeight="1">
      <c r="A1033" s="49"/>
      <c r="B1033" s="49"/>
      <c r="C1033" s="51"/>
      <c r="D1033" s="51" t="s">
        <v>4495</v>
      </c>
    </row>
    <row r="1034" ht="14.25" customHeight="1">
      <c r="A1034" s="49"/>
      <c r="B1034" s="49"/>
      <c r="C1034" s="51"/>
      <c r="D1034" s="51" t="s">
        <v>4495</v>
      </c>
    </row>
    <row r="1035" ht="14.25" customHeight="1">
      <c r="A1035" s="49"/>
      <c r="B1035" s="49"/>
      <c r="C1035" s="51"/>
      <c r="D1035" s="51" t="s">
        <v>4495</v>
      </c>
    </row>
    <row r="1036" ht="14.25" customHeight="1">
      <c r="A1036" s="49"/>
      <c r="B1036" s="49"/>
      <c r="C1036" s="51"/>
      <c r="D1036" s="51" t="s">
        <v>4495</v>
      </c>
    </row>
    <row r="1037" ht="14.25" customHeight="1">
      <c r="A1037" s="49"/>
      <c r="B1037" s="49"/>
      <c r="C1037" s="51"/>
      <c r="D1037" s="51" t="s">
        <v>4495</v>
      </c>
    </row>
    <row r="1038" ht="14.25" customHeight="1">
      <c r="A1038" s="49"/>
      <c r="B1038" s="49"/>
      <c r="C1038" s="51"/>
      <c r="D1038" s="51" t="s">
        <v>4495</v>
      </c>
    </row>
    <row r="1039" ht="14.25" customHeight="1">
      <c r="A1039" s="49"/>
      <c r="B1039" s="49"/>
      <c r="C1039" s="51"/>
      <c r="D1039" s="51" t="s">
        <v>4495</v>
      </c>
    </row>
    <row r="1040" ht="14.25" customHeight="1">
      <c r="A1040" s="49"/>
      <c r="B1040" s="49"/>
      <c r="C1040" s="51"/>
      <c r="D1040" s="51" t="s">
        <v>4495</v>
      </c>
    </row>
    <row r="1041" ht="14.25" customHeight="1">
      <c r="A1041" s="49"/>
      <c r="B1041" s="49"/>
      <c r="C1041" s="51"/>
      <c r="D1041" s="51" t="s">
        <v>4495</v>
      </c>
    </row>
    <row r="1042" ht="14.25" customHeight="1">
      <c r="A1042" s="49"/>
      <c r="B1042" s="49"/>
      <c r="C1042" s="51"/>
      <c r="D1042" s="51" t="s">
        <v>4495</v>
      </c>
    </row>
    <row r="1043" ht="14.25" customHeight="1">
      <c r="A1043" s="49"/>
      <c r="B1043" s="49"/>
      <c r="C1043" s="51"/>
      <c r="D1043" s="51" t="s">
        <v>4495</v>
      </c>
    </row>
    <row r="1044" ht="14.25" customHeight="1">
      <c r="A1044" s="49"/>
      <c r="B1044" s="49"/>
      <c r="C1044" s="51"/>
      <c r="D1044" s="51" t="s">
        <v>4495</v>
      </c>
    </row>
    <row r="1045" ht="14.25" customHeight="1">
      <c r="A1045" s="49"/>
      <c r="B1045" s="49"/>
      <c r="C1045" s="51"/>
      <c r="D1045" s="51" t="s">
        <v>4495</v>
      </c>
    </row>
    <row r="1046" ht="14.25" customHeight="1">
      <c r="A1046" s="49"/>
      <c r="B1046" s="49"/>
      <c r="C1046" s="51"/>
      <c r="D1046" s="51" t="s">
        <v>4495</v>
      </c>
    </row>
    <row r="1047" ht="14.25" customHeight="1">
      <c r="A1047" s="49"/>
      <c r="B1047" s="49"/>
      <c r="C1047" s="51"/>
      <c r="D1047" s="51" t="s">
        <v>4495</v>
      </c>
    </row>
    <row r="1048" ht="14.25" customHeight="1">
      <c r="A1048" s="49"/>
      <c r="B1048" s="49"/>
      <c r="C1048" s="51"/>
      <c r="D1048" s="51" t="s">
        <v>4495</v>
      </c>
    </row>
    <row r="1049" ht="14.25" customHeight="1">
      <c r="A1049" s="49"/>
      <c r="B1049" s="49"/>
      <c r="C1049" s="51"/>
      <c r="D1049" s="51" t="s">
        <v>4495</v>
      </c>
    </row>
    <row r="1050" ht="14.25" customHeight="1">
      <c r="A1050" s="49"/>
      <c r="B1050" s="49"/>
      <c r="C1050" s="51"/>
      <c r="D1050" s="51" t="s">
        <v>4495</v>
      </c>
    </row>
    <row r="1051" ht="14.25" customHeight="1">
      <c r="A1051" s="49"/>
      <c r="B1051" s="49"/>
      <c r="C1051" s="51"/>
      <c r="D1051" s="51" t="s">
        <v>4495</v>
      </c>
    </row>
    <row r="1052" ht="14.25" customHeight="1">
      <c r="A1052" s="49"/>
      <c r="B1052" s="49"/>
      <c r="C1052" s="51"/>
      <c r="D1052" s="51" t="s">
        <v>4495</v>
      </c>
    </row>
    <row r="1053" ht="14.25" customHeight="1">
      <c r="A1053" s="49"/>
      <c r="B1053" s="49"/>
      <c r="C1053" s="51"/>
      <c r="D1053" s="51" t="s">
        <v>4495</v>
      </c>
    </row>
    <row r="1054" ht="14.25" customHeight="1">
      <c r="A1054" s="49"/>
      <c r="B1054" s="49"/>
      <c r="C1054" s="51"/>
      <c r="D1054" s="51" t="s">
        <v>4495</v>
      </c>
    </row>
    <row r="1055" ht="14.25" customHeight="1">
      <c r="A1055" s="49"/>
      <c r="B1055" s="49"/>
      <c r="C1055" s="51"/>
      <c r="D1055" s="51" t="s">
        <v>4495</v>
      </c>
    </row>
    <row r="1056" ht="14.25" customHeight="1">
      <c r="A1056" s="49"/>
      <c r="B1056" s="49"/>
      <c r="C1056" s="51"/>
      <c r="D1056" s="51" t="s">
        <v>4495</v>
      </c>
    </row>
    <row r="1057" ht="14.25" customHeight="1">
      <c r="A1057" s="49"/>
      <c r="B1057" s="49"/>
      <c r="C1057" s="51"/>
      <c r="D1057" s="51" t="s">
        <v>4495</v>
      </c>
    </row>
    <row r="1058" ht="14.25" customHeight="1">
      <c r="A1058" s="49"/>
      <c r="B1058" s="49"/>
      <c r="C1058" s="51"/>
      <c r="D1058" s="51" t="s">
        <v>4495</v>
      </c>
    </row>
    <row r="1059" ht="14.25" customHeight="1">
      <c r="A1059" s="49"/>
      <c r="B1059" s="49"/>
      <c r="C1059" s="51"/>
      <c r="D1059" s="51" t="s">
        <v>4495</v>
      </c>
    </row>
    <row r="1060" ht="14.25" customHeight="1">
      <c r="A1060" s="49"/>
      <c r="B1060" s="49"/>
      <c r="C1060" s="51"/>
      <c r="D1060" s="51" t="s">
        <v>4495</v>
      </c>
    </row>
    <row r="1061" ht="14.25" customHeight="1">
      <c r="A1061" s="49"/>
      <c r="B1061" s="49"/>
      <c r="C1061" s="51"/>
      <c r="D1061" s="51" t="s">
        <v>4495</v>
      </c>
    </row>
    <row r="1062" ht="14.25" customHeight="1">
      <c r="A1062" s="49"/>
      <c r="B1062" s="49"/>
      <c r="C1062" s="51"/>
      <c r="D1062" s="51" t="s">
        <v>4495</v>
      </c>
    </row>
    <row r="1063" ht="14.25" customHeight="1">
      <c r="A1063" s="49"/>
      <c r="B1063" s="49"/>
      <c r="C1063" s="51"/>
      <c r="D1063" s="51" t="s">
        <v>4495</v>
      </c>
    </row>
    <row r="1064" ht="14.25" customHeight="1">
      <c r="A1064" s="49"/>
      <c r="B1064" s="49"/>
      <c r="C1064" s="51"/>
      <c r="D1064" s="51" t="s">
        <v>4495</v>
      </c>
    </row>
    <row r="1065" ht="14.25" customHeight="1">
      <c r="A1065" s="49"/>
      <c r="B1065" s="49"/>
      <c r="C1065" s="51"/>
      <c r="D1065" s="51" t="s">
        <v>4495</v>
      </c>
    </row>
    <row r="1066" ht="14.25" customHeight="1">
      <c r="A1066" s="49"/>
      <c r="B1066" s="49"/>
      <c r="C1066" s="51"/>
      <c r="D1066" s="51" t="s">
        <v>4495</v>
      </c>
    </row>
    <row r="1067" ht="14.25" customHeight="1">
      <c r="A1067" s="49"/>
      <c r="B1067" s="49"/>
      <c r="C1067" s="51"/>
      <c r="D1067" s="51" t="s">
        <v>4495</v>
      </c>
    </row>
    <row r="1068" ht="14.25" customHeight="1">
      <c r="A1068" s="49"/>
      <c r="B1068" s="49"/>
      <c r="C1068" s="51"/>
      <c r="D1068" s="51" t="s">
        <v>4495</v>
      </c>
    </row>
    <row r="1069" ht="14.25" customHeight="1">
      <c r="A1069" s="49"/>
      <c r="B1069" s="49"/>
      <c r="C1069" s="51"/>
      <c r="D1069" s="51" t="s">
        <v>4495</v>
      </c>
    </row>
    <row r="1070" ht="14.25" customHeight="1">
      <c r="A1070" s="49"/>
      <c r="B1070" s="49"/>
      <c r="C1070" s="51"/>
      <c r="D1070" s="51" t="s">
        <v>4495</v>
      </c>
    </row>
    <row r="1071" ht="14.25" customHeight="1">
      <c r="A1071" s="49"/>
      <c r="B1071" s="49"/>
      <c r="C1071" s="51"/>
      <c r="D1071" s="51" t="s">
        <v>4495</v>
      </c>
    </row>
    <row r="1072" ht="14.25" customHeight="1">
      <c r="A1072" s="49"/>
      <c r="B1072" s="49"/>
      <c r="C1072" s="51"/>
      <c r="D1072" s="51" t="s">
        <v>4495</v>
      </c>
    </row>
    <row r="1073" ht="14.25" customHeight="1">
      <c r="A1073" s="49"/>
      <c r="B1073" s="49"/>
      <c r="C1073" s="51"/>
      <c r="D1073" s="51" t="s">
        <v>4495</v>
      </c>
    </row>
    <row r="1074" ht="14.25" customHeight="1">
      <c r="A1074" s="49"/>
      <c r="B1074" s="49"/>
      <c r="C1074" s="51"/>
      <c r="D1074" s="51" t="s">
        <v>4495</v>
      </c>
    </row>
    <row r="1075" ht="14.25" customHeight="1">
      <c r="A1075" s="49"/>
      <c r="B1075" s="49"/>
      <c r="C1075" s="51"/>
      <c r="D1075" s="51" t="s">
        <v>4495</v>
      </c>
    </row>
    <row r="1076" ht="14.25" customHeight="1">
      <c r="A1076" s="49"/>
      <c r="B1076" s="49"/>
      <c r="C1076" s="51"/>
      <c r="D1076" s="51" t="s">
        <v>4495</v>
      </c>
    </row>
    <row r="1077" ht="14.25" customHeight="1">
      <c r="A1077" s="49"/>
      <c r="B1077" s="49"/>
      <c r="C1077" s="51"/>
      <c r="D1077" s="51" t="s">
        <v>4495</v>
      </c>
    </row>
    <row r="1078" ht="14.25" customHeight="1">
      <c r="A1078" s="49"/>
      <c r="B1078" s="49"/>
      <c r="C1078" s="51"/>
      <c r="D1078" s="51" t="s">
        <v>4495</v>
      </c>
    </row>
    <row r="1079" ht="14.25" customHeight="1">
      <c r="A1079" s="49"/>
      <c r="B1079" s="49"/>
      <c r="C1079" s="51"/>
      <c r="D1079" s="51" t="s">
        <v>4495</v>
      </c>
    </row>
    <row r="1080" ht="14.25" customHeight="1">
      <c r="A1080" s="49"/>
      <c r="B1080" s="49"/>
      <c r="C1080" s="51"/>
      <c r="D1080" s="51" t="s">
        <v>4495</v>
      </c>
    </row>
    <row r="1081" ht="14.25" customHeight="1">
      <c r="A1081" s="49"/>
      <c r="B1081" s="49"/>
      <c r="C1081" s="51"/>
      <c r="D1081" s="51" t="s">
        <v>4495</v>
      </c>
    </row>
    <row r="1082" ht="14.25" customHeight="1">
      <c r="A1082" s="49"/>
      <c r="B1082" s="49"/>
      <c r="C1082" s="51"/>
      <c r="D1082" s="51" t="s">
        <v>4495</v>
      </c>
    </row>
    <row r="1083" ht="14.25" customHeight="1">
      <c r="A1083" s="49"/>
      <c r="B1083" s="49"/>
      <c r="C1083" s="51"/>
      <c r="D1083" s="51" t="s">
        <v>4495</v>
      </c>
    </row>
    <row r="1084" ht="14.25" customHeight="1">
      <c r="A1084" s="49"/>
      <c r="B1084" s="49"/>
      <c r="C1084" s="51"/>
      <c r="D1084" s="51" t="s">
        <v>4495</v>
      </c>
    </row>
    <row r="1085" ht="14.25" customHeight="1">
      <c r="A1085" s="49"/>
      <c r="B1085" s="49"/>
      <c r="C1085" s="51"/>
      <c r="D1085" s="51" t="s">
        <v>4495</v>
      </c>
    </row>
    <row r="1086" ht="14.25" customHeight="1">
      <c r="A1086" s="49"/>
      <c r="B1086" s="49"/>
      <c r="C1086" s="51"/>
      <c r="D1086" s="51" t="s">
        <v>4495</v>
      </c>
    </row>
    <row r="1087" ht="14.25" customHeight="1">
      <c r="A1087" s="49"/>
      <c r="B1087" s="49"/>
      <c r="C1087" s="51"/>
      <c r="D1087" s="51" t="s">
        <v>4495</v>
      </c>
    </row>
    <row r="1088" ht="14.25" customHeight="1">
      <c r="A1088" s="49"/>
      <c r="B1088" s="49"/>
      <c r="C1088" s="51"/>
      <c r="D1088" s="51" t="s">
        <v>4495</v>
      </c>
    </row>
    <row r="1089" ht="14.25" customHeight="1">
      <c r="A1089" s="49"/>
      <c r="B1089" s="49"/>
      <c r="C1089" s="51"/>
      <c r="D1089" s="51" t="s">
        <v>4495</v>
      </c>
    </row>
    <row r="1090" ht="14.25" customHeight="1">
      <c r="A1090" s="49"/>
      <c r="B1090" s="49"/>
      <c r="C1090" s="51"/>
      <c r="D1090" s="51" t="s">
        <v>4495</v>
      </c>
    </row>
    <row r="1091" ht="14.25" customHeight="1">
      <c r="A1091" s="49"/>
      <c r="B1091" s="49"/>
      <c r="C1091" s="51"/>
      <c r="D1091" s="51" t="s">
        <v>4495</v>
      </c>
    </row>
    <row r="1092" ht="14.25" customHeight="1">
      <c r="A1092" s="49"/>
      <c r="B1092" s="49"/>
      <c r="C1092" s="51"/>
      <c r="D1092" s="51" t="s">
        <v>4495</v>
      </c>
    </row>
    <row r="1093" ht="14.25" customHeight="1">
      <c r="A1093" s="49"/>
      <c r="B1093" s="49"/>
      <c r="C1093" s="51"/>
      <c r="D1093" s="51" t="s">
        <v>4495</v>
      </c>
    </row>
    <row r="1094" ht="14.25" customHeight="1">
      <c r="A1094" s="49"/>
      <c r="B1094" s="49"/>
      <c r="C1094" s="51"/>
      <c r="D1094" s="51" t="s">
        <v>4495</v>
      </c>
    </row>
    <row r="1095" ht="14.25" customHeight="1">
      <c r="A1095" s="49"/>
      <c r="B1095" s="49"/>
      <c r="C1095" s="51"/>
      <c r="D1095" s="51" t="s">
        <v>4495</v>
      </c>
    </row>
    <row r="1096" ht="14.25" customHeight="1">
      <c r="A1096" s="49"/>
      <c r="B1096" s="49"/>
      <c r="C1096" s="51"/>
      <c r="D1096" s="51" t="s">
        <v>4495</v>
      </c>
    </row>
    <row r="1097" ht="14.25" customHeight="1">
      <c r="A1097" s="49"/>
      <c r="B1097" s="49"/>
      <c r="C1097" s="51"/>
      <c r="D1097" s="51" t="s">
        <v>4495</v>
      </c>
    </row>
    <row r="1098" ht="14.25" customHeight="1">
      <c r="A1098" s="49"/>
      <c r="B1098" s="49"/>
      <c r="C1098" s="51"/>
      <c r="D1098" s="51" t="s">
        <v>4495</v>
      </c>
    </row>
    <row r="1099" ht="14.25" customHeight="1">
      <c r="A1099" s="49"/>
      <c r="B1099" s="49"/>
      <c r="C1099" s="51"/>
      <c r="D1099" s="51" t="s">
        <v>4495</v>
      </c>
    </row>
    <row r="1100" ht="14.25" customHeight="1">
      <c r="A1100" s="49"/>
      <c r="B1100" s="49"/>
      <c r="C1100" s="51"/>
      <c r="D1100" s="51" t="s">
        <v>4495</v>
      </c>
    </row>
    <row r="1101" ht="14.25" customHeight="1">
      <c r="A1101" s="49"/>
      <c r="B1101" s="49"/>
      <c r="C1101" s="51"/>
      <c r="D1101" s="51" t="s">
        <v>4495</v>
      </c>
    </row>
    <row r="1102" ht="14.25" customHeight="1">
      <c r="A1102" s="49"/>
      <c r="B1102" s="49"/>
      <c r="C1102" s="51"/>
      <c r="D1102" s="51" t="s">
        <v>4495</v>
      </c>
    </row>
    <row r="1103" ht="14.25" customHeight="1">
      <c r="A1103" s="49"/>
      <c r="B1103" s="49"/>
      <c r="C1103" s="51"/>
      <c r="D1103" s="51" t="s">
        <v>4495</v>
      </c>
    </row>
    <row r="1104" ht="14.25" customHeight="1">
      <c r="A1104" s="49"/>
      <c r="B1104" s="49"/>
      <c r="C1104" s="51"/>
      <c r="D1104" s="51" t="s">
        <v>4495</v>
      </c>
    </row>
    <row r="1105" ht="14.25" customHeight="1">
      <c r="A1105" s="49"/>
      <c r="B1105" s="49"/>
      <c r="C1105" s="51"/>
      <c r="D1105" s="51" t="s">
        <v>4495</v>
      </c>
    </row>
    <row r="1106" ht="14.25" customHeight="1">
      <c r="A1106" s="49"/>
      <c r="B1106" s="49"/>
      <c r="C1106" s="51"/>
      <c r="D1106" s="51" t="s">
        <v>4495</v>
      </c>
    </row>
    <row r="1107" ht="14.25" customHeight="1">
      <c r="A1107" s="49"/>
      <c r="B1107" s="49"/>
      <c r="C1107" s="51"/>
      <c r="D1107" s="51" t="s">
        <v>4495</v>
      </c>
    </row>
    <row r="1108" ht="14.25" customHeight="1">
      <c r="A1108" s="49"/>
      <c r="B1108" s="49"/>
      <c r="C1108" s="51"/>
      <c r="D1108" s="51" t="s">
        <v>4495</v>
      </c>
    </row>
    <row r="1109" ht="14.25" customHeight="1">
      <c r="A1109" s="49"/>
      <c r="B1109" s="49"/>
      <c r="C1109" s="51"/>
      <c r="D1109" s="51" t="s">
        <v>4495</v>
      </c>
    </row>
    <row r="1110" ht="14.25" customHeight="1">
      <c r="A1110" s="49"/>
      <c r="B1110" s="49"/>
      <c r="C1110" s="51"/>
      <c r="D1110" s="51" t="s">
        <v>4495</v>
      </c>
    </row>
    <row r="1111" ht="14.25" customHeight="1">
      <c r="A1111" s="49"/>
      <c r="B1111" s="49"/>
      <c r="C1111" s="51"/>
      <c r="D1111" s="51" t="s">
        <v>4495</v>
      </c>
    </row>
    <row r="1112" ht="14.25" customHeight="1">
      <c r="A1112" s="49"/>
      <c r="B1112" s="49"/>
      <c r="C1112" s="51"/>
      <c r="D1112" s="51" t="s">
        <v>4495</v>
      </c>
    </row>
    <row r="1113" ht="14.25" customHeight="1">
      <c r="A1113" s="49"/>
      <c r="B1113" s="49"/>
      <c r="C1113" s="51"/>
      <c r="D1113" s="51" t="s">
        <v>4495</v>
      </c>
    </row>
    <row r="1114" ht="14.25" customHeight="1">
      <c r="A1114" s="49"/>
      <c r="B1114" s="49"/>
      <c r="C1114" s="51"/>
      <c r="D1114" s="51" t="s">
        <v>4495</v>
      </c>
    </row>
    <row r="1115" ht="14.25" customHeight="1">
      <c r="A1115" s="49"/>
      <c r="B1115" s="49"/>
      <c r="C1115" s="51"/>
      <c r="D1115" s="51" t="s">
        <v>4495</v>
      </c>
    </row>
    <row r="1116" ht="14.25" customHeight="1">
      <c r="A1116" s="49"/>
      <c r="B1116" s="49"/>
      <c r="C1116" s="51"/>
      <c r="D1116" s="51" t="s">
        <v>4495</v>
      </c>
    </row>
    <row r="1117" ht="14.25" customHeight="1">
      <c r="A1117" s="49"/>
      <c r="B1117" s="49"/>
      <c r="C1117" s="51"/>
      <c r="D1117" s="51" t="s">
        <v>4495</v>
      </c>
    </row>
    <row r="1118" ht="14.25" customHeight="1">
      <c r="A1118" s="49"/>
      <c r="B1118" s="49"/>
      <c r="C1118" s="51"/>
      <c r="D1118" s="51" t="s">
        <v>4495</v>
      </c>
    </row>
    <row r="1119" ht="14.25" customHeight="1">
      <c r="A1119" s="49"/>
      <c r="B1119" s="49"/>
      <c r="C1119" s="51"/>
      <c r="D1119" s="51" t="s">
        <v>4495</v>
      </c>
    </row>
    <row r="1120" ht="14.25" customHeight="1">
      <c r="A1120" s="49"/>
      <c r="B1120" s="49"/>
      <c r="C1120" s="51"/>
      <c r="D1120" s="51" t="s">
        <v>4495</v>
      </c>
    </row>
    <row r="1121" ht="14.25" customHeight="1">
      <c r="A1121" s="49"/>
      <c r="B1121" s="49"/>
      <c r="C1121" s="51"/>
      <c r="D1121" s="51" t="s">
        <v>4495</v>
      </c>
    </row>
    <row r="1122" ht="14.25" customHeight="1">
      <c r="A1122" s="49"/>
      <c r="B1122" s="49"/>
      <c r="C1122" s="51"/>
      <c r="D1122" s="51" t="s">
        <v>4495</v>
      </c>
    </row>
    <row r="1123" ht="14.25" customHeight="1">
      <c r="A1123" s="49"/>
      <c r="B1123" s="49"/>
      <c r="C1123" s="51"/>
      <c r="D1123" s="51" t="s">
        <v>4495</v>
      </c>
    </row>
    <row r="1124" ht="14.25" customHeight="1">
      <c r="A1124" s="49"/>
      <c r="B1124" s="49"/>
      <c r="C1124" s="51"/>
      <c r="D1124" s="51" t="s">
        <v>4495</v>
      </c>
    </row>
    <row r="1125" ht="14.25" customHeight="1">
      <c r="A1125" s="49"/>
      <c r="B1125" s="49"/>
      <c r="C1125" s="51"/>
      <c r="D1125" s="51" t="s">
        <v>4495</v>
      </c>
    </row>
    <row r="1126" ht="14.25" customHeight="1">
      <c r="A1126" s="49"/>
      <c r="B1126" s="49"/>
      <c r="C1126" s="51"/>
      <c r="D1126" s="51" t="s">
        <v>4495</v>
      </c>
    </row>
    <row r="1127" ht="14.25" customHeight="1">
      <c r="A1127" s="49"/>
      <c r="B1127" s="49"/>
      <c r="C1127" s="51"/>
      <c r="D1127" s="51" t="s">
        <v>4495</v>
      </c>
    </row>
    <row r="1128" ht="14.25" customHeight="1">
      <c r="A1128" s="49"/>
      <c r="B1128" s="49"/>
      <c r="C1128" s="51"/>
      <c r="D1128" s="51" t="s">
        <v>4495</v>
      </c>
    </row>
    <row r="1129" ht="14.25" customHeight="1">
      <c r="A1129" s="49"/>
      <c r="B1129" s="49"/>
      <c r="C1129" s="51"/>
      <c r="D1129" s="51" t="s">
        <v>4495</v>
      </c>
    </row>
    <row r="1130" ht="14.25" customHeight="1">
      <c r="A1130" s="49"/>
      <c r="B1130" s="49"/>
      <c r="C1130" s="51"/>
      <c r="D1130" s="51" t="s">
        <v>4495</v>
      </c>
    </row>
    <row r="1131" ht="14.25" customHeight="1">
      <c r="A1131" s="49"/>
      <c r="B1131" s="49"/>
      <c r="C1131" s="51"/>
      <c r="D1131" s="51" t="s">
        <v>4495</v>
      </c>
    </row>
    <row r="1132" ht="14.25" customHeight="1">
      <c r="A1132" s="49"/>
      <c r="B1132" s="49"/>
      <c r="C1132" s="51"/>
      <c r="D1132" s="51" t="s">
        <v>4495</v>
      </c>
    </row>
    <row r="1133" ht="14.25" customHeight="1">
      <c r="A1133" s="49"/>
      <c r="B1133" s="49"/>
      <c r="C1133" s="51"/>
      <c r="D1133" s="51" t="s">
        <v>4495</v>
      </c>
    </row>
    <row r="1134" ht="14.25" customHeight="1">
      <c r="A1134" s="49"/>
      <c r="B1134" s="49"/>
      <c r="C1134" s="51"/>
      <c r="D1134" s="51" t="s">
        <v>4495</v>
      </c>
    </row>
    <row r="1135" ht="14.25" customHeight="1">
      <c r="A1135" s="49"/>
      <c r="B1135" s="49"/>
      <c r="C1135" s="51"/>
      <c r="D1135" s="51" t="s">
        <v>4495</v>
      </c>
    </row>
    <row r="1136" ht="14.25" customHeight="1">
      <c r="A1136" s="49"/>
      <c r="B1136" s="49"/>
      <c r="C1136" s="51"/>
      <c r="D1136" s="51" t="s">
        <v>4495</v>
      </c>
    </row>
    <row r="1137" ht="14.25" customHeight="1">
      <c r="A1137" s="49"/>
      <c r="B1137" s="49"/>
      <c r="C1137" s="51"/>
      <c r="D1137" s="51" t="s">
        <v>4495</v>
      </c>
    </row>
    <row r="1138" ht="14.25" customHeight="1">
      <c r="A1138" s="49"/>
      <c r="B1138" s="49"/>
      <c r="C1138" s="51"/>
      <c r="D1138" s="51" t="s">
        <v>4495</v>
      </c>
    </row>
    <row r="1139" ht="14.25" customHeight="1">
      <c r="A1139" s="49"/>
      <c r="B1139" s="49"/>
      <c r="C1139" s="51"/>
      <c r="D1139" s="51" t="s">
        <v>4495</v>
      </c>
    </row>
    <row r="1140" ht="14.25" customHeight="1">
      <c r="A1140" s="49"/>
      <c r="B1140" s="49"/>
      <c r="C1140" s="51"/>
      <c r="D1140" s="51" t="s">
        <v>4495</v>
      </c>
    </row>
    <row r="1141" ht="14.25" customHeight="1">
      <c r="A1141" s="49"/>
      <c r="B1141" s="49"/>
      <c r="C1141" s="51"/>
      <c r="D1141" s="51" t="s">
        <v>4495</v>
      </c>
    </row>
    <row r="1142" ht="14.25" customHeight="1">
      <c r="A1142" s="49"/>
      <c r="B1142" s="49"/>
      <c r="C1142" s="51"/>
      <c r="D1142" s="51" t="s">
        <v>4495</v>
      </c>
    </row>
    <row r="1143" ht="14.25" customHeight="1">
      <c r="A1143" s="49"/>
      <c r="B1143" s="49"/>
      <c r="C1143" s="51"/>
      <c r="D1143" s="51" t="s">
        <v>4495</v>
      </c>
    </row>
    <row r="1144" ht="14.25" customHeight="1">
      <c r="A1144" s="49"/>
      <c r="B1144" s="49"/>
      <c r="C1144" s="51"/>
      <c r="D1144" s="51" t="s">
        <v>4495</v>
      </c>
    </row>
    <row r="1145" ht="14.25" customHeight="1">
      <c r="A1145" s="49"/>
      <c r="B1145" s="49"/>
      <c r="C1145" s="51"/>
      <c r="D1145" s="51" t="s">
        <v>4495</v>
      </c>
    </row>
    <row r="1146" ht="14.25" customHeight="1">
      <c r="A1146" s="49"/>
      <c r="B1146" s="49"/>
      <c r="C1146" s="51"/>
      <c r="D1146" s="51" t="s">
        <v>4495</v>
      </c>
    </row>
    <row r="1147" ht="14.25" customHeight="1">
      <c r="A1147" s="49"/>
      <c r="B1147" s="49"/>
      <c r="C1147" s="51"/>
      <c r="D1147" s="51" t="s">
        <v>4495</v>
      </c>
    </row>
    <row r="1148" ht="14.25" customHeight="1">
      <c r="A1148" s="49"/>
      <c r="B1148" s="49"/>
      <c r="C1148" s="51"/>
      <c r="D1148" s="51" t="s">
        <v>4495</v>
      </c>
    </row>
    <row r="1149" ht="14.25" customHeight="1">
      <c r="A1149" s="49"/>
      <c r="B1149" s="49"/>
      <c r="C1149" s="51"/>
      <c r="D1149" s="51" t="s">
        <v>4495</v>
      </c>
    </row>
    <row r="1150" ht="14.25" customHeight="1">
      <c r="A1150" s="49"/>
      <c r="B1150" s="49"/>
      <c r="C1150" s="51"/>
      <c r="D1150" s="51" t="s">
        <v>4495</v>
      </c>
    </row>
    <row r="1151" ht="14.25" customHeight="1">
      <c r="A1151" s="49"/>
      <c r="B1151" s="49"/>
      <c r="C1151" s="51"/>
      <c r="D1151" s="51" t="s">
        <v>4495</v>
      </c>
    </row>
    <row r="1152" ht="14.25" customHeight="1">
      <c r="A1152" s="49"/>
      <c r="B1152" s="49"/>
      <c r="C1152" s="51"/>
      <c r="D1152" s="51" t="s">
        <v>4495</v>
      </c>
    </row>
    <row r="1153" ht="14.25" customHeight="1">
      <c r="A1153" s="49"/>
      <c r="B1153" s="49"/>
      <c r="C1153" s="51"/>
      <c r="D1153" s="51" t="s">
        <v>4495</v>
      </c>
    </row>
    <row r="1154" ht="14.25" customHeight="1">
      <c r="A1154" s="49"/>
      <c r="B1154" s="49"/>
      <c r="C1154" s="51"/>
      <c r="D1154" s="51" t="s">
        <v>4495</v>
      </c>
    </row>
    <row r="1155" ht="14.25" customHeight="1">
      <c r="A1155" s="49"/>
      <c r="B1155" s="49"/>
      <c r="C1155" s="51"/>
      <c r="D1155" s="51" t="s">
        <v>4495</v>
      </c>
    </row>
    <row r="1156" ht="14.25" customHeight="1">
      <c r="A1156" s="49"/>
      <c r="B1156" s="49"/>
      <c r="C1156" s="51"/>
      <c r="D1156" s="51" t="s">
        <v>4495</v>
      </c>
    </row>
    <row r="1157" ht="14.25" customHeight="1">
      <c r="A1157" s="49"/>
      <c r="B1157" s="49"/>
      <c r="C1157" s="51"/>
      <c r="D1157" s="51" t="s">
        <v>4495</v>
      </c>
    </row>
    <row r="1158" ht="14.25" customHeight="1">
      <c r="A1158" s="49"/>
      <c r="B1158" s="49"/>
      <c r="C1158" s="51"/>
      <c r="D1158" s="51" t="s">
        <v>4495</v>
      </c>
    </row>
    <row r="1159" ht="14.25" customHeight="1">
      <c r="A1159" s="49"/>
      <c r="B1159" s="49"/>
      <c r="C1159" s="51"/>
      <c r="D1159" s="51" t="s">
        <v>4495</v>
      </c>
    </row>
    <row r="1160" ht="14.25" customHeight="1">
      <c r="A1160" s="49"/>
      <c r="B1160" s="49"/>
      <c r="C1160" s="51"/>
      <c r="D1160" s="51" t="s">
        <v>4495</v>
      </c>
    </row>
    <row r="1161" ht="14.25" customHeight="1">
      <c r="A1161" s="49"/>
      <c r="B1161" s="49"/>
      <c r="C1161" s="51"/>
      <c r="D1161" s="51" t="s">
        <v>4495</v>
      </c>
    </row>
    <row r="1162" ht="14.25" customHeight="1">
      <c r="A1162" s="49"/>
      <c r="B1162" s="49"/>
      <c r="C1162" s="51"/>
      <c r="D1162" s="51" t="s">
        <v>4495</v>
      </c>
    </row>
    <row r="1163" ht="14.25" customHeight="1">
      <c r="A1163" s="49"/>
      <c r="B1163" s="49"/>
      <c r="C1163" s="51"/>
      <c r="D1163" s="51" t="s">
        <v>4495</v>
      </c>
    </row>
    <row r="1164" ht="14.25" customHeight="1">
      <c r="A1164" s="49"/>
      <c r="B1164" s="49"/>
      <c r="C1164" s="51"/>
      <c r="D1164" s="51" t="s">
        <v>4495</v>
      </c>
    </row>
    <row r="1165" ht="14.25" customHeight="1">
      <c r="A1165" s="49"/>
      <c r="B1165" s="49"/>
      <c r="C1165" s="51"/>
      <c r="D1165" s="51" t="s">
        <v>4495</v>
      </c>
    </row>
    <row r="1166" ht="14.25" customHeight="1">
      <c r="A1166" s="49"/>
      <c r="B1166" s="49"/>
      <c r="C1166" s="51"/>
      <c r="D1166" s="51" t="s">
        <v>4495</v>
      </c>
    </row>
    <row r="1167" ht="14.25" customHeight="1">
      <c r="A1167" s="49"/>
      <c r="B1167" s="49"/>
      <c r="C1167" s="51"/>
      <c r="D1167" s="51" t="s">
        <v>4495</v>
      </c>
    </row>
    <row r="1168" ht="14.25" customHeight="1">
      <c r="A1168" s="49"/>
      <c r="B1168" s="49"/>
      <c r="C1168" s="51"/>
      <c r="D1168" s="51" t="s">
        <v>4495</v>
      </c>
    </row>
    <row r="1169" ht="14.25" customHeight="1">
      <c r="A1169" s="49"/>
      <c r="B1169" s="49"/>
      <c r="C1169" s="51"/>
      <c r="D1169" s="51" t="s">
        <v>4495</v>
      </c>
    </row>
    <row r="1170" ht="14.25" customHeight="1">
      <c r="A1170" s="49"/>
      <c r="B1170" s="49"/>
      <c r="C1170" s="51"/>
      <c r="D1170" s="51" t="s">
        <v>4495</v>
      </c>
    </row>
    <row r="1171" ht="14.25" customHeight="1">
      <c r="A1171" s="49"/>
      <c r="B1171" s="49"/>
      <c r="C1171" s="51"/>
      <c r="D1171" s="51" t="s">
        <v>4495</v>
      </c>
    </row>
    <row r="1172" ht="14.25" customHeight="1">
      <c r="A1172" s="49"/>
      <c r="B1172" s="49"/>
      <c r="C1172" s="51"/>
      <c r="D1172" s="51" t="s">
        <v>4495</v>
      </c>
    </row>
    <row r="1173" ht="14.25" customHeight="1">
      <c r="A1173" s="49"/>
      <c r="B1173" s="49"/>
      <c r="C1173" s="51"/>
      <c r="D1173" s="51" t="s">
        <v>4495</v>
      </c>
    </row>
    <row r="1174" ht="14.25" customHeight="1">
      <c r="A1174" s="49"/>
      <c r="B1174" s="49"/>
      <c r="C1174" s="51"/>
      <c r="D1174" s="51" t="s">
        <v>4495</v>
      </c>
    </row>
    <row r="1175" ht="14.25" customHeight="1">
      <c r="A1175" s="49"/>
      <c r="B1175" s="49"/>
      <c r="C1175" s="51"/>
      <c r="D1175" s="51" t="s">
        <v>4495</v>
      </c>
    </row>
    <row r="1176" ht="14.25" customHeight="1">
      <c r="A1176" s="49"/>
      <c r="B1176" s="49"/>
      <c r="C1176" s="51"/>
      <c r="D1176" s="51" t="s">
        <v>4495</v>
      </c>
    </row>
    <row r="1177" ht="14.25" customHeight="1">
      <c r="A1177" s="49"/>
      <c r="B1177" s="49"/>
      <c r="C1177" s="51"/>
      <c r="D1177" s="51" t="s">
        <v>4495</v>
      </c>
    </row>
    <row r="1178" ht="14.25" customHeight="1">
      <c r="A1178" s="49"/>
      <c r="B1178" s="49"/>
      <c r="C1178" s="51"/>
      <c r="D1178" s="51" t="s">
        <v>4495</v>
      </c>
    </row>
    <row r="1179" ht="14.25" customHeight="1">
      <c r="A1179" s="49"/>
      <c r="B1179" s="49"/>
      <c r="C1179" s="51"/>
      <c r="D1179" s="51" t="s">
        <v>4495</v>
      </c>
    </row>
    <row r="1180" ht="14.25" customHeight="1">
      <c r="A1180" s="49"/>
      <c r="B1180" s="49"/>
      <c r="C1180" s="51"/>
      <c r="D1180" s="51" t="s">
        <v>4495</v>
      </c>
    </row>
    <row r="1181" ht="14.25" customHeight="1">
      <c r="A1181" s="49"/>
      <c r="B1181" s="49"/>
      <c r="C1181" s="51"/>
      <c r="D1181" s="51" t="s">
        <v>4495</v>
      </c>
    </row>
    <row r="1182" ht="14.25" customHeight="1">
      <c r="A1182" s="49"/>
      <c r="B1182" s="49"/>
      <c r="C1182" s="51"/>
      <c r="D1182" s="51" t="s">
        <v>4495</v>
      </c>
    </row>
    <row r="1183" ht="14.25" customHeight="1">
      <c r="A1183" s="49"/>
      <c r="B1183" s="49"/>
      <c r="C1183" s="51"/>
      <c r="D1183" s="51" t="s">
        <v>4495</v>
      </c>
    </row>
    <row r="1184" ht="14.25" customHeight="1">
      <c r="A1184" s="49"/>
      <c r="B1184" s="49"/>
      <c r="C1184" s="51"/>
      <c r="D1184" s="51" t="s">
        <v>4495</v>
      </c>
    </row>
    <row r="1185" ht="14.25" customHeight="1">
      <c r="A1185" s="49"/>
      <c r="B1185" s="49"/>
      <c r="C1185" s="51"/>
      <c r="D1185" s="51" t="s">
        <v>4495</v>
      </c>
    </row>
    <row r="1186" ht="14.25" customHeight="1">
      <c r="A1186" s="49"/>
      <c r="B1186" s="49"/>
      <c r="C1186" s="51"/>
      <c r="D1186" s="51" t="s">
        <v>4495</v>
      </c>
    </row>
    <row r="1187" ht="14.25" customHeight="1">
      <c r="A1187" s="49"/>
      <c r="B1187" s="49"/>
      <c r="C1187" s="51"/>
      <c r="D1187" s="51" t="s">
        <v>4495</v>
      </c>
    </row>
    <row r="1188" ht="14.25" customHeight="1">
      <c r="A1188" s="49"/>
      <c r="B1188" s="49"/>
      <c r="C1188" s="51"/>
      <c r="D1188" s="51" t="s">
        <v>4495</v>
      </c>
    </row>
    <row r="1189" ht="14.25" customHeight="1">
      <c r="A1189" s="49"/>
      <c r="B1189" s="49"/>
      <c r="C1189" s="51"/>
      <c r="D1189" s="51" t="s">
        <v>4495</v>
      </c>
    </row>
    <row r="1190" ht="14.25" customHeight="1">
      <c r="A1190" s="49"/>
      <c r="B1190" s="49"/>
      <c r="C1190" s="51"/>
      <c r="D1190" s="51" t="s">
        <v>4495</v>
      </c>
    </row>
    <row r="1191" ht="14.25" customHeight="1">
      <c r="A1191" s="49"/>
      <c r="B1191" s="49"/>
      <c r="C1191" s="51"/>
      <c r="D1191" s="51" t="s">
        <v>4495</v>
      </c>
    </row>
    <row r="1192" ht="14.25" customHeight="1">
      <c r="A1192" s="49"/>
      <c r="B1192" s="49"/>
      <c r="C1192" s="51"/>
      <c r="D1192" s="51" t="s">
        <v>4495</v>
      </c>
    </row>
    <row r="1193" ht="14.25" customHeight="1">
      <c r="A1193" s="49"/>
      <c r="B1193" s="49"/>
      <c r="C1193" s="51"/>
      <c r="D1193" s="51" t="s">
        <v>4495</v>
      </c>
    </row>
    <row r="1194" ht="14.25" customHeight="1">
      <c r="A1194" s="49"/>
      <c r="B1194" s="49"/>
      <c r="C1194" s="51"/>
      <c r="D1194" s="51" t="s">
        <v>4495</v>
      </c>
    </row>
    <row r="1195" ht="14.25" customHeight="1">
      <c r="A1195" s="49"/>
      <c r="B1195" s="49"/>
      <c r="C1195" s="51"/>
      <c r="D1195" s="51" t="s">
        <v>4495</v>
      </c>
    </row>
    <row r="1196" ht="14.25" customHeight="1">
      <c r="A1196" s="49"/>
      <c r="B1196" s="49"/>
      <c r="C1196" s="51"/>
      <c r="D1196" s="51" t="s">
        <v>4495</v>
      </c>
    </row>
    <row r="1197" ht="14.25" customHeight="1">
      <c r="A1197" s="49"/>
      <c r="B1197" s="49"/>
      <c r="C1197" s="51"/>
      <c r="D1197" s="51" t="s">
        <v>4495</v>
      </c>
    </row>
    <row r="1198" ht="14.25" customHeight="1">
      <c r="A1198" s="49"/>
      <c r="B1198" s="49"/>
      <c r="C1198" s="51"/>
      <c r="D1198" s="51" t="s">
        <v>4495</v>
      </c>
    </row>
    <row r="1199" ht="14.25" customHeight="1">
      <c r="A1199" s="49"/>
      <c r="B1199" s="49"/>
      <c r="C1199" s="51"/>
      <c r="D1199" s="51" t="s">
        <v>4495</v>
      </c>
    </row>
    <row r="1200" ht="14.25" customHeight="1">
      <c r="A1200" s="49"/>
      <c r="B1200" s="49"/>
      <c r="C1200" s="51"/>
      <c r="D1200" s="51" t="s">
        <v>4495</v>
      </c>
    </row>
    <row r="1201" ht="14.25" customHeight="1">
      <c r="A1201" s="49"/>
      <c r="B1201" s="49"/>
      <c r="C1201" s="51"/>
      <c r="D1201" s="51" t="s">
        <v>4495</v>
      </c>
    </row>
    <row r="1202" ht="14.25" customHeight="1">
      <c r="A1202" s="49"/>
      <c r="B1202" s="49"/>
      <c r="C1202" s="51"/>
      <c r="D1202" s="51" t="s">
        <v>4495</v>
      </c>
    </row>
    <row r="1203" ht="14.25" customHeight="1">
      <c r="A1203" s="49"/>
      <c r="B1203" s="49"/>
      <c r="C1203" s="51"/>
      <c r="D1203" s="51" t="s">
        <v>4495</v>
      </c>
    </row>
    <row r="1204" ht="14.25" customHeight="1">
      <c r="A1204" s="49"/>
      <c r="B1204" s="49"/>
      <c r="C1204" s="51"/>
      <c r="D1204" s="51" t="s">
        <v>4495</v>
      </c>
    </row>
    <row r="1205" ht="14.25" customHeight="1">
      <c r="A1205" s="49"/>
      <c r="B1205" s="49"/>
      <c r="C1205" s="51"/>
      <c r="D1205" s="51" t="s">
        <v>4495</v>
      </c>
    </row>
    <row r="1206" ht="14.25" customHeight="1">
      <c r="A1206" s="49"/>
      <c r="B1206" s="49"/>
      <c r="C1206" s="51"/>
      <c r="D1206" s="51" t="s">
        <v>4495</v>
      </c>
    </row>
    <row r="1207" ht="14.25" customHeight="1">
      <c r="A1207" s="49"/>
      <c r="B1207" s="49"/>
      <c r="C1207" s="51"/>
      <c r="D1207" s="51" t="s">
        <v>4495</v>
      </c>
    </row>
    <row r="1208" ht="14.25" customHeight="1">
      <c r="A1208" s="49"/>
      <c r="B1208" s="49"/>
      <c r="C1208" s="51"/>
      <c r="D1208" s="51" t="s">
        <v>4495</v>
      </c>
    </row>
    <row r="1209" ht="14.25" customHeight="1">
      <c r="A1209" s="49"/>
      <c r="B1209" s="49"/>
      <c r="C1209" s="51"/>
      <c r="D1209" s="51" t="s">
        <v>4495</v>
      </c>
    </row>
    <row r="1210" ht="14.25" customHeight="1">
      <c r="A1210" s="49"/>
      <c r="B1210" s="49"/>
      <c r="C1210" s="51"/>
      <c r="D1210" s="51" t="s">
        <v>4495</v>
      </c>
    </row>
    <row r="1211" ht="14.25" customHeight="1">
      <c r="A1211" s="49"/>
      <c r="B1211" s="49"/>
      <c r="C1211" s="51"/>
      <c r="D1211" s="51" t="s">
        <v>4495</v>
      </c>
    </row>
    <row r="1212" ht="14.25" customHeight="1">
      <c r="A1212" s="49"/>
      <c r="B1212" s="49"/>
      <c r="C1212" s="51"/>
      <c r="D1212" s="51" t="s">
        <v>4495</v>
      </c>
    </row>
    <row r="1213" ht="14.25" customHeight="1">
      <c r="A1213" s="49"/>
      <c r="B1213" s="49"/>
      <c r="C1213" s="51"/>
      <c r="D1213" s="51" t="s">
        <v>4495</v>
      </c>
    </row>
    <row r="1214" ht="14.25" customHeight="1">
      <c r="A1214" s="49"/>
      <c r="B1214" s="49"/>
      <c r="C1214" s="51"/>
      <c r="D1214" s="51" t="s">
        <v>4495</v>
      </c>
    </row>
    <row r="1215" ht="14.25" customHeight="1">
      <c r="A1215" s="49"/>
      <c r="B1215" s="49"/>
      <c r="C1215" s="51"/>
      <c r="D1215" s="51" t="s">
        <v>4495</v>
      </c>
    </row>
    <row r="1216" ht="14.25" customHeight="1">
      <c r="A1216" s="49"/>
      <c r="B1216" s="49"/>
      <c r="C1216" s="51"/>
      <c r="D1216" s="51" t="s">
        <v>4495</v>
      </c>
    </row>
    <row r="1217" ht="14.25" customHeight="1">
      <c r="A1217" s="49"/>
      <c r="B1217" s="49"/>
      <c r="C1217" s="51"/>
      <c r="D1217" s="51" t="s">
        <v>4495</v>
      </c>
    </row>
    <row r="1218" ht="14.25" customHeight="1">
      <c r="A1218" s="49"/>
      <c r="B1218" s="49"/>
      <c r="C1218" s="51"/>
      <c r="D1218" s="51" t="s">
        <v>4495</v>
      </c>
    </row>
    <row r="1219" ht="14.25" customHeight="1">
      <c r="A1219" s="49"/>
      <c r="B1219" s="49"/>
      <c r="C1219" s="51"/>
      <c r="D1219" s="51" t="s">
        <v>4495</v>
      </c>
    </row>
    <row r="1220" ht="14.25" customHeight="1">
      <c r="A1220" s="49"/>
      <c r="B1220" s="49"/>
      <c r="C1220" s="51"/>
      <c r="D1220" s="51" t="s">
        <v>4495</v>
      </c>
    </row>
    <row r="1221" ht="14.25" customHeight="1">
      <c r="A1221" s="49"/>
      <c r="B1221" s="49"/>
      <c r="C1221" s="51"/>
      <c r="D1221" s="51" t="s">
        <v>4495</v>
      </c>
    </row>
    <row r="1222" ht="14.25" customHeight="1">
      <c r="A1222" s="49"/>
      <c r="B1222" s="49"/>
      <c r="C1222" s="51"/>
      <c r="D1222" s="51" t="s">
        <v>4495</v>
      </c>
    </row>
    <row r="1223" ht="14.25" customHeight="1">
      <c r="A1223" s="49"/>
      <c r="B1223" s="49"/>
      <c r="C1223" s="51"/>
      <c r="D1223" s="51" t="s">
        <v>4495</v>
      </c>
    </row>
    <row r="1224" ht="14.25" customHeight="1">
      <c r="A1224" s="49"/>
      <c r="B1224" s="49"/>
      <c r="C1224" s="51"/>
      <c r="D1224" s="51" t="s">
        <v>4495</v>
      </c>
    </row>
    <row r="1225" ht="14.25" customHeight="1">
      <c r="A1225" s="49"/>
      <c r="B1225" s="49"/>
      <c r="C1225" s="51"/>
      <c r="D1225" s="51" t="s">
        <v>4495</v>
      </c>
    </row>
    <row r="1226" ht="14.25" customHeight="1">
      <c r="A1226" s="49"/>
      <c r="B1226" s="49"/>
      <c r="C1226" s="51"/>
      <c r="D1226" s="51" t="s">
        <v>4495</v>
      </c>
    </row>
    <row r="1227" ht="14.25" customHeight="1">
      <c r="A1227" s="49"/>
      <c r="B1227" s="49"/>
      <c r="C1227" s="51"/>
      <c r="D1227" s="51" t="s">
        <v>4495</v>
      </c>
    </row>
    <row r="1228" ht="14.25" customHeight="1">
      <c r="A1228" s="49"/>
      <c r="B1228" s="49"/>
      <c r="C1228" s="51"/>
      <c r="D1228" s="51" t="s">
        <v>4495</v>
      </c>
    </row>
    <row r="1229" ht="14.25" customHeight="1">
      <c r="A1229" s="49"/>
      <c r="B1229" s="49"/>
      <c r="C1229" s="51"/>
      <c r="D1229" s="51" t="s">
        <v>4495</v>
      </c>
    </row>
    <row r="1230" ht="14.25" customHeight="1">
      <c r="A1230" s="49"/>
      <c r="B1230" s="49"/>
      <c r="C1230" s="51"/>
      <c r="D1230" s="51" t="s">
        <v>4495</v>
      </c>
    </row>
    <row r="1231" ht="14.25" customHeight="1">
      <c r="A1231" s="49"/>
      <c r="B1231" s="49"/>
      <c r="C1231" s="51"/>
      <c r="D1231" s="51" t="s">
        <v>4495</v>
      </c>
    </row>
    <row r="1232" ht="14.25" customHeight="1">
      <c r="A1232" s="49"/>
      <c r="B1232" s="49"/>
      <c r="C1232" s="51"/>
      <c r="D1232" s="51" t="s">
        <v>4495</v>
      </c>
    </row>
    <row r="1233" ht="14.25" customHeight="1">
      <c r="A1233" s="49"/>
      <c r="B1233" s="49"/>
      <c r="C1233" s="51"/>
      <c r="D1233" s="51" t="s">
        <v>4495</v>
      </c>
    </row>
    <row r="1234" ht="14.25" customHeight="1">
      <c r="A1234" s="49"/>
      <c r="B1234" s="49"/>
      <c r="C1234" s="51"/>
      <c r="D1234" s="51" t="s">
        <v>4495</v>
      </c>
    </row>
    <row r="1235" ht="14.25" customHeight="1">
      <c r="A1235" s="49"/>
      <c r="B1235" s="49"/>
      <c r="C1235" s="51"/>
      <c r="D1235" s="51" t="s">
        <v>4495</v>
      </c>
    </row>
    <row r="1236" ht="14.25" customHeight="1">
      <c r="A1236" s="49"/>
      <c r="B1236" s="49"/>
      <c r="C1236" s="51"/>
      <c r="D1236" s="51" t="s">
        <v>4495</v>
      </c>
    </row>
    <row r="1237" ht="14.25" customHeight="1">
      <c r="A1237" s="49"/>
      <c r="B1237" s="49"/>
      <c r="C1237" s="51"/>
      <c r="D1237" s="51" t="s">
        <v>4495</v>
      </c>
    </row>
    <row r="1238" ht="14.25" customHeight="1">
      <c r="A1238" s="49"/>
      <c r="B1238" s="49"/>
      <c r="C1238" s="51"/>
      <c r="D1238" s="51" t="s">
        <v>4495</v>
      </c>
    </row>
    <row r="1239" ht="14.25" customHeight="1">
      <c r="A1239" s="49"/>
      <c r="B1239" s="49"/>
      <c r="C1239" s="51"/>
      <c r="D1239" s="51" t="s">
        <v>4495</v>
      </c>
    </row>
    <row r="1240" ht="14.25" customHeight="1">
      <c r="A1240" s="49"/>
      <c r="B1240" s="49"/>
      <c r="C1240" s="51"/>
      <c r="D1240" s="51" t="s">
        <v>4495</v>
      </c>
    </row>
    <row r="1241" ht="14.25" customHeight="1">
      <c r="A1241" s="49"/>
      <c r="B1241" s="49"/>
      <c r="C1241" s="51"/>
      <c r="D1241" s="51" t="s">
        <v>4495</v>
      </c>
    </row>
    <row r="1242" ht="14.25" customHeight="1">
      <c r="A1242" s="49"/>
      <c r="B1242" s="49"/>
      <c r="C1242" s="51"/>
      <c r="D1242" s="51" t="s">
        <v>4495</v>
      </c>
    </row>
    <row r="1243" ht="14.25" customHeight="1">
      <c r="A1243" s="49"/>
      <c r="B1243" s="49"/>
      <c r="C1243" s="51"/>
      <c r="D1243" s="51" t="s">
        <v>4495</v>
      </c>
    </row>
    <row r="1244" ht="14.25" customHeight="1">
      <c r="A1244" s="49"/>
      <c r="B1244" s="49"/>
      <c r="C1244" s="51"/>
      <c r="D1244" s="51" t="s">
        <v>4495</v>
      </c>
    </row>
    <row r="1245" ht="14.25" customHeight="1">
      <c r="A1245" s="49"/>
      <c r="B1245" s="49"/>
      <c r="C1245" s="51"/>
      <c r="D1245" s="51" t="s">
        <v>4495</v>
      </c>
    </row>
    <row r="1246" ht="14.25" customHeight="1">
      <c r="A1246" s="49"/>
      <c r="B1246" s="49"/>
      <c r="C1246" s="51"/>
      <c r="D1246" s="51" t="s">
        <v>4495</v>
      </c>
    </row>
    <row r="1247" ht="14.25" customHeight="1">
      <c r="A1247" s="49"/>
      <c r="B1247" s="49"/>
      <c r="C1247" s="51"/>
      <c r="D1247" s="51" t="s">
        <v>4495</v>
      </c>
    </row>
    <row r="1248" ht="14.25" customHeight="1">
      <c r="A1248" s="49"/>
      <c r="B1248" s="49"/>
      <c r="C1248" s="51"/>
      <c r="D1248" s="51" t="s">
        <v>4495</v>
      </c>
    </row>
    <row r="1249" ht="14.25" customHeight="1">
      <c r="A1249" s="49"/>
      <c r="B1249" s="49"/>
      <c r="C1249" s="51"/>
      <c r="D1249" s="51" t="s">
        <v>4495</v>
      </c>
    </row>
    <row r="1250" ht="14.25" customHeight="1">
      <c r="A1250" s="49"/>
      <c r="B1250" s="49"/>
      <c r="C1250" s="51"/>
      <c r="D1250" s="51" t="s">
        <v>4495</v>
      </c>
    </row>
    <row r="1251" ht="14.25" customHeight="1">
      <c r="A1251" s="49"/>
      <c r="B1251" s="49"/>
      <c r="C1251" s="51"/>
      <c r="D1251" s="51" t="s">
        <v>4495</v>
      </c>
    </row>
    <row r="1252" ht="14.25" customHeight="1">
      <c r="A1252" s="49"/>
      <c r="B1252" s="49"/>
      <c r="C1252" s="51"/>
      <c r="D1252" s="51" t="s">
        <v>4495</v>
      </c>
    </row>
    <row r="1253" ht="14.25" customHeight="1">
      <c r="A1253" s="49"/>
      <c r="B1253" s="49"/>
      <c r="C1253" s="51"/>
      <c r="D1253" s="51" t="s">
        <v>4495</v>
      </c>
    </row>
    <row r="1254" ht="14.25" customHeight="1">
      <c r="A1254" s="49"/>
      <c r="B1254" s="49"/>
      <c r="C1254" s="51"/>
      <c r="D1254" s="51" t="s">
        <v>4495</v>
      </c>
    </row>
    <row r="1255" ht="14.25" customHeight="1">
      <c r="A1255" s="49"/>
      <c r="B1255" s="49"/>
      <c r="C1255" s="51"/>
      <c r="D1255" s="51" t="s">
        <v>4495</v>
      </c>
    </row>
    <row r="1256" ht="14.25" customHeight="1">
      <c r="A1256" s="49"/>
      <c r="B1256" s="49"/>
      <c r="C1256" s="51"/>
      <c r="D1256" s="51" t="s">
        <v>4495</v>
      </c>
    </row>
    <row r="1257" ht="14.25" customHeight="1">
      <c r="A1257" s="49"/>
      <c r="B1257" s="49"/>
      <c r="C1257" s="51"/>
      <c r="D1257" s="51" t="s">
        <v>4495</v>
      </c>
    </row>
    <row r="1258" ht="14.25" customHeight="1">
      <c r="A1258" s="49"/>
      <c r="B1258" s="49"/>
      <c r="C1258" s="51"/>
      <c r="D1258" s="51" t="s">
        <v>4495</v>
      </c>
    </row>
    <row r="1259" ht="14.25" customHeight="1">
      <c r="A1259" s="49"/>
      <c r="B1259" s="49"/>
      <c r="C1259" s="51"/>
      <c r="D1259" s="51" t="s">
        <v>4495</v>
      </c>
    </row>
    <row r="1260" ht="14.25" customHeight="1">
      <c r="A1260" s="49"/>
      <c r="B1260" s="49"/>
      <c r="C1260" s="51"/>
      <c r="D1260" s="51" t="s">
        <v>4495</v>
      </c>
    </row>
    <row r="1261" ht="14.25" customHeight="1">
      <c r="A1261" s="49"/>
      <c r="B1261" s="49"/>
      <c r="C1261" s="51"/>
      <c r="D1261" s="51" t="s">
        <v>4495</v>
      </c>
    </row>
    <row r="1262" ht="14.25" customHeight="1">
      <c r="A1262" s="49"/>
      <c r="B1262" s="49"/>
      <c r="C1262" s="51"/>
      <c r="D1262" s="51" t="s">
        <v>4495</v>
      </c>
    </row>
    <row r="1263" ht="14.25" customHeight="1">
      <c r="A1263" s="49"/>
      <c r="B1263" s="49"/>
      <c r="C1263" s="51"/>
      <c r="D1263" s="51" t="s">
        <v>4495</v>
      </c>
    </row>
    <row r="1264" ht="14.25" customHeight="1">
      <c r="A1264" s="49"/>
      <c r="B1264" s="49"/>
      <c r="C1264" s="51"/>
      <c r="D1264" s="51" t="s">
        <v>4495</v>
      </c>
    </row>
    <row r="1265" ht="14.25" customHeight="1">
      <c r="A1265" s="49"/>
      <c r="B1265" s="49"/>
      <c r="C1265" s="51"/>
      <c r="D1265" s="51" t="s">
        <v>4495</v>
      </c>
    </row>
    <row r="1266" ht="14.25" customHeight="1">
      <c r="A1266" s="49"/>
      <c r="B1266" s="49"/>
      <c r="C1266" s="51"/>
      <c r="D1266" s="51" t="s">
        <v>4495</v>
      </c>
    </row>
    <row r="1267" ht="14.25" customHeight="1">
      <c r="A1267" s="49"/>
      <c r="B1267" s="49"/>
      <c r="C1267" s="51"/>
      <c r="D1267" s="51" t="s">
        <v>4495</v>
      </c>
    </row>
    <row r="1268" ht="14.25" customHeight="1">
      <c r="A1268" s="49"/>
      <c r="B1268" s="49"/>
      <c r="C1268" s="51"/>
      <c r="D1268" s="51" t="s">
        <v>4495</v>
      </c>
    </row>
    <row r="1269" ht="14.25" customHeight="1">
      <c r="A1269" s="49"/>
      <c r="B1269" s="49"/>
      <c r="C1269" s="51"/>
      <c r="D1269" s="51" t="s">
        <v>4495</v>
      </c>
    </row>
    <row r="1270" ht="14.25" customHeight="1">
      <c r="A1270" s="49"/>
      <c r="B1270" s="49"/>
      <c r="C1270" s="51"/>
      <c r="D1270" s="51" t="s">
        <v>4495</v>
      </c>
    </row>
    <row r="1271" ht="14.25" customHeight="1">
      <c r="A1271" s="49"/>
      <c r="B1271" s="49"/>
      <c r="C1271" s="51"/>
      <c r="D1271" s="51" t="s">
        <v>4495</v>
      </c>
    </row>
    <row r="1272" ht="14.25" customHeight="1">
      <c r="A1272" s="49"/>
      <c r="B1272" s="49"/>
      <c r="C1272" s="51"/>
      <c r="D1272" s="51" t="s">
        <v>4495</v>
      </c>
    </row>
    <row r="1273" ht="14.25" customHeight="1">
      <c r="A1273" s="49"/>
      <c r="B1273" s="49"/>
      <c r="C1273" s="51"/>
      <c r="D1273" s="51" t="s">
        <v>4495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sheetPr>
  <sheetViews>
    <sheetView workbookViewId="0"/>
  </sheetViews>
  <sheetFormatPr customHeight="1" defaultColWidth="12.63" defaultRowHeight="15.0"/>
  <sheetData>
    <row r="1" ht="17.25" customHeight="1">
      <c r="A1" s="52" t="s">
        <v>1</v>
      </c>
      <c r="B1" s="52" t="s">
        <v>2</v>
      </c>
      <c r="C1" s="52" t="s">
        <v>9</v>
      </c>
      <c r="D1" s="52" t="s">
        <v>4496</v>
      </c>
    </row>
    <row r="2" ht="17.25" customHeight="1">
      <c r="A2" s="52" t="s">
        <v>51</v>
      </c>
      <c r="B2" s="52" t="s">
        <v>52</v>
      </c>
      <c r="D2" s="52" t="s">
        <v>4498</v>
      </c>
    </row>
    <row r="3" ht="17.25" customHeight="1">
      <c r="A3" s="52" t="s">
        <v>88</v>
      </c>
      <c r="B3" s="52" t="s">
        <v>89</v>
      </c>
      <c r="C3" s="52" t="s">
        <v>94</v>
      </c>
      <c r="D3" s="52" t="s">
        <v>4498</v>
      </c>
    </row>
    <row r="4" ht="17.25" customHeight="1">
      <c r="A4" s="52" t="s">
        <v>114</v>
      </c>
      <c r="B4" s="52" t="s">
        <v>115</v>
      </c>
      <c r="D4" s="52" t="s">
        <v>4499</v>
      </c>
    </row>
    <row r="5" ht="17.25" customHeight="1">
      <c r="A5" s="52" t="s">
        <v>149</v>
      </c>
      <c r="B5" s="52" t="s">
        <v>150</v>
      </c>
      <c r="D5" s="52" t="s">
        <v>4498</v>
      </c>
    </row>
    <row r="6" ht="17.25" customHeight="1">
      <c r="A6" s="52" t="s">
        <v>171</v>
      </c>
      <c r="B6" s="52" t="s">
        <v>172</v>
      </c>
      <c r="C6" s="52" t="s">
        <v>176</v>
      </c>
      <c r="D6" s="52" t="s">
        <v>4498</v>
      </c>
    </row>
    <row r="7" ht="17.25" customHeight="1">
      <c r="A7" s="52" t="s">
        <v>193</v>
      </c>
      <c r="B7" s="52" t="s">
        <v>194</v>
      </c>
      <c r="D7" s="52" t="s">
        <v>4498</v>
      </c>
    </row>
    <row r="8" ht="17.25" customHeight="1">
      <c r="A8" s="52" t="s">
        <v>206</v>
      </c>
      <c r="B8" s="52" t="s">
        <v>207</v>
      </c>
      <c r="D8" s="52" t="s">
        <v>4498</v>
      </c>
    </row>
    <row r="9" ht="17.25" customHeight="1">
      <c r="A9" s="52" t="s">
        <v>218</v>
      </c>
      <c r="B9" s="52" t="s">
        <v>219</v>
      </c>
      <c r="C9" s="52" t="s">
        <v>222</v>
      </c>
      <c r="D9" s="52" t="s">
        <v>4498</v>
      </c>
    </row>
    <row r="10" ht="17.25" customHeight="1">
      <c r="A10" s="52" t="s">
        <v>229</v>
      </c>
      <c r="B10" s="52" t="s">
        <v>230</v>
      </c>
      <c r="D10" s="52" t="s">
        <v>4499</v>
      </c>
    </row>
    <row r="11" ht="17.25" customHeight="1">
      <c r="A11" s="52" t="s">
        <v>262</v>
      </c>
      <c r="B11" s="52" t="s">
        <v>263</v>
      </c>
      <c r="C11" s="52" t="s">
        <v>266</v>
      </c>
      <c r="D11" s="52" t="s">
        <v>4498</v>
      </c>
    </row>
    <row r="12" ht="17.25" customHeight="1">
      <c r="A12" s="52" t="s">
        <v>274</v>
      </c>
      <c r="B12" s="52" t="s">
        <v>275</v>
      </c>
      <c r="C12" s="52" t="s">
        <v>278</v>
      </c>
      <c r="D12" s="52" t="s">
        <v>4498</v>
      </c>
    </row>
    <row r="13" ht="17.25" customHeight="1">
      <c r="A13" s="52" t="s">
        <v>295</v>
      </c>
      <c r="B13" s="52" t="s">
        <v>296</v>
      </c>
      <c r="C13" s="52" t="s">
        <v>299</v>
      </c>
      <c r="D13" s="52" t="s">
        <v>4498</v>
      </c>
    </row>
    <row r="14" ht="17.25" customHeight="1">
      <c r="A14" s="52" t="s">
        <v>307</v>
      </c>
      <c r="B14" s="52" t="s">
        <v>308</v>
      </c>
      <c r="C14" s="52" t="s">
        <v>311</v>
      </c>
      <c r="D14" s="52" t="s">
        <v>4498</v>
      </c>
    </row>
    <row r="15" ht="17.25" customHeight="1">
      <c r="A15" s="52" t="s">
        <v>318</v>
      </c>
      <c r="B15" s="52" t="s">
        <v>319</v>
      </c>
      <c r="D15" s="52" t="s">
        <v>4499</v>
      </c>
    </row>
    <row r="16" ht="17.25" customHeight="1">
      <c r="A16" s="52" t="s">
        <v>329</v>
      </c>
      <c r="B16" s="52" t="s">
        <v>330</v>
      </c>
      <c r="D16" s="52" t="s">
        <v>4498</v>
      </c>
    </row>
    <row r="17" ht="17.25" customHeight="1">
      <c r="A17" s="52" t="s">
        <v>359</v>
      </c>
      <c r="B17" s="52" t="s">
        <v>360</v>
      </c>
      <c r="D17" s="52" t="s">
        <v>4498</v>
      </c>
    </row>
    <row r="18" ht="17.25" customHeight="1">
      <c r="A18" s="52" t="s">
        <v>370</v>
      </c>
      <c r="B18" s="52" t="s">
        <v>371</v>
      </c>
      <c r="C18" s="52" t="s">
        <v>374</v>
      </c>
      <c r="D18" s="52" t="s">
        <v>4501</v>
      </c>
    </row>
    <row r="19" ht="17.25" customHeight="1">
      <c r="A19" s="52" t="s">
        <v>381</v>
      </c>
      <c r="B19" s="52" t="s">
        <v>382</v>
      </c>
      <c r="C19" s="52" t="s">
        <v>386</v>
      </c>
      <c r="D19" s="52" t="s">
        <v>4498</v>
      </c>
    </row>
    <row r="20" ht="17.25" customHeight="1">
      <c r="A20" s="52" t="s">
        <v>394</v>
      </c>
      <c r="B20" s="52" t="s">
        <v>395</v>
      </c>
      <c r="C20" s="52" t="s">
        <v>398</v>
      </c>
      <c r="D20" s="52" t="s">
        <v>4498</v>
      </c>
    </row>
    <row r="21" ht="17.25" customHeight="1">
      <c r="A21" s="52" t="s">
        <v>414</v>
      </c>
      <c r="B21" s="52" t="s">
        <v>415</v>
      </c>
      <c r="C21" s="52" t="s">
        <v>419</v>
      </c>
      <c r="D21" s="52" t="s">
        <v>4498</v>
      </c>
    </row>
    <row r="22" ht="17.25" customHeight="1">
      <c r="A22" s="52" t="s">
        <v>436</v>
      </c>
      <c r="B22" s="52" t="s">
        <v>437</v>
      </c>
      <c r="C22" s="52" t="s">
        <v>440</v>
      </c>
      <c r="D22" s="52" t="s">
        <v>4498</v>
      </c>
    </row>
    <row r="23" ht="17.25" customHeight="1">
      <c r="A23" s="52" t="s">
        <v>448</v>
      </c>
      <c r="B23" s="52" t="s">
        <v>449</v>
      </c>
      <c r="C23" s="52" t="s">
        <v>451</v>
      </c>
      <c r="D23" s="52" t="s">
        <v>4498</v>
      </c>
    </row>
    <row r="24" ht="17.25" customHeight="1">
      <c r="A24" s="52" t="s">
        <v>466</v>
      </c>
      <c r="B24" s="52" t="s">
        <v>467</v>
      </c>
      <c r="C24" s="52" t="s">
        <v>470</v>
      </c>
      <c r="D24" s="52" t="s">
        <v>4498</v>
      </c>
    </row>
    <row r="25" ht="17.25" customHeight="1">
      <c r="A25" s="52" t="s">
        <v>497</v>
      </c>
      <c r="B25" s="52" t="s">
        <v>498</v>
      </c>
      <c r="C25" s="52" t="s">
        <v>501</v>
      </c>
      <c r="D25" s="52" t="s">
        <v>4498</v>
      </c>
    </row>
    <row r="26" ht="17.25" customHeight="1">
      <c r="A26" s="52" t="s">
        <v>508</v>
      </c>
      <c r="B26" s="52" t="s">
        <v>509</v>
      </c>
      <c r="C26" s="52" t="s">
        <v>512</v>
      </c>
      <c r="D26" s="52" t="s">
        <v>4498</v>
      </c>
    </row>
    <row r="27" ht="17.25" customHeight="1">
      <c r="A27" s="52" t="s">
        <v>520</v>
      </c>
      <c r="B27" s="52" t="s">
        <v>521</v>
      </c>
      <c r="D27" s="52" t="s">
        <v>4499</v>
      </c>
    </row>
    <row r="28" ht="17.25" customHeight="1">
      <c r="A28" s="52" t="s">
        <v>548</v>
      </c>
      <c r="B28" s="52" t="s">
        <v>549</v>
      </c>
      <c r="C28" s="52" t="s">
        <v>552</v>
      </c>
      <c r="D28" s="52" t="s">
        <v>4498</v>
      </c>
    </row>
    <row r="29" ht="17.25" customHeight="1">
      <c r="A29" s="52" t="s">
        <v>568</v>
      </c>
      <c r="B29" s="52" t="s">
        <v>569</v>
      </c>
      <c r="C29" s="52" t="s">
        <v>572</v>
      </c>
      <c r="D29" s="52" t="s">
        <v>4498</v>
      </c>
    </row>
    <row r="30" ht="17.25" customHeight="1">
      <c r="A30" s="52" t="s">
        <v>587</v>
      </c>
      <c r="B30" s="52" t="s">
        <v>588</v>
      </c>
      <c r="D30" s="52" t="s">
        <v>4498</v>
      </c>
    </row>
    <row r="31" ht="17.25" customHeight="1">
      <c r="A31" s="52" t="s">
        <v>606</v>
      </c>
      <c r="B31" s="52" t="s">
        <v>607</v>
      </c>
      <c r="C31" s="52" t="s">
        <v>609</v>
      </c>
      <c r="D31" s="52" t="s">
        <v>4498</v>
      </c>
    </row>
    <row r="32" ht="17.25" customHeight="1">
      <c r="A32" s="52" t="s">
        <v>629</v>
      </c>
      <c r="B32" s="52" t="s">
        <v>630</v>
      </c>
      <c r="C32" s="52" t="s">
        <v>631</v>
      </c>
      <c r="D32" s="52" t="s">
        <v>4498</v>
      </c>
    </row>
    <row r="33" ht="17.25" customHeight="1">
      <c r="A33" s="52" t="s">
        <v>639</v>
      </c>
      <c r="B33" s="52" t="s">
        <v>640</v>
      </c>
      <c r="D33" s="52" t="s">
        <v>4498</v>
      </c>
    </row>
    <row r="34" ht="17.25" customHeight="1">
      <c r="A34" s="52" t="s">
        <v>656</v>
      </c>
      <c r="B34" s="52" t="s">
        <v>657</v>
      </c>
      <c r="D34" s="52" t="s">
        <v>4498</v>
      </c>
    </row>
    <row r="35" ht="17.25" customHeight="1">
      <c r="A35" s="52" t="s">
        <v>665</v>
      </c>
      <c r="B35" s="52" t="s">
        <v>666</v>
      </c>
      <c r="D35" s="52" t="s">
        <v>4498</v>
      </c>
    </row>
    <row r="36" ht="17.25" customHeight="1">
      <c r="A36" s="52" t="s">
        <v>673</v>
      </c>
      <c r="B36" s="52" t="s">
        <v>674</v>
      </c>
      <c r="D36" s="52" t="s">
        <v>4501</v>
      </c>
    </row>
    <row r="37" ht="17.25" customHeight="1">
      <c r="A37" s="52" t="s">
        <v>691</v>
      </c>
      <c r="B37" s="52" t="s">
        <v>692</v>
      </c>
      <c r="C37" s="52" t="s">
        <v>694</v>
      </c>
      <c r="D37" s="52" t="s">
        <v>4498</v>
      </c>
    </row>
    <row r="38" ht="17.25" customHeight="1">
      <c r="A38" s="52" t="s">
        <v>702</v>
      </c>
      <c r="B38" s="52" t="s">
        <v>703</v>
      </c>
      <c r="C38" s="52" t="s">
        <v>706</v>
      </c>
      <c r="D38" s="52" t="s">
        <v>4498</v>
      </c>
    </row>
    <row r="39" ht="17.25" customHeight="1">
      <c r="A39" s="52" t="s">
        <v>711</v>
      </c>
      <c r="B39" s="52" t="s">
        <v>712</v>
      </c>
      <c r="C39" s="52" t="s">
        <v>714</v>
      </c>
      <c r="D39" s="52" t="s">
        <v>4498</v>
      </c>
    </row>
    <row r="40" ht="17.25" customHeight="1">
      <c r="A40" s="52" t="s">
        <v>722</v>
      </c>
      <c r="B40" s="52" t="s">
        <v>723</v>
      </c>
      <c r="C40" s="52" t="s">
        <v>726</v>
      </c>
      <c r="D40" s="52" t="s">
        <v>4498</v>
      </c>
    </row>
    <row r="41" ht="17.25" customHeight="1">
      <c r="A41" s="52" t="s">
        <v>744</v>
      </c>
      <c r="B41" s="52" t="s">
        <v>745</v>
      </c>
      <c r="C41" s="52" t="s">
        <v>748</v>
      </c>
      <c r="D41" s="52" t="s">
        <v>4498</v>
      </c>
    </row>
    <row r="42" ht="17.25" customHeight="1">
      <c r="A42" s="52" t="s">
        <v>767</v>
      </c>
      <c r="B42" s="52" t="s">
        <v>768</v>
      </c>
      <c r="C42" s="52" t="s">
        <v>771</v>
      </c>
      <c r="D42" s="52" t="s">
        <v>4498</v>
      </c>
    </row>
    <row r="43" ht="17.25" customHeight="1">
      <c r="A43" s="52" t="s">
        <v>778</v>
      </c>
      <c r="B43" s="52" t="s">
        <v>779</v>
      </c>
      <c r="C43" s="52" t="s">
        <v>781</v>
      </c>
      <c r="D43" s="52" t="s">
        <v>4498</v>
      </c>
    </row>
    <row r="44" ht="17.25" customHeight="1">
      <c r="A44" s="52" t="s">
        <v>788</v>
      </c>
      <c r="B44" s="52" t="s">
        <v>789</v>
      </c>
      <c r="C44" s="52" t="s">
        <v>792</v>
      </c>
      <c r="D44" s="52" t="s">
        <v>4498</v>
      </c>
    </row>
    <row r="45" ht="17.25" customHeight="1">
      <c r="A45" s="52" t="s">
        <v>799</v>
      </c>
      <c r="B45" s="52" t="s">
        <v>800</v>
      </c>
      <c r="C45" s="52" t="s">
        <v>803</v>
      </c>
      <c r="D45" s="52" t="s">
        <v>4498</v>
      </c>
    </row>
    <row r="46" ht="17.25" customHeight="1">
      <c r="A46" s="52" t="s">
        <v>819</v>
      </c>
      <c r="B46" s="52" t="s">
        <v>820</v>
      </c>
      <c r="C46" s="52" t="s">
        <v>823</v>
      </c>
      <c r="D46" s="52" t="s">
        <v>4501</v>
      </c>
    </row>
    <row r="47" ht="17.25" customHeight="1">
      <c r="A47" s="52" t="s">
        <v>831</v>
      </c>
      <c r="B47" s="52" t="s">
        <v>832</v>
      </c>
      <c r="C47" s="52" t="s">
        <v>834</v>
      </c>
      <c r="D47" s="52" t="s">
        <v>4498</v>
      </c>
    </row>
    <row r="48" ht="17.25" customHeight="1">
      <c r="A48" s="52" t="s">
        <v>840</v>
      </c>
      <c r="B48" s="52" t="s">
        <v>841</v>
      </c>
      <c r="C48" s="52" t="s">
        <v>844</v>
      </c>
      <c r="D48" s="52" t="s">
        <v>4498</v>
      </c>
    </row>
    <row r="49" ht="17.25" customHeight="1">
      <c r="A49" s="52" t="s">
        <v>850</v>
      </c>
      <c r="B49" s="52" t="s">
        <v>851</v>
      </c>
      <c r="D49" s="52" t="s">
        <v>4498</v>
      </c>
    </row>
    <row r="50" ht="17.25" customHeight="1">
      <c r="A50" s="52" t="s">
        <v>868</v>
      </c>
      <c r="B50" s="52" t="s">
        <v>869</v>
      </c>
      <c r="C50" s="52" t="s">
        <v>871</v>
      </c>
      <c r="D50" s="52" t="s">
        <v>4498</v>
      </c>
    </row>
    <row r="51" ht="17.25" customHeight="1">
      <c r="A51" s="52" t="s">
        <v>877</v>
      </c>
      <c r="B51" s="52" t="s">
        <v>878</v>
      </c>
      <c r="C51" s="52" t="s">
        <v>882</v>
      </c>
      <c r="D51" s="52" t="s">
        <v>4498</v>
      </c>
    </row>
    <row r="52" ht="17.25" customHeight="1">
      <c r="A52" s="52" t="s">
        <v>889</v>
      </c>
      <c r="B52" s="52" t="s">
        <v>890</v>
      </c>
      <c r="C52" s="52" t="s">
        <v>892</v>
      </c>
      <c r="D52" s="52" t="s">
        <v>4498</v>
      </c>
    </row>
    <row r="53" ht="17.25" customHeight="1">
      <c r="A53" s="52" t="s">
        <v>899</v>
      </c>
      <c r="B53" s="52" t="s">
        <v>900</v>
      </c>
      <c r="D53" s="52" t="s">
        <v>4498</v>
      </c>
    </row>
    <row r="54" ht="17.25" customHeight="1">
      <c r="A54" s="52" t="s">
        <v>916</v>
      </c>
      <c r="B54" s="52" t="s">
        <v>917</v>
      </c>
      <c r="C54" s="52" t="s">
        <v>919</v>
      </c>
      <c r="D54" s="52" t="s">
        <v>4499</v>
      </c>
    </row>
    <row r="55" ht="17.25" customHeight="1">
      <c r="A55" s="52" t="s">
        <v>924</v>
      </c>
      <c r="B55" s="52" t="s">
        <v>925</v>
      </c>
      <c r="C55" s="52" t="s">
        <v>927</v>
      </c>
      <c r="D55" s="52" t="s">
        <v>4498</v>
      </c>
    </row>
    <row r="56" ht="17.25" customHeight="1">
      <c r="A56" s="52" t="s">
        <v>943</v>
      </c>
      <c r="B56" s="52" t="s">
        <v>944</v>
      </c>
      <c r="C56" s="52" t="s">
        <v>946</v>
      </c>
      <c r="D56" s="52" t="s">
        <v>4498</v>
      </c>
    </row>
    <row r="57" ht="17.25" customHeight="1">
      <c r="A57" s="52" t="s">
        <v>951</v>
      </c>
      <c r="B57" s="52" t="s">
        <v>952</v>
      </c>
      <c r="C57" s="52" t="s">
        <v>954</v>
      </c>
      <c r="D57" s="52" t="s">
        <v>4498</v>
      </c>
    </row>
    <row r="58" ht="17.25" customHeight="1">
      <c r="A58" s="52" t="s">
        <v>967</v>
      </c>
      <c r="B58" s="52" t="s">
        <v>968</v>
      </c>
      <c r="D58" s="52" t="s">
        <v>4498</v>
      </c>
    </row>
    <row r="59" ht="17.25" customHeight="1">
      <c r="A59" s="52" t="s">
        <v>983</v>
      </c>
      <c r="B59" s="52" t="s">
        <v>984</v>
      </c>
      <c r="C59" s="52" t="s">
        <v>986</v>
      </c>
      <c r="D59" s="52" t="s">
        <v>4498</v>
      </c>
    </row>
    <row r="60" ht="17.25" customHeight="1">
      <c r="A60" s="52" t="s">
        <v>1007</v>
      </c>
      <c r="B60" s="52" t="s">
        <v>1008</v>
      </c>
      <c r="D60" s="52" t="s">
        <v>4499</v>
      </c>
    </row>
    <row r="61" ht="17.25" customHeight="1">
      <c r="A61" s="52" t="s">
        <v>1013</v>
      </c>
      <c r="B61" s="52" t="s">
        <v>1014</v>
      </c>
      <c r="C61" s="52" t="s">
        <v>1016</v>
      </c>
      <c r="D61" s="52" t="s">
        <v>4501</v>
      </c>
    </row>
    <row r="62" ht="17.25" customHeight="1">
      <c r="A62" s="52" t="s">
        <v>1029</v>
      </c>
      <c r="B62" s="52" t="s">
        <v>1030</v>
      </c>
      <c r="C62" s="52" t="s">
        <v>1033</v>
      </c>
      <c r="D62" s="52" t="s">
        <v>4498</v>
      </c>
    </row>
    <row r="63" ht="17.25" customHeight="1">
      <c r="A63" s="52" t="s">
        <v>1050</v>
      </c>
      <c r="B63" s="52" t="s">
        <v>1051</v>
      </c>
      <c r="C63" s="52" t="s">
        <v>1053</v>
      </c>
      <c r="D63" s="52" t="s">
        <v>4498</v>
      </c>
    </row>
    <row r="64" ht="17.25" customHeight="1">
      <c r="A64" s="52" t="s">
        <v>1060</v>
      </c>
      <c r="B64" s="52" t="s">
        <v>1061</v>
      </c>
      <c r="C64" s="52" t="s">
        <v>1063</v>
      </c>
      <c r="D64" s="52" t="s">
        <v>4498</v>
      </c>
    </row>
    <row r="65" ht="17.25" customHeight="1">
      <c r="A65" s="52" t="s">
        <v>1070</v>
      </c>
      <c r="B65" s="52" t="s">
        <v>1071</v>
      </c>
      <c r="C65" s="52" t="s">
        <v>1074</v>
      </c>
      <c r="D65" s="52" t="s">
        <v>4498</v>
      </c>
    </row>
    <row r="66" ht="17.25" customHeight="1">
      <c r="A66" s="52" t="s">
        <v>1089</v>
      </c>
      <c r="B66" s="52" t="s">
        <v>1090</v>
      </c>
      <c r="C66" s="52" t="s">
        <v>1091</v>
      </c>
      <c r="D66" s="52" t="s">
        <v>4498</v>
      </c>
    </row>
    <row r="67" ht="17.25" customHeight="1">
      <c r="A67" s="52" t="s">
        <v>1116</v>
      </c>
      <c r="B67" s="52" t="s">
        <v>1117</v>
      </c>
      <c r="C67" s="52" t="s">
        <v>1120</v>
      </c>
      <c r="D67" s="52" t="s">
        <v>4498</v>
      </c>
    </row>
    <row r="68" ht="17.25" customHeight="1">
      <c r="A68" s="52" t="s">
        <v>1140</v>
      </c>
      <c r="B68" s="52" t="s">
        <v>1141</v>
      </c>
      <c r="C68" s="52" t="s">
        <v>1142</v>
      </c>
      <c r="D68" s="52" t="s">
        <v>4498</v>
      </c>
    </row>
    <row r="69" ht="17.25" customHeight="1">
      <c r="A69" s="52" t="s">
        <v>1158</v>
      </c>
      <c r="B69" s="52" t="s">
        <v>1159</v>
      </c>
      <c r="C69" s="52" t="s">
        <v>1162</v>
      </c>
      <c r="D69" s="52" t="s">
        <v>4498</v>
      </c>
    </row>
    <row r="70" ht="17.25" customHeight="1">
      <c r="A70" s="52" t="s">
        <v>1169</v>
      </c>
      <c r="B70" s="52" t="s">
        <v>1170</v>
      </c>
      <c r="C70" s="52" t="s">
        <v>1172</v>
      </c>
      <c r="D70" s="52" t="s">
        <v>4498</v>
      </c>
    </row>
    <row r="71" ht="17.25" customHeight="1">
      <c r="A71" s="52" t="s">
        <v>1185</v>
      </c>
      <c r="B71" s="52" t="s">
        <v>1186</v>
      </c>
      <c r="C71" s="52" t="s">
        <v>1189</v>
      </c>
      <c r="D71" s="52" t="s">
        <v>4498</v>
      </c>
    </row>
    <row r="72" ht="17.25" customHeight="1">
      <c r="A72" s="52" t="s">
        <v>1195</v>
      </c>
      <c r="B72" s="52" t="s">
        <v>1196</v>
      </c>
      <c r="D72" s="52" t="s">
        <v>4498</v>
      </c>
    </row>
    <row r="73" ht="17.25" customHeight="1">
      <c r="A73" s="52" t="s">
        <v>1209</v>
      </c>
      <c r="B73" s="52" t="s">
        <v>1210</v>
      </c>
      <c r="C73" s="52" t="s">
        <v>1212</v>
      </c>
      <c r="D73" s="52" t="s">
        <v>4498</v>
      </c>
    </row>
    <row r="74" ht="17.25" customHeight="1">
      <c r="A74" s="52" t="s">
        <v>1229</v>
      </c>
      <c r="B74" s="52" t="s">
        <v>1230</v>
      </c>
      <c r="D74" s="52" t="s">
        <v>4499</v>
      </c>
    </row>
    <row r="75" ht="17.25" customHeight="1">
      <c r="A75" s="52" t="s">
        <v>1254</v>
      </c>
      <c r="B75" s="52" t="s">
        <v>1255</v>
      </c>
      <c r="D75" s="52" t="s">
        <v>4498</v>
      </c>
    </row>
    <row r="76" ht="17.25" customHeight="1">
      <c r="A76" s="52" t="s">
        <v>1264</v>
      </c>
      <c r="B76" s="52" t="s">
        <v>1265</v>
      </c>
      <c r="C76" s="52" t="s">
        <v>1267</v>
      </c>
      <c r="D76" s="52" t="s">
        <v>4498</v>
      </c>
    </row>
    <row r="77" ht="17.25" customHeight="1">
      <c r="A77" s="52" t="s">
        <v>1298</v>
      </c>
      <c r="B77" s="52" t="s">
        <v>1299</v>
      </c>
      <c r="C77" s="52" t="s">
        <v>1301</v>
      </c>
      <c r="D77" s="52" t="s">
        <v>4501</v>
      </c>
    </row>
    <row r="78" ht="17.25" customHeight="1">
      <c r="A78" s="52" t="s">
        <v>1309</v>
      </c>
      <c r="B78" s="52" t="s">
        <v>1310</v>
      </c>
      <c r="C78" s="52" t="s">
        <v>1312</v>
      </c>
      <c r="D78" s="52" t="s">
        <v>4498</v>
      </c>
    </row>
    <row r="79" ht="17.25" customHeight="1">
      <c r="A79" s="52" t="s">
        <v>1355</v>
      </c>
      <c r="B79" s="52" t="s">
        <v>1356</v>
      </c>
      <c r="C79" s="52" t="s">
        <v>1357</v>
      </c>
      <c r="D79" s="52" t="s">
        <v>4498</v>
      </c>
    </row>
    <row r="80" ht="17.25" customHeight="1">
      <c r="A80" s="52" t="s">
        <v>1365</v>
      </c>
      <c r="B80" s="52" t="s">
        <v>1366</v>
      </c>
      <c r="C80" s="52" t="s">
        <v>1369</v>
      </c>
      <c r="D80" s="52" t="s">
        <v>4498</v>
      </c>
    </row>
    <row r="81" ht="17.25" customHeight="1">
      <c r="A81" s="52" t="s">
        <v>1375</v>
      </c>
      <c r="B81" s="52" t="s">
        <v>1376</v>
      </c>
      <c r="C81" s="52" t="s">
        <v>1379</v>
      </c>
      <c r="D81" s="52" t="s">
        <v>4498</v>
      </c>
    </row>
    <row r="82" ht="17.25" customHeight="1">
      <c r="A82" s="52" t="s">
        <v>1385</v>
      </c>
      <c r="B82" s="52" t="s">
        <v>1386</v>
      </c>
      <c r="C82" s="52" t="s">
        <v>1389</v>
      </c>
      <c r="D82" s="52" t="s">
        <v>4498</v>
      </c>
    </row>
    <row r="83" ht="17.25" customHeight="1">
      <c r="A83" s="52" t="s">
        <v>1395</v>
      </c>
      <c r="B83" s="52" t="s">
        <v>1396</v>
      </c>
      <c r="C83" s="52" t="s">
        <v>1398</v>
      </c>
      <c r="D83" s="52" t="s">
        <v>4498</v>
      </c>
    </row>
    <row r="84" ht="17.25" customHeight="1">
      <c r="A84" s="52" t="s">
        <v>1406</v>
      </c>
      <c r="B84" s="52" t="s">
        <v>1407</v>
      </c>
      <c r="C84" s="52" t="s">
        <v>1409</v>
      </c>
      <c r="D84" s="52" t="s">
        <v>4498</v>
      </c>
    </row>
    <row r="85" ht="17.25" customHeight="1">
      <c r="A85" s="52" t="s">
        <v>1415</v>
      </c>
      <c r="B85" s="52" t="s">
        <v>1416</v>
      </c>
      <c r="D85" s="52" t="s">
        <v>4498</v>
      </c>
    </row>
    <row r="86" ht="17.25" customHeight="1">
      <c r="A86" s="52" t="s">
        <v>1424</v>
      </c>
      <c r="B86" s="52" t="s">
        <v>1425</v>
      </c>
      <c r="C86" s="52" t="s">
        <v>1427</v>
      </c>
      <c r="D86" s="52" t="s">
        <v>4498</v>
      </c>
    </row>
    <row r="87" ht="17.25" customHeight="1">
      <c r="A87" s="52" t="s">
        <v>1434</v>
      </c>
      <c r="B87" s="52" t="s">
        <v>1435</v>
      </c>
      <c r="D87" s="52" t="s">
        <v>4498</v>
      </c>
    </row>
    <row r="88" ht="17.25" customHeight="1">
      <c r="A88" s="52" t="s">
        <v>1443</v>
      </c>
      <c r="B88" s="52" t="s">
        <v>1444</v>
      </c>
      <c r="C88" s="52" t="s">
        <v>1446</v>
      </c>
      <c r="D88" s="52" t="s">
        <v>4501</v>
      </c>
    </row>
    <row r="89" ht="17.25" customHeight="1">
      <c r="A89" s="52" t="s">
        <v>1458</v>
      </c>
      <c r="B89" s="52" t="s">
        <v>1459</v>
      </c>
      <c r="C89" s="52" t="s">
        <v>1461</v>
      </c>
      <c r="D89" s="52" t="s">
        <v>4498</v>
      </c>
    </row>
    <row r="90" ht="17.25" customHeight="1">
      <c r="A90" s="52" t="s">
        <v>1502</v>
      </c>
      <c r="B90" s="52" t="s">
        <v>1503</v>
      </c>
      <c r="C90" s="52" t="s">
        <v>1504</v>
      </c>
      <c r="D90" s="52" t="s">
        <v>4498</v>
      </c>
    </row>
    <row r="91" ht="17.25" customHeight="1">
      <c r="A91" s="52" t="s">
        <v>1517</v>
      </c>
      <c r="B91" s="52" t="s">
        <v>1518</v>
      </c>
      <c r="C91" s="52" t="s">
        <v>1519</v>
      </c>
      <c r="D91" s="52" t="s">
        <v>4498</v>
      </c>
    </row>
    <row r="92" ht="17.25" customHeight="1">
      <c r="A92" s="52" t="s">
        <v>1527</v>
      </c>
      <c r="B92" s="52" t="s">
        <v>1528</v>
      </c>
      <c r="C92" s="52" t="s">
        <v>1530</v>
      </c>
      <c r="D92" s="52" t="s">
        <v>4498</v>
      </c>
    </row>
    <row r="93" ht="17.25" customHeight="1">
      <c r="A93" s="52" t="s">
        <v>1536</v>
      </c>
      <c r="B93" s="52" t="s">
        <v>1537</v>
      </c>
      <c r="C93" s="52" t="s">
        <v>1539</v>
      </c>
      <c r="D93" s="52" t="s">
        <v>4499</v>
      </c>
    </row>
    <row r="94" ht="17.25" customHeight="1">
      <c r="A94" s="52" t="s">
        <v>1549</v>
      </c>
      <c r="B94" s="52" t="s">
        <v>1550</v>
      </c>
      <c r="C94" s="52" t="s">
        <v>1552</v>
      </c>
      <c r="D94" s="52" t="s">
        <v>4498</v>
      </c>
    </row>
    <row r="95" ht="17.25" customHeight="1">
      <c r="A95" s="52" t="s">
        <v>1562</v>
      </c>
      <c r="B95" s="52" t="s">
        <v>1563</v>
      </c>
      <c r="C95" s="52" t="s">
        <v>1564</v>
      </c>
      <c r="D95" s="52" t="s">
        <v>4498</v>
      </c>
    </row>
    <row r="96" ht="17.25" customHeight="1">
      <c r="A96" s="52" t="s">
        <v>1578</v>
      </c>
      <c r="B96" s="52" t="s">
        <v>1579</v>
      </c>
      <c r="C96" s="52" t="s">
        <v>1580</v>
      </c>
      <c r="D96" s="52" t="s">
        <v>4498</v>
      </c>
    </row>
    <row r="97" ht="17.25" customHeight="1">
      <c r="A97" s="52" t="s">
        <v>1587</v>
      </c>
      <c r="B97" s="52" t="s">
        <v>1588</v>
      </c>
      <c r="C97" s="52" t="s">
        <v>1590</v>
      </c>
      <c r="D97" s="52" t="s">
        <v>4499</v>
      </c>
    </row>
    <row r="98" ht="17.25" customHeight="1">
      <c r="A98" s="52" t="s">
        <v>1609</v>
      </c>
      <c r="B98" s="52" t="s">
        <v>1610</v>
      </c>
      <c r="C98" s="52" t="s">
        <v>1612</v>
      </c>
      <c r="D98" s="52" t="s">
        <v>4498</v>
      </c>
    </row>
    <row r="99" ht="17.25" customHeight="1">
      <c r="A99" s="52" t="s">
        <v>1618</v>
      </c>
      <c r="B99" s="52" t="s">
        <v>1619</v>
      </c>
      <c r="D99" s="52" t="s">
        <v>4498</v>
      </c>
    </row>
    <row r="100" ht="17.25" customHeight="1">
      <c r="A100" s="52" t="s">
        <v>1636</v>
      </c>
      <c r="B100" s="52" t="s">
        <v>1637</v>
      </c>
      <c r="D100" s="52" t="s">
        <v>4499</v>
      </c>
    </row>
    <row r="101" ht="17.25" customHeight="1">
      <c r="A101" s="52" t="s">
        <v>1652</v>
      </c>
      <c r="B101" s="52" t="s">
        <v>1653</v>
      </c>
      <c r="C101" s="52" t="s">
        <v>1655</v>
      </c>
      <c r="D101" s="52" t="s">
        <v>4498</v>
      </c>
    </row>
    <row r="102" ht="17.25" customHeight="1">
      <c r="A102" s="52" t="s">
        <v>1662</v>
      </c>
      <c r="B102" s="52" t="s">
        <v>1663</v>
      </c>
      <c r="C102" s="52" t="s">
        <v>1665</v>
      </c>
      <c r="D102" s="52" t="s">
        <v>4498</v>
      </c>
    </row>
    <row r="103" ht="17.25" customHeight="1">
      <c r="A103" s="52" t="s">
        <v>1686</v>
      </c>
      <c r="B103" s="52" t="s">
        <v>1687</v>
      </c>
      <c r="C103" s="52" t="s">
        <v>1689</v>
      </c>
      <c r="D103" s="52" t="s">
        <v>4498</v>
      </c>
    </row>
    <row r="104" ht="17.25" customHeight="1">
      <c r="A104" s="52" t="s">
        <v>1708</v>
      </c>
      <c r="B104" s="52" t="s">
        <v>1709</v>
      </c>
      <c r="C104" s="52" t="s">
        <v>1711</v>
      </c>
      <c r="D104" s="52" t="s">
        <v>4498</v>
      </c>
    </row>
    <row r="105" ht="17.25" customHeight="1">
      <c r="A105" s="52" t="s">
        <v>1722</v>
      </c>
      <c r="B105" s="52" t="s">
        <v>1723</v>
      </c>
      <c r="D105" s="52" t="s">
        <v>4499</v>
      </c>
    </row>
    <row r="106" ht="17.25" customHeight="1">
      <c r="A106" s="52" t="s">
        <v>1737</v>
      </c>
      <c r="B106" s="52" t="s">
        <v>1738</v>
      </c>
      <c r="D106" s="52" t="s">
        <v>4498</v>
      </c>
    </row>
    <row r="107" ht="17.25" customHeight="1">
      <c r="A107" s="52" t="s">
        <v>1781</v>
      </c>
      <c r="B107" s="52" t="s">
        <v>1782</v>
      </c>
      <c r="D107" s="52" t="s">
        <v>4498</v>
      </c>
    </row>
    <row r="108" ht="17.25" customHeight="1">
      <c r="A108" s="52" t="s">
        <v>1788</v>
      </c>
      <c r="B108" s="52" t="s">
        <v>1789</v>
      </c>
      <c r="D108" s="52" t="s">
        <v>4498</v>
      </c>
    </row>
    <row r="109" ht="17.25" customHeight="1">
      <c r="A109" s="52" t="s">
        <v>1798</v>
      </c>
      <c r="B109" s="52" t="s">
        <v>1799</v>
      </c>
      <c r="C109" s="52" t="s">
        <v>1802</v>
      </c>
      <c r="D109" s="52" t="s">
        <v>4498</v>
      </c>
    </row>
    <row r="110" ht="17.25" customHeight="1">
      <c r="A110" s="52" t="s">
        <v>1808</v>
      </c>
      <c r="B110" s="52" t="s">
        <v>1809</v>
      </c>
      <c r="C110" s="52" t="s">
        <v>1811</v>
      </c>
      <c r="D110" s="52" t="s">
        <v>4498</v>
      </c>
    </row>
    <row r="111" ht="17.25" customHeight="1">
      <c r="A111" s="52" t="s">
        <v>1825</v>
      </c>
      <c r="B111" s="52" t="s">
        <v>1826</v>
      </c>
      <c r="C111" s="52" t="s">
        <v>1828</v>
      </c>
      <c r="D111" s="52" t="s">
        <v>4498</v>
      </c>
    </row>
    <row r="112" ht="17.25" customHeight="1">
      <c r="A112" s="52" t="s">
        <v>1846</v>
      </c>
      <c r="B112" s="52" t="s">
        <v>1847</v>
      </c>
      <c r="C112" s="52" t="s">
        <v>1849</v>
      </c>
      <c r="D112" s="52" t="s">
        <v>4498</v>
      </c>
    </row>
    <row r="113" ht="17.25" customHeight="1">
      <c r="A113" s="52" t="s">
        <v>1864</v>
      </c>
      <c r="B113" s="52" t="s">
        <v>1865</v>
      </c>
      <c r="C113" s="52" t="s">
        <v>1868</v>
      </c>
      <c r="D113" s="52" t="s">
        <v>4498</v>
      </c>
    </row>
    <row r="114" ht="17.25" customHeight="1">
      <c r="A114" s="52" t="s">
        <v>1893</v>
      </c>
      <c r="B114" s="52" t="s">
        <v>1894</v>
      </c>
      <c r="C114" s="52" t="s">
        <v>1896</v>
      </c>
      <c r="D114" s="52" t="s">
        <v>4498</v>
      </c>
    </row>
    <row r="115" ht="17.25" customHeight="1">
      <c r="A115" s="52" t="s">
        <v>1903</v>
      </c>
      <c r="B115" s="52" t="s">
        <v>1904</v>
      </c>
      <c r="D115" s="52" t="s">
        <v>4498</v>
      </c>
    </row>
    <row r="116" ht="17.25" customHeight="1">
      <c r="A116" s="52" t="s">
        <v>1921</v>
      </c>
      <c r="B116" s="52" t="s">
        <v>1922</v>
      </c>
      <c r="C116" s="52" t="s">
        <v>1925</v>
      </c>
      <c r="D116" s="52" t="s">
        <v>4498</v>
      </c>
    </row>
    <row r="117" ht="17.25" customHeight="1">
      <c r="A117" s="52" t="s">
        <v>1953</v>
      </c>
      <c r="B117" s="52" t="s">
        <v>1954</v>
      </c>
      <c r="C117" s="52" t="s">
        <v>1956</v>
      </c>
      <c r="D117" s="52" t="s">
        <v>4498</v>
      </c>
    </row>
    <row r="118" ht="17.25" customHeight="1">
      <c r="A118" s="52" t="s">
        <v>1969</v>
      </c>
      <c r="B118" s="52" t="s">
        <v>1970</v>
      </c>
      <c r="D118" s="52" t="s">
        <v>4501</v>
      </c>
    </row>
    <row r="119" ht="17.25" customHeight="1">
      <c r="A119" s="52" t="s">
        <v>1985</v>
      </c>
      <c r="B119" s="52" t="s">
        <v>1986</v>
      </c>
      <c r="C119" s="52" t="s">
        <v>1988</v>
      </c>
      <c r="D119" s="52" t="s">
        <v>4498</v>
      </c>
    </row>
    <row r="120" ht="17.25" customHeight="1">
      <c r="A120" s="52" t="s">
        <v>1992</v>
      </c>
      <c r="B120" s="52" t="s">
        <v>1993</v>
      </c>
      <c r="C120" s="52" t="s">
        <v>1995</v>
      </c>
      <c r="D120" s="52" t="s">
        <v>4498</v>
      </c>
    </row>
    <row r="121" ht="17.25" customHeight="1">
      <c r="A121" s="52" t="s">
        <v>2020</v>
      </c>
      <c r="B121" s="52" t="s">
        <v>2021</v>
      </c>
      <c r="C121" s="52" t="s">
        <v>2024</v>
      </c>
      <c r="D121" s="52" t="s">
        <v>4501</v>
      </c>
    </row>
    <row r="122" ht="17.25" customHeight="1">
      <c r="A122" s="52" t="s">
        <v>2036</v>
      </c>
      <c r="B122" s="52" t="s">
        <v>2037</v>
      </c>
      <c r="D122" s="52" t="s">
        <v>4501</v>
      </c>
    </row>
    <row r="123" ht="17.25" customHeight="1">
      <c r="A123" s="52" t="s">
        <v>2055</v>
      </c>
      <c r="B123" s="52" t="s">
        <v>2056</v>
      </c>
      <c r="C123" s="52" t="s">
        <v>2058</v>
      </c>
      <c r="D123" s="52" t="s">
        <v>4498</v>
      </c>
    </row>
    <row r="124" ht="17.25" customHeight="1">
      <c r="A124" s="52" t="s">
        <v>2063</v>
      </c>
      <c r="B124" s="52" t="s">
        <v>2064</v>
      </c>
      <c r="C124" s="52" t="s">
        <v>2066</v>
      </c>
      <c r="D124" s="52" t="s">
        <v>4498</v>
      </c>
    </row>
    <row r="125" ht="17.25" customHeight="1">
      <c r="A125" s="52" t="s">
        <v>2103</v>
      </c>
      <c r="B125" s="52" t="s">
        <v>2104</v>
      </c>
      <c r="C125" s="52" t="s">
        <v>2106</v>
      </c>
      <c r="D125" s="52" t="s">
        <v>4498</v>
      </c>
    </row>
    <row r="126" ht="17.25" customHeight="1">
      <c r="A126" s="52" t="s">
        <v>2120</v>
      </c>
      <c r="B126" s="52" t="s">
        <v>2121</v>
      </c>
      <c r="C126" s="52" t="s">
        <v>2123</v>
      </c>
      <c r="D126" s="52" t="s">
        <v>4498</v>
      </c>
    </row>
    <row r="127" ht="17.25" customHeight="1">
      <c r="A127" s="52" t="s">
        <v>2145</v>
      </c>
      <c r="B127" s="52" t="s">
        <v>2146</v>
      </c>
      <c r="D127" s="52" t="s">
        <v>4498</v>
      </c>
    </row>
    <row r="128" ht="17.25" customHeight="1">
      <c r="A128" s="52" t="s">
        <v>2168</v>
      </c>
      <c r="B128" s="52" t="s">
        <v>2169</v>
      </c>
      <c r="D128" s="52" t="s">
        <v>4498</v>
      </c>
    </row>
    <row r="129" ht="17.25" customHeight="1">
      <c r="A129" s="52" t="s">
        <v>2183</v>
      </c>
      <c r="B129" s="52" t="s">
        <v>2184</v>
      </c>
      <c r="C129" s="52" t="s">
        <v>2185</v>
      </c>
      <c r="D129" s="52" t="s">
        <v>4498</v>
      </c>
    </row>
    <row r="130" ht="17.25" customHeight="1">
      <c r="A130" s="52" t="s">
        <v>2190</v>
      </c>
      <c r="B130" s="52" t="s">
        <v>2191</v>
      </c>
      <c r="C130" s="52" t="s">
        <v>2193</v>
      </c>
      <c r="D130" s="52" t="s">
        <v>4498</v>
      </c>
    </row>
    <row r="131" ht="17.25" customHeight="1">
      <c r="A131" s="52" t="s">
        <v>2200</v>
      </c>
      <c r="B131" s="52" t="s">
        <v>2201</v>
      </c>
      <c r="C131" s="52" t="s">
        <v>2203</v>
      </c>
      <c r="D131" s="52" t="s">
        <v>4501</v>
      </c>
    </row>
    <row r="132" ht="17.25" customHeight="1">
      <c r="A132" s="52" t="s">
        <v>2211</v>
      </c>
      <c r="B132" s="52" t="s">
        <v>2212</v>
      </c>
      <c r="C132" s="52" t="s">
        <v>2214</v>
      </c>
      <c r="D132" s="52" t="s">
        <v>4498</v>
      </c>
    </row>
    <row r="133" ht="17.25" customHeight="1">
      <c r="A133" s="52" t="s">
        <v>2251</v>
      </c>
      <c r="B133" s="52" t="s">
        <v>2252</v>
      </c>
      <c r="C133" s="52" t="s">
        <v>2253</v>
      </c>
      <c r="D133" s="52" t="s">
        <v>4498</v>
      </c>
    </row>
    <row r="134" ht="17.25" customHeight="1">
      <c r="A134" s="52" t="s">
        <v>2283</v>
      </c>
      <c r="B134" s="52" t="s">
        <v>2284</v>
      </c>
      <c r="C134" s="52" t="s">
        <v>2286</v>
      </c>
      <c r="D134" s="52" t="s">
        <v>4501</v>
      </c>
    </row>
    <row r="135" ht="17.25" customHeight="1">
      <c r="A135" s="52" t="s">
        <v>2291</v>
      </c>
      <c r="B135" s="52" t="s">
        <v>2292</v>
      </c>
      <c r="D135" s="52" t="s">
        <v>4498</v>
      </c>
    </row>
    <row r="136" ht="17.25" customHeight="1">
      <c r="A136" s="52" t="s">
        <v>2299</v>
      </c>
      <c r="B136" s="52" t="s">
        <v>2300</v>
      </c>
      <c r="C136" s="52" t="s">
        <v>2302</v>
      </c>
      <c r="D136" s="52" t="s">
        <v>4501</v>
      </c>
    </row>
    <row r="137" ht="17.25" customHeight="1">
      <c r="A137" s="52" t="s">
        <v>2313</v>
      </c>
      <c r="B137" s="52" t="s">
        <v>2314</v>
      </c>
      <c r="D137" s="52" t="s">
        <v>4498</v>
      </c>
    </row>
    <row r="138" ht="17.25" customHeight="1">
      <c r="A138" s="52" t="s">
        <v>2328</v>
      </c>
      <c r="B138" s="52" t="s">
        <v>2329</v>
      </c>
      <c r="C138" s="52" t="s">
        <v>2331</v>
      </c>
      <c r="D138" s="52" t="s">
        <v>4499</v>
      </c>
    </row>
    <row r="139" ht="17.25" customHeight="1">
      <c r="A139" s="52" t="s">
        <v>2337</v>
      </c>
      <c r="B139" s="52" t="s">
        <v>2338</v>
      </c>
      <c r="D139" s="52" t="s">
        <v>4499</v>
      </c>
    </row>
    <row r="140" ht="17.25" customHeight="1">
      <c r="A140" s="52" t="s">
        <v>2346</v>
      </c>
      <c r="B140" s="52" t="s">
        <v>2347</v>
      </c>
      <c r="D140" s="52" t="s">
        <v>4498</v>
      </c>
    </row>
    <row r="141" ht="17.25" customHeight="1">
      <c r="A141" s="52" t="s">
        <v>2354</v>
      </c>
      <c r="B141" s="52" t="s">
        <v>2355</v>
      </c>
      <c r="C141" s="52" t="s">
        <v>2357</v>
      </c>
      <c r="D141" s="52" t="s">
        <v>4498</v>
      </c>
    </row>
    <row r="142" ht="17.25" customHeight="1">
      <c r="A142" s="52" t="s">
        <v>2384</v>
      </c>
      <c r="B142" s="52" t="s">
        <v>2385</v>
      </c>
      <c r="C142" s="52" t="s">
        <v>2389</v>
      </c>
      <c r="D142" s="52" t="s">
        <v>4501</v>
      </c>
    </row>
    <row r="143" ht="17.25" customHeight="1">
      <c r="A143" s="52" t="s">
        <v>2414</v>
      </c>
      <c r="B143" s="52" t="s">
        <v>2415</v>
      </c>
      <c r="C143" s="52" t="s">
        <v>2419</v>
      </c>
      <c r="D143" s="52" t="s">
        <v>4501</v>
      </c>
    </row>
    <row r="144" ht="17.25" customHeight="1">
      <c r="A144" s="52" t="s">
        <v>2424</v>
      </c>
      <c r="B144" s="52" t="s">
        <v>2425</v>
      </c>
      <c r="C144" s="52" t="s">
        <v>2428</v>
      </c>
      <c r="D144" s="52" t="s">
        <v>4501</v>
      </c>
    </row>
    <row r="145" ht="17.25" customHeight="1">
      <c r="A145" s="52" t="s">
        <v>2435</v>
      </c>
      <c r="B145" s="52" t="s">
        <v>2436</v>
      </c>
      <c r="C145" s="52" t="s">
        <v>2439</v>
      </c>
      <c r="D145" s="52" t="s">
        <v>4501</v>
      </c>
    </row>
    <row r="146" ht="17.25" customHeight="1">
      <c r="A146" s="52" t="s">
        <v>2452</v>
      </c>
      <c r="B146" s="52" t="s">
        <v>2453</v>
      </c>
      <c r="C146" s="52" t="s">
        <v>2457</v>
      </c>
      <c r="D146" s="52" t="s">
        <v>4499</v>
      </c>
    </row>
    <row r="147" ht="17.25" customHeight="1">
      <c r="A147" s="52" t="s">
        <v>2473</v>
      </c>
      <c r="B147" s="52" t="s">
        <v>2474</v>
      </c>
      <c r="D147" s="52" t="s">
        <v>4499</v>
      </c>
    </row>
    <row r="148" ht="17.25" customHeight="1">
      <c r="A148" s="52" t="s">
        <v>2483</v>
      </c>
      <c r="B148" s="52" t="s">
        <v>2484</v>
      </c>
      <c r="C148" s="52" t="s">
        <v>2487</v>
      </c>
      <c r="D148" s="52" t="s">
        <v>4501</v>
      </c>
    </row>
    <row r="149" ht="17.25" customHeight="1">
      <c r="A149" s="52" t="s">
        <v>2518</v>
      </c>
      <c r="B149" s="52" t="s">
        <v>2519</v>
      </c>
      <c r="C149" s="52" t="s">
        <v>2522</v>
      </c>
      <c r="D149" s="52" t="s">
        <v>4499</v>
      </c>
    </row>
    <row r="150" ht="17.25" customHeight="1">
      <c r="A150" s="52" t="s">
        <v>2528</v>
      </c>
      <c r="B150" s="52" t="s">
        <v>2529</v>
      </c>
      <c r="D150" s="52" t="s">
        <v>4499</v>
      </c>
    </row>
    <row r="151" ht="17.25" customHeight="1">
      <c r="A151" s="52" t="s">
        <v>2551</v>
      </c>
      <c r="B151" s="52" t="s">
        <v>2552</v>
      </c>
      <c r="C151" s="52" t="s">
        <v>2556</v>
      </c>
      <c r="D151" s="52" t="s">
        <v>4501</v>
      </c>
    </row>
    <row r="152" ht="17.25" customHeight="1">
      <c r="A152" s="52" t="s">
        <v>2569</v>
      </c>
      <c r="B152" s="52" t="s">
        <v>2570</v>
      </c>
      <c r="C152" s="52" t="s">
        <v>2573</v>
      </c>
      <c r="D152" s="52" t="s">
        <v>4501</v>
      </c>
    </row>
    <row r="153" ht="17.25" customHeight="1">
      <c r="A153" s="52" t="s">
        <v>2603</v>
      </c>
      <c r="B153" s="52" t="s">
        <v>2604</v>
      </c>
      <c r="C153" s="52" t="s">
        <v>2606</v>
      </c>
      <c r="D153" s="52" t="s">
        <v>4501</v>
      </c>
    </row>
    <row r="154" ht="17.25" customHeight="1">
      <c r="A154" s="52" t="s">
        <v>2620</v>
      </c>
      <c r="B154" s="52" t="s">
        <v>2621</v>
      </c>
      <c r="D154" s="52" t="s">
        <v>4499</v>
      </c>
    </row>
    <row r="155" ht="17.25" customHeight="1">
      <c r="A155" s="52" t="s">
        <v>2629</v>
      </c>
      <c r="B155" s="52" t="s">
        <v>2630</v>
      </c>
      <c r="C155" s="52" t="s">
        <v>2634</v>
      </c>
      <c r="D155" s="52" t="s">
        <v>4499</v>
      </c>
    </row>
    <row r="156" ht="17.25" customHeight="1">
      <c r="A156" s="52" t="s">
        <v>2640</v>
      </c>
      <c r="B156" s="52" t="s">
        <v>2641</v>
      </c>
      <c r="C156" s="52" t="s">
        <v>2644</v>
      </c>
      <c r="D156" s="52" t="s">
        <v>4499</v>
      </c>
    </row>
    <row r="157" ht="17.25" customHeight="1">
      <c r="A157" s="52" t="s">
        <v>2661</v>
      </c>
      <c r="B157" s="52" t="s">
        <v>2662</v>
      </c>
      <c r="C157" s="52" t="s">
        <v>2665</v>
      </c>
      <c r="D157" s="52" t="s">
        <v>4501</v>
      </c>
    </row>
    <row r="158" ht="17.25" customHeight="1">
      <c r="A158" s="52" t="s">
        <v>2671</v>
      </c>
      <c r="B158" s="52" t="s">
        <v>2672</v>
      </c>
      <c r="C158" s="52" t="s">
        <v>2675</v>
      </c>
      <c r="D158" s="52" t="s">
        <v>4501</v>
      </c>
    </row>
    <row r="159" ht="17.25" customHeight="1">
      <c r="A159" s="52" t="s">
        <v>2681</v>
      </c>
      <c r="B159" s="52" t="s">
        <v>2682</v>
      </c>
      <c r="D159" s="52" t="s">
        <v>4499</v>
      </c>
    </row>
    <row r="160" ht="17.25" customHeight="1">
      <c r="A160" s="52" t="s">
        <v>2689</v>
      </c>
      <c r="B160" s="52" t="s">
        <v>2690</v>
      </c>
      <c r="C160" s="52" t="s">
        <v>2692</v>
      </c>
      <c r="D160" s="52" t="s">
        <v>4501</v>
      </c>
    </row>
    <row r="161" ht="17.25" customHeight="1">
      <c r="A161" s="52" t="s">
        <v>2698</v>
      </c>
      <c r="B161" s="52" t="s">
        <v>2699</v>
      </c>
      <c r="D161" s="52" t="s">
        <v>4499</v>
      </c>
    </row>
    <row r="162" ht="17.25" customHeight="1">
      <c r="A162" s="52" t="s">
        <v>2705</v>
      </c>
      <c r="B162" s="52" t="s">
        <v>2706</v>
      </c>
      <c r="C162" s="52" t="s">
        <v>2709</v>
      </c>
      <c r="D162" s="52" t="s">
        <v>4498</v>
      </c>
    </row>
    <row r="163" ht="17.25" customHeight="1">
      <c r="A163" s="52" t="s">
        <v>2716</v>
      </c>
      <c r="B163" s="52" t="s">
        <v>2717</v>
      </c>
      <c r="D163" s="52" t="s">
        <v>4499</v>
      </c>
    </row>
    <row r="164" ht="17.25" customHeight="1">
      <c r="A164" s="52" t="s">
        <v>2732</v>
      </c>
      <c r="B164" s="52" t="s">
        <v>2733</v>
      </c>
      <c r="C164" s="52" t="s">
        <v>2736</v>
      </c>
      <c r="D164" s="52" t="s">
        <v>4501</v>
      </c>
    </row>
    <row r="165" ht="17.25" customHeight="1">
      <c r="A165" s="52" t="s">
        <v>2742</v>
      </c>
      <c r="B165" s="52" t="s">
        <v>2743</v>
      </c>
      <c r="C165" s="52" t="s">
        <v>2746</v>
      </c>
      <c r="D165" s="52" t="s">
        <v>4501</v>
      </c>
    </row>
    <row r="166" ht="17.25" customHeight="1">
      <c r="A166" s="52" t="s">
        <v>2753</v>
      </c>
      <c r="B166" s="52" t="s">
        <v>2754</v>
      </c>
      <c r="C166" s="52" t="s">
        <v>2756</v>
      </c>
      <c r="D166" s="52" t="s">
        <v>4501</v>
      </c>
    </row>
    <row r="167" ht="17.25" customHeight="1">
      <c r="A167" s="52" t="s">
        <v>2763</v>
      </c>
      <c r="B167" s="52" t="s">
        <v>2764</v>
      </c>
      <c r="C167" s="52" t="s">
        <v>2767</v>
      </c>
      <c r="D167" s="52" t="s">
        <v>4501</v>
      </c>
    </row>
    <row r="168" ht="17.25" customHeight="1">
      <c r="A168" s="52" t="s">
        <v>2798</v>
      </c>
      <c r="B168" s="52" t="s">
        <v>2799</v>
      </c>
      <c r="C168" s="52" t="s">
        <v>2801</v>
      </c>
      <c r="D168" s="52" t="s">
        <v>4501</v>
      </c>
    </row>
    <row r="169" ht="17.25" customHeight="1">
      <c r="A169" s="52" t="s">
        <v>2806</v>
      </c>
      <c r="B169" s="52" t="s">
        <v>2807</v>
      </c>
      <c r="C169" s="52" t="s">
        <v>2810</v>
      </c>
      <c r="D169" s="52" t="s">
        <v>4501</v>
      </c>
    </row>
    <row r="170" ht="17.25" customHeight="1">
      <c r="A170" s="52" t="s">
        <v>2815</v>
      </c>
      <c r="B170" s="52" t="s">
        <v>2816</v>
      </c>
      <c r="D170" s="52" t="s">
        <v>4499</v>
      </c>
    </row>
    <row r="171" ht="17.25" customHeight="1">
      <c r="A171" s="52" t="s">
        <v>2847</v>
      </c>
      <c r="B171" s="52" t="s">
        <v>2848</v>
      </c>
      <c r="C171" s="52" t="s">
        <v>2849</v>
      </c>
      <c r="D171" s="52" t="s">
        <v>4498</v>
      </c>
    </row>
    <row r="172" ht="17.25" customHeight="1">
      <c r="A172" s="52" t="s">
        <v>2854</v>
      </c>
      <c r="B172" s="52" t="s">
        <v>2855</v>
      </c>
      <c r="C172" s="52" t="s">
        <v>2858</v>
      </c>
      <c r="D172" s="52" t="s">
        <v>4501</v>
      </c>
    </row>
    <row r="173" ht="17.25" customHeight="1">
      <c r="A173" s="52" t="s">
        <v>2864</v>
      </c>
      <c r="B173" s="52" t="s">
        <v>2865</v>
      </c>
      <c r="C173" s="52" t="s">
        <v>2868</v>
      </c>
      <c r="D173" s="52" t="s">
        <v>4501</v>
      </c>
    </row>
    <row r="174" ht="17.25" customHeight="1">
      <c r="A174" s="52" t="s">
        <v>2903</v>
      </c>
      <c r="B174" s="52" t="s">
        <v>2904</v>
      </c>
      <c r="D174" s="52" t="s">
        <v>4499</v>
      </c>
    </row>
    <row r="175" ht="17.25" customHeight="1">
      <c r="A175" s="52" t="s">
        <v>2910</v>
      </c>
      <c r="B175" s="52" t="s">
        <v>2911</v>
      </c>
      <c r="C175" s="52" t="s">
        <v>2913</v>
      </c>
      <c r="D175" s="52" t="s">
        <v>4501</v>
      </c>
    </row>
    <row r="176" ht="17.25" customHeight="1">
      <c r="A176" s="52" t="s">
        <v>2919</v>
      </c>
      <c r="B176" s="52" t="s">
        <v>2920</v>
      </c>
      <c r="C176" s="52" t="s">
        <v>2923</v>
      </c>
      <c r="D176" s="52" t="s">
        <v>4501</v>
      </c>
    </row>
    <row r="177" ht="17.25" customHeight="1">
      <c r="A177" s="52" t="s">
        <v>2941</v>
      </c>
      <c r="B177" s="52" t="s">
        <v>2942</v>
      </c>
      <c r="C177" s="52" t="s">
        <v>2944</v>
      </c>
      <c r="D177" s="52" t="s">
        <v>4501</v>
      </c>
    </row>
    <row r="178" ht="17.25" customHeight="1">
      <c r="A178" s="52" t="s">
        <v>2971</v>
      </c>
      <c r="B178" s="52" t="s">
        <v>2972</v>
      </c>
      <c r="C178" s="52" t="s">
        <v>2973</v>
      </c>
      <c r="D178" s="52" t="s">
        <v>4501</v>
      </c>
    </row>
    <row r="179" ht="17.25" customHeight="1">
      <c r="A179" s="52" t="s">
        <v>2979</v>
      </c>
      <c r="B179" s="52" t="s">
        <v>2980</v>
      </c>
      <c r="C179" s="52" t="s">
        <v>2982</v>
      </c>
      <c r="D179" s="52" t="s">
        <v>4501</v>
      </c>
    </row>
    <row r="180" ht="17.25" customHeight="1">
      <c r="A180" s="52" t="s">
        <v>3038</v>
      </c>
      <c r="B180" s="52" t="s">
        <v>3039</v>
      </c>
      <c r="C180" s="52" t="s">
        <v>3042</v>
      </c>
      <c r="D180" s="52" t="s">
        <v>4501</v>
      </c>
    </row>
    <row r="181" ht="17.25" customHeight="1">
      <c r="A181" s="52" t="s">
        <v>3069</v>
      </c>
      <c r="B181" s="52" t="s">
        <v>3070</v>
      </c>
      <c r="C181" s="52" t="s">
        <v>3072</v>
      </c>
      <c r="D181" s="52" t="s">
        <v>4501</v>
      </c>
    </row>
    <row r="182" ht="17.25" customHeight="1">
      <c r="A182" s="52" t="s">
        <v>3078</v>
      </c>
      <c r="B182" s="52" t="s">
        <v>3079</v>
      </c>
      <c r="C182" s="52" t="s">
        <v>3081</v>
      </c>
      <c r="D182" s="52" t="s">
        <v>4501</v>
      </c>
    </row>
    <row r="183" ht="17.25" customHeight="1">
      <c r="A183" s="52" t="s">
        <v>3088</v>
      </c>
      <c r="B183" s="52" t="s">
        <v>3089</v>
      </c>
      <c r="C183" s="52" t="s">
        <v>3091</v>
      </c>
      <c r="D183" s="52" t="s">
        <v>4501</v>
      </c>
    </row>
    <row r="184" ht="17.25" customHeight="1">
      <c r="A184" s="52" t="s">
        <v>3098</v>
      </c>
      <c r="B184" s="52" t="s">
        <v>3099</v>
      </c>
      <c r="D184" s="52" t="s">
        <v>4499</v>
      </c>
    </row>
    <row r="185" ht="17.25" customHeight="1">
      <c r="A185" s="52" t="s">
        <v>3107</v>
      </c>
      <c r="B185" s="52" t="s">
        <v>3108</v>
      </c>
      <c r="D185" s="52" t="s">
        <v>4499</v>
      </c>
    </row>
    <row r="186" ht="17.25" customHeight="1">
      <c r="A186" s="52" t="s">
        <v>3119</v>
      </c>
      <c r="B186" s="52" t="s">
        <v>3120</v>
      </c>
      <c r="C186" s="52" t="s">
        <v>3123</v>
      </c>
      <c r="D186" s="52" t="s">
        <v>4501</v>
      </c>
    </row>
    <row r="187" ht="17.25" customHeight="1">
      <c r="A187" s="52" t="s">
        <v>3136</v>
      </c>
      <c r="B187" s="52" t="s">
        <v>3137</v>
      </c>
      <c r="C187" s="52" t="s">
        <v>3140</v>
      </c>
      <c r="D187" s="52" t="s">
        <v>4501</v>
      </c>
    </row>
    <row r="188" ht="17.25" customHeight="1">
      <c r="A188" s="52" t="s">
        <v>3146</v>
      </c>
      <c r="B188" s="52" t="s">
        <v>3147</v>
      </c>
      <c r="C188" s="52" t="s">
        <v>3150</v>
      </c>
      <c r="D188" s="52" t="s">
        <v>4498</v>
      </c>
    </row>
    <row r="189" ht="17.25" customHeight="1">
      <c r="A189" s="52" t="s">
        <v>3158</v>
      </c>
      <c r="B189" s="52" t="s">
        <v>3159</v>
      </c>
      <c r="C189" s="52" t="s">
        <v>3160</v>
      </c>
      <c r="D189" s="52" t="s">
        <v>4501</v>
      </c>
    </row>
    <row r="190" ht="17.25" customHeight="1">
      <c r="A190" s="52" t="s">
        <v>3167</v>
      </c>
      <c r="B190" s="52" t="s">
        <v>3168</v>
      </c>
      <c r="C190" s="52" t="s">
        <v>3170</v>
      </c>
      <c r="D190" s="52" t="s">
        <v>4501</v>
      </c>
    </row>
    <row r="191" ht="17.25" customHeight="1">
      <c r="A191" s="52" t="s">
        <v>3183</v>
      </c>
      <c r="B191" s="52" t="s">
        <v>3184</v>
      </c>
      <c r="D191" s="52" t="s">
        <v>4499</v>
      </c>
    </row>
    <row r="192" ht="17.25" customHeight="1">
      <c r="A192" s="52" t="s">
        <v>3200</v>
      </c>
      <c r="B192" s="52" t="s">
        <v>3201</v>
      </c>
      <c r="C192" s="52" t="s">
        <v>3205</v>
      </c>
      <c r="D192" s="52" t="s">
        <v>4499</v>
      </c>
    </row>
    <row r="193" ht="17.25" customHeight="1">
      <c r="A193" s="52" t="s">
        <v>3219</v>
      </c>
      <c r="B193" s="52" t="s">
        <v>3220</v>
      </c>
      <c r="C193" s="52" t="s">
        <v>3222</v>
      </c>
      <c r="D193" s="52" t="s">
        <v>4501</v>
      </c>
    </row>
    <row r="194" ht="17.25" customHeight="1">
      <c r="A194" s="52" t="s">
        <v>3229</v>
      </c>
      <c r="B194" s="52" t="s">
        <v>3230</v>
      </c>
      <c r="C194" s="52" t="s">
        <v>3232</v>
      </c>
      <c r="D194" s="52" t="s">
        <v>4501</v>
      </c>
    </row>
    <row r="195" ht="17.25" customHeight="1">
      <c r="A195" s="52" t="s">
        <v>3238</v>
      </c>
      <c r="B195" s="52" t="s">
        <v>3239</v>
      </c>
      <c r="D195" s="52" t="s">
        <v>4499</v>
      </c>
    </row>
    <row r="196" ht="17.25" customHeight="1">
      <c r="A196" s="52" t="s">
        <v>3248</v>
      </c>
      <c r="B196" s="52" t="s">
        <v>3249</v>
      </c>
      <c r="C196" s="52" t="s">
        <v>3251</v>
      </c>
      <c r="D196" s="52" t="s">
        <v>4501</v>
      </c>
    </row>
    <row r="197" ht="17.25" customHeight="1">
      <c r="A197" s="52" t="s">
        <v>3265</v>
      </c>
      <c r="B197" s="52" t="s">
        <v>3266</v>
      </c>
      <c r="D197" s="52" t="s">
        <v>4499</v>
      </c>
    </row>
    <row r="198" ht="17.25" customHeight="1">
      <c r="A198" s="52" t="s">
        <v>3275</v>
      </c>
      <c r="B198" s="52" t="s">
        <v>3276</v>
      </c>
      <c r="C198" s="52" t="s">
        <v>3279</v>
      </c>
      <c r="D198" s="52" t="s">
        <v>4501</v>
      </c>
    </row>
    <row r="199" ht="17.25" customHeight="1">
      <c r="A199" s="52" t="s">
        <v>3292</v>
      </c>
      <c r="B199" s="52" t="s">
        <v>3293</v>
      </c>
      <c r="C199" s="52" t="s">
        <v>3296</v>
      </c>
      <c r="D199" s="52" t="s">
        <v>4499</v>
      </c>
    </row>
    <row r="200" ht="17.25" customHeight="1">
      <c r="A200" s="52" t="s">
        <v>3301</v>
      </c>
      <c r="B200" s="52" t="s">
        <v>3302</v>
      </c>
      <c r="C200" s="52" t="s">
        <v>3303</v>
      </c>
      <c r="D200" s="52" t="s">
        <v>4501</v>
      </c>
    </row>
    <row r="201" ht="17.25" customHeight="1">
      <c r="A201" s="52" t="s">
        <v>3308</v>
      </c>
      <c r="B201" s="52" t="s">
        <v>3309</v>
      </c>
      <c r="C201" s="52" t="s">
        <v>3311</v>
      </c>
      <c r="D201" s="52" t="s">
        <v>4501</v>
      </c>
    </row>
    <row r="202" ht="17.25" customHeight="1">
      <c r="A202" s="52" t="s">
        <v>3315</v>
      </c>
      <c r="B202" s="52" t="s">
        <v>3316</v>
      </c>
      <c r="C202" s="52" t="s">
        <v>3318</v>
      </c>
      <c r="D202" s="52" t="s">
        <v>4501</v>
      </c>
    </row>
    <row r="203" ht="17.25" customHeight="1">
      <c r="A203" s="52" t="s">
        <v>3325</v>
      </c>
      <c r="B203" s="52" t="s">
        <v>3326</v>
      </c>
      <c r="D203" s="52" t="s">
        <v>4499</v>
      </c>
    </row>
    <row r="204" ht="17.25" customHeight="1">
      <c r="A204" s="52" t="s">
        <v>3334</v>
      </c>
      <c r="B204" s="52" t="s">
        <v>3335</v>
      </c>
      <c r="C204" s="52" t="s">
        <v>3337</v>
      </c>
      <c r="D204" s="52" t="s">
        <v>4501</v>
      </c>
    </row>
    <row r="205" ht="17.25" customHeight="1">
      <c r="A205" s="52" t="s">
        <v>3343</v>
      </c>
      <c r="B205" s="52" t="s">
        <v>3344</v>
      </c>
      <c r="C205" s="52" t="s">
        <v>3346</v>
      </c>
      <c r="D205" s="52" t="s">
        <v>4499</v>
      </c>
    </row>
    <row r="206" ht="17.25" customHeight="1">
      <c r="A206" s="52" t="s">
        <v>3362</v>
      </c>
      <c r="B206" s="52" t="s">
        <v>3363</v>
      </c>
      <c r="C206" s="52" t="s">
        <v>3365</v>
      </c>
      <c r="D206" s="52" t="s">
        <v>4501</v>
      </c>
    </row>
    <row r="207" ht="17.25" customHeight="1">
      <c r="A207" s="52" t="s">
        <v>3384</v>
      </c>
      <c r="B207" s="52" t="s">
        <v>3385</v>
      </c>
      <c r="C207" s="52" t="s">
        <v>3387</v>
      </c>
      <c r="D207" s="52" t="s">
        <v>4501</v>
      </c>
    </row>
    <row r="208" ht="17.25" customHeight="1">
      <c r="A208" s="52" t="s">
        <v>3393</v>
      </c>
      <c r="B208" s="52" t="s">
        <v>3394</v>
      </c>
      <c r="C208" s="52" t="s">
        <v>3396</v>
      </c>
      <c r="D208" s="52" t="s">
        <v>4501</v>
      </c>
    </row>
    <row r="209" ht="17.25" customHeight="1">
      <c r="A209" s="52" t="s">
        <v>3402</v>
      </c>
      <c r="B209" s="52" t="s">
        <v>3403</v>
      </c>
      <c r="D209" s="52" t="s">
        <v>4499</v>
      </c>
    </row>
    <row r="210" ht="17.25" customHeight="1">
      <c r="A210" s="52" t="s">
        <v>3410</v>
      </c>
      <c r="B210" s="52" t="s">
        <v>3411</v>
      </c>
      <c r="C210" s="52" t="s">
        <v>3414</v>
      </c>
      <c r="D210" s="52" t="s">
        <v>4498</v>
      </c>
    </row>
    <row r="211" ht="17.25" customHeight="1">
      <c r="A211" s="52" t="s">
        <v>3421</v>
      </c>
      <c r="B211" s="52" t="s">
        <v>3422</v>
      </c>
      <c r="C211" s="52" t="s">
        <v>3424</v>
      </c>
      <c r="D211" s="52" t="s">
        <v>4501</v>
      </c>
    </row>
    <row r="212" ht="17.25" customHeight="1">
      <c r="A212" s="52" t="s">
        <v>3448</v>
      </c>
      <c r="B212" s="52" t="s">
        <v>3449</v>
      </c>
      <c r="C212" s="52" t="s">
        <v>3451</v>
      </c>
      <c r="D212" s="52" t="s">
        <v>4501</v>
      </c>
    </row>
    <row r="213" ht="17.25" customHeight="1">
      <c r="A213" s="52" t="s">
        <v>3459</v>
      </c>
      <c r="B213" s="52" t="s">
        <v>3460</v>
      </c>
      <c r="C213" s="52" t="s">
        <v>3462</v>
      </c>
      <c r="D213" s="52" t="s">
        <v>4501</v>
      </c>
    </row>
    <row r="214" ht="17.25" customHeight="1">
      <c r="A214" s="52" t="s">
        <v>3469</v>
      </c>
      <c r="B214" s="52" t="s">
        <v>3470</v>
      </c>
      <c r="D214" s="52" t="s">
        <v>4499</v>
      </c>
    </row>
    <row r="215" ht="17.25" customHeight="1">
      <c r="A215" s="52" t="s">
        <v>3494</v>
      </c>
      <c r="B215" s="52" t="s">
        <v>3495</v>
      </c>
      <c r="C215" s="52" t="s">
        <v>3496</v>
      </c>
      <c r="D215" s="52" t="s">
        <v>4501</v>
      </c>
    </row>
    <row r="216" ht="17.25" customHeight="1">
      <c r="A216" s="52" t="s">
        <v>3505</v>
      </c>
      <c r="B216" s="52" t="s">
        <v>3506</v>
      </c>
      <c r="D216" s="52" t="s">
        <v>4498</v>
      </c>
    </row>
    <row r="217" ht="17.25" customHeight="1">
      <c r="A217" s="52" t="s">
        <v>3535</v>
      </c>
      <c r="B217" s="52" t="s">
        <v>3536</v>
      </c>
      <c r="C217" s="52" t="s">
        <v>3539</v>
      </c>
      <c r="D217" s="52" t="s">
        <v>4501</v>
      </c>
    </row>
    <row r="218" ht="17.25" customHeight="1">
      <c r="A218" s="52" t="s">
        <v>3582</v>
      </c>
      <c r="B218" s="52" t="s">
        <v>3583</v>
      </c>
      <c r="C218" s="52" t="s">
        <v>3585</v>
      </c>
      <c r="D218" s="52" t="s">
        <v>4501</v>
      </c>
    </row>
    <row r="219" ht="17.25" customHeight="1">
      <c r="A219" s="52" t="s">
        <v>3604</v>
      </c>
      <c r="B219" s="52" t="s">
        <v>3605</v>
      </c>
      <c r="C219" s="52" t="s">
        <v>3608</v>
      </c>
      <c r="D219" s="52" t="s">
        <v>4501</v>
      </c>
    </row>
    <row r="220" ht="17.25" customHeight="1">
      <c r="A220" s="52" t="s">
        <v>3622</v>
      </c>
      <c r="B220" s="52" t="s">
        <v>3623</v>
      </c>
      <c r="D220" s="52" t="s">
        <v>4499</v>
      </c>
    </row>
    <row r="221" ht="17.25" customHeight="1">
      <c r="A221" s="52" t="s">
        <v>3631</v>
      </c>
      <c r="B221" s="52" t="s">
        <v>3632</v>
      </c>
      <c r="C221" s="52" t="s">
        <v>3635</v>
      </c>
      <c r="D221" s="52" t="s">
        <v>4501</v>
      </c>
    </row>
    <row r="222" ht="17.25" customHeight="1">
      <c r="A222" s="52" t="s">
        <v>3642</v>
      </c>
      <c r="B222" s="52" t="s">
        <v>3643</v>
      </c>
      <c r="D222" s="52" t="s">
        <v>4499</v>
      </c>
    </row>
    <row r="223" ht="17.25" customHeight="1">
      <c r="A223" s="52" t="s">
        <v>3650</v>
      </c>
      <c r="B223" s="52" t="s">
        <v>3651</v>
      </c>
      <c r="D223" s="52" t="s">
        <v>4499</v>
      </c>
    </row>
    <row r="224" ht="17.25" customHeight="1">
      <c r="A224" s="52" t="s">
        <v>3657</v>
      </c>
      <c r="B224" s="52" t="s">
        <v>3658</v>
      </c>
      <c r="C224" s="52" t="s">
        <v>3661</v>
      </c>
      <c r="D224" s="52" t="s">
        <v>4499</v>
      </c>
    </row>
    <row r="225" ht="17.25" customHeight="1">
      <c r="A225" s="52" t="s">
        <v>3674</v>
      </c>
      <c r="B225" s="52" t="s">
        <v>3675</v>
      </c>
      <c r="C225" s="52" t="s">
        <v>3676</v>
      </c>
      <c r="D225" s="52" t="s">
        <v>4499</v>
      </c>
    </row>
    <row r="226" ht="17.25" customHeight="1">
      <c r="A226" s="52" t="s">
        <v>3690</v>
      </c>
      <c r="B226" s="52" t="s">
        <v>3691</v>
      </c>
      <c r="C226" s="52" t="s">
        <v>3692</v>
      </c>
      <c r="D226" s="52" t="s">
        <v>4501</v>
      </c>
    </row>
    <row r="227" ht="17.25" customHeight="1">
      <c r="A227" s="52" t="s">
        <v>3711</v>
      </c>
      <c r="B227" s="52" t="s">
        <v>3712</v>
      </c>
      <c r="C227" s="52" t="s">
        <v>3714</v>
      </c>
      <c r="D227" s="52" t="s">
        <v>4501</v>
      </c>
    </row>
    <row r="228" ht="17.25" customHeight="1">
      <c r="A228" s="52" t="s">
        <v>3732</v>
      </c>
      <c r="B228" s="52" t="s">
        <v>3733</v>
      </c>
      <c r="C228" s="52" t="s">
        <v>3736</v>
      </c>
      <c r="D228" s="52" t="s">
        <v>4499</v>
      </c>
    </row>
    <row r="229" ht="17.25" customHeight="1">
      <c r="A229" s="52" t="s">
        <v>3758</v>
      </c>
      <c r="B229" s="52" t="s">
        <v>3759</v>
      </c>
      <c r="C229" s="52" t="s">
        <v>3761</v>
      </c>
      <c r="D229" s="52" t="s">
        <v>4501</v>
      </c>
    </row>
    <row r="230" ht="17.25" customHeight="1">
      <c r="A230" s="52" t="s">
        <v>3768</v>
      </c>
      <c r="B230" s="52" t="s">
        <v>3769</v>
      </c>
      <c r="C230" s="52" t="s">
        <v>3771</v>
      </c>
      <c r="D230" s="52" t="s">
        <v>4501</v>
      </c>
    </row>
    <row r="231" ht="17.25" customHeight="1">
      <c r="A231" s="52" t="s">
        <v>3777</v>
      </c>
      <c r="B231" s="52" t="s">
        <v>3778</v>
      </c>
      <c r="C231" s="52" t="s">
        <v>3781</v>
      </c>
      <c r="D231" s="52" t="s">
        <v>4501</v>
      </c>
    </row>
    <row r="232" ht="17.25" customHeight="1">
      <c r="A232" s="52" t="s">
        <v>3821</v>
      </c>
      <c r="B232" s="52" t="s">
        <v>3822</v>
      </c>
      <c r="C232" s="52" t="s">
        <v>3823</v>
      </c>
      <c r="D232" s="52" t="s">
        <v>4501</v>
      </c>
    </row>
    <row r="233" ht="17.25" customHeight="1">
      <c r="A233" s="52" t="s">
        <v>3836</v>
      </c>
      <c r="B233" s="52" t="s">
        <v>3837</v>
      </c>
      <c r="C233" s="52" t="s">
        <v>3840</v>
      </c>
      <c r="D233" s="52" t="s">
        <v>4501</v>
      </c>
    </row>
    <row r="234" ht="17.25" customHeight="1">
      <c r="A234" s="52" t="s">
        <v>3870</v>
      </c>
      <c r="B234" s="52" t="s">
        <v>3871</v>
      </c>
      <c r="C234" s="52" t="s">
        <v>3872</v>
      </c>
      <c r="D234" s="52" t="s">
        <v>4501</v>
      </c>
    </row>
    <row r="235" ht="17.25" customHeight="1">
      <c r="A235" s="52" t="s">
        <v>3878</v>
      </c>
      <c r="B235" s="52" t="s">
        <v>3879</v>
      </c>
      <c r="C235" s="52" t="s">
        <v>3881</v>
      </c>
      <c r="D235" s="52" t="s">
        <v>4501</v>
      </c>
    </row>
    <row r="236" ht="17.25" customHeight="1">
      <c r="A236" s="52" t="s">
        <v>3899</v>
      </c>
      <c r="B236" s="52" t="s">
        <v>3900</v>
      </c>
      <c r="C236" s="52" t="s">
        <v>3902</v>
      </c>
      <c r="D236" s="52" t="s">
        <v>4501</v>
      </c>
    </row>
    <row r="237" ht="17.25" customHeight="1">
      <c r="A237" s="52" t="s">
        <v>3907</v>
      </c>
      <c r="B237" s="52" t="s">
        <v>3908</v>
      </c>
      <c r="C237" s="52" t="s">
        <v>3911</v>
      </c>
      <c r="D237" s="52" t="s">
        <v>4498</v>
      </c>
    </row>
    <row r="238" ht="17.25" customHeight="1">
      <c r="A238" s="52" t="s">
        <v>3918</v>
      </c>
      <c r="B238" s="52" t="s">
        <v>3919</v>
      </c>
      <c r="C238" s="52" t="s">
        <v>3921</v>
      </c>
      <c r="D238" s="52" t="s">
        <v>4498</v>
      </c>
    </row>
    <row r="239" ht="17.25" customHeight="1">
      <c r="A239" s="52" t="s">
        <v>3926</v>
      </c>
      <c r="B239" s="52" t="s">
        <v>3927</v>
      </c>
      <c r="C239" s="52" t="s">
        <v>3929</v>
      </c>
      <c r="D239" s="52" t="s">
        <v>4501</v>
      </c>
    </row>
    <row r="240" ht="17.25" customHeight="1">
      <c r="A240" s="52" t="s">
        <v>3943</v>
      </c>
      <c r="B240" s="52" t="s">
        <v>3944</v>
      </c>
      <c r="C240" s="52" t="s">
        <v>3947</v>
      </c>
      <c r="D240" s="52" t="s">
        <v>4501</v>
      </c>
    </row>
    <row r="241" ht="17.25" customHeight="1">
      <c r="A241" s="52" t="s">
        <v>3960</v>
      </c>
      <c r="B241" s="52" t="s">
        <v>3961</v>
      </c>
      <c r="C241" s="52" t="s">
        <v>3963</v>
      </c>
      <c r="D241" s="52" t="s">
        <v>4501</v>
      </c>
    </row>
    <row r="242" ht="17.25" customHeight="1">
      <c r="A242" s="52" t="s">
        <v>3967</v>
      </c>
      <c r="B242" s="52" t="s">
        <v>3968</v>
      </c>
      <c r="C242" s="52" t="s">
        <v>3970</v>
      </c>
      <c r="D242" s="52" t="s">
        <v>4501</v>
      </c>
    </row>
    <row r="243" ht="17.25" customHeight="1">
      <c r="A243" s="52" t="s">
        <v>3977</v>
      </c>
      <c r="B243" s="52" t="s">
        <v>3978</v>
      </c>
      <c r="C243" s="52" t="s">
        <v>3979</v>
      </c>
      <c r="D243" s="52" t="s">
        <v>4501</v>
      </c>
    </row>
    <row r="244" ht="17.25" customHeight="1">
      <c r="A244" s="52" t="s">
        <v>4008</v>
      </c>
      <c r="B244" s="52" t="s">
        <v>4009</v>
      </c>
      <c r="C244" s="52" t="s">
        <v>4011</v>
      </c>
      <c r="D244" s="52" t="s">
        <v>4501</v>
      </c>
    </row>
    <row r="245" ht="17.25" customHeight="1">
      <c r="A245" s="52" t="s">
        <v>4018</v>
      </c>
      <c r="B245" s="52" t="s">
        <v>4019</v>
      </c>
      <c r="D245" s="52" t="s">
        <v>4499</v>
      </c>
    </row>
    <row r="246" ht="17.25" customHeight="1">
      <c r="A246" s="52" t="s">
        <v>4036</v>
      </c>
      <c r="B246" s="52" t="s">
        <v>4037</v>
      </c>
      <c r="D246" s="52" t="s">
        <v>4499</v>
      </c>
    </row>
    <row r="247" ht="17.25" customHeight="1">
      <c r="A247" s="52" t="s">
        <v>4043</v>
      </c>
      <c r="B247" s="52" t="s">
        <v>4044</v>
      </c>
      <c r="C247" s="52" t="s">
        <v>4046</v>
      </c>
      <c r="D247" s="52" t="s">
        <v>4501</v>
      </c>
    </row>
    <row r="248" ht="17.25" customHeight="1">
      <c r="A248" s="52" t="s">
        <v>4053</v>
      </c>
      <c r="B248" s="52" t="s">
        <v>4054</v>
      </c>
      <c r="C248" s="52" t="s">
        <v>4056</v>
      </c>
      <c r="D248" s="52" t="s">
        <v>4501</v>
      </c>
    </row>
    <row r="249" ht="17.25" customHeight="1">
      <c r="A249" s="52" t="s">
        <v>4076</v>
      </c>
      <c r="B249" s="52" t="s">
        <v>4077</v>
      </c>
      <c r="D249" s="52" t="s">
        <v>4499</v>
      </c>
    </row>
    <row r="250" ht="17.25" customHeight="1">
      <c r="A250" s="52" t="s">
        <v>4098</v>
      </c>
      <c r="B250" s="52" t="s">
        <v>4099</v>
      </c>
      <c r="D250" s="52" t="s">
        <v>4499</v>
      </c>
    </row>
    <row r="251" ht="17.25" customHeight="1">
      <c r="A251" s="52" t="s">
        <v>4120</v>
      </c>
      <c r="B251" s="52" t="s">
        <v>4121</v>
      </c>
      <c r="C251" s="52" t="s">
        <v>4123</v>
      </c>
      <c r="D251" s="52" t="s">
        <v>4501</v>
      </c>
    </row>
    <row r="252" ht="17.25" customHeight="1">
      <c r="A252" s="52" t="s">
        <v>4129</v>
      </c>
      <c r="B252" s="52" t="s">
        <v>4130</v>
      </c>
      <c r="C252" s="52" t="s">
        <v>4132</v>
      </c>
      <c r="D252" s="52" t="s">
        <v>4501</v>
      </c>
    </row>
    <row r="253" ht="17.25" customHeight="1">
      <c r="A253" s="52" t="s">
        <v>4159</v>
      </c>
      <c r="B253" s="52" t="s">
        <v>4160</v>
      </c>
      <c r="C253" s="52" t="s">
        <v>4162</v>
      </c>
      <c r="D253" s="52" t="s">
        <v>4501</v>
      </c>
    </row>
    <row r="254" ht="17.25" customHeight="1">
      <c r="A254" s="52" t="s">
        <v>4169</v>
      </c>
      <c r="B254" s="52" t="s">
        <v>4170</v>
      </c>
      <c r="C254" s="52" t="s">
        <v>4172</v>
      </c>
      <c r="D254" s="52" t="s">
        <v>4499</v>
      </c>
    </row>
    <row r="255" ht="17.25" customHeight="1">
      <c r="A255" s="52" t="s">
        <v>4186</v>
      </c>
      <c r="B255" s="52" t="s">
        <v>4187</v>
      </c>
      <c r="C255" s="52" t="s">
        <v>4189</v>
      </c>
      <c r="D255" s="52" t="s">
        <v>4501</v>
      </c>
    </row>
    <row r="256" ht="17.25" customHeight="1">
      <c r="A256" s="52" t="s">
        <v>4218</v>
      </c>
      <c r="B256" s="52" t="s">
        <v>4219</v>
      </c>
      <c r="D256" s="52" t="s">
        <v>4499</v>
      </c>
    </row>
    <row r="257" ht="17.25" customHeight="1">
      <c r="A257" s="52" t="s">
        <v>4230</v>
      </c>
      <c r="B257" s="52" t="s">
        <v>4231</v>
      </c>
      <c r="C257" s="52" t="s">
        <v>4233</v>
      </c>
      <c r="D257" s="52" t="s">
        <v>4501</v>
      </c>
    </row>
    <row r="258" ht="17.25" customHeight="1">
      <c r="A258" s="52" t="s">
        <v>4243</v>
      </c>
      <c r="B258" s="52" t="s">
        <v>4244</v>
      </c>
      <c r="C258" s="52" t="s">
        <v>4247</v>
      </c>
      <c r="D258" s="52" t="s">
        <v>4501</v>
      </c>
    </row>
    <row r="259" ht="17.25" customHeight="1">
      <c r="A259" s="52" t="s">
        <v>4261</v>
      </c>
      <c r="B259" s="52" t="s">
        <v>4262</v>
      </c>
      <c r="C259" s="52" t="s">
        <v>4264</v>
      </c>
      <c r="D259" s="52" t="s">
        <v>4501</v>
      </c>
    </row>
    <row r="260" ht="17.25" customHeight="1">
      <c r="A260" s="52" t="s">
        <v>4270</v>
      </c>
      <c r="B260" s="52" t="s">
        <v>4271</v>
      </c>
      <c r="C260" s="52" t="s">
        <v>4273</v>
      </c>
      <c r="D260" s="52" t="s">
        <v>4501</v>
      </c>
    </row>
    <row r="261" ht="17.25" customHeight="1">
      <c r="A261" s="52" t="s">
        <v>4279</v>
      </c>
      <c r="B261" s="52" t="s">
        <v>4280</v>
      </c>
      <c r="C261" s="52" t="s">
        <v>4282</v>
      </c>
      <c r="D261" s="52" t="s">
        <v>4498</v>
      </c>
    </row>
    <row r="262" ht="17.25" customHeight="1">
      <c r="A262" s="52" t="s">
        <v>4296</v>
      </c>
      <c r="B262" s="52" t="s">
        <v>4297</v>
      </c>
      <c r="C262" s="52" t="s">
        <v>4299</v>
      </c>
      <c r="D262" s="52" t="s">
        <v>4501</v>
      </c>
    </row>
    <row r="263" ht="17.25" customHeight="1">
      <c r="A263" s="52" t="s">
        <v>4323</v>
      </c>
      <c r="B263" s="52" t="s">
        <v>4324</v>
      </c>
      <c r="C263" s="52" t="s">
        <v>4326</v>
      </c>
      <c r="D263" s="52" t="s">
        <v>4501</v>
      </c>
    </row>
    <row r="264" ht="17.25" customHeight="1">
      <c r="A264" s="52" t="s">
        <v>4338</v>
      </c>
      <c r="B264" s="52" t="s">
        <v>4339</v>
      </c>
      <c r="C264" s="52" t="s">
        <v>4340</v>
      </c>
      <c r="D264" s="52" t="s">
        <v>4501</v>
      </c>
    </row>
    <row r="265" ht="17.25" customHeight="1">
      <c r="A265" s="52" t="s">
        <v>4345</v>
      </c>
      <c r="B265" s="52" t="s">
        <v>4346</v>
      </c>
      <c r="D265" s="52" t="s">
        <v>4499</v>
      </c>
    </row>
    <row r="266" ht="17.25" customHeight="1">
      <c r="A266" s="52" t="s">
        <v>4378</v>
      </c>
      <c r="B266" s="52" t="s">
        <v>4379</v>
      </c>
      <c r="D266" s="52" t="s">
        <v>4499</v>
      </c>
    </row>
    <row r="267" ht="17.25" customHeight="1">
      <c r="A267" s="52" t="s">
        <v>4389</v>
      </c>
      <c r="B267" s="52" t="s">
        <v>4390</v>
      </c>
      <c r="C267" s="52" t="s">
        <v>4392</v>
      </c>
      <c r="D267" s="52" t="s">
        <v>4501</v>
      </c>
    </row>
    <row r="268" ht="17.25" customHeight="1">
      <c r="A268" s="52" t="s">
        <v>4397</v>
      </c>
      <c r="B268" s="52" t="s">
        <v>4398</v>
      </c>
      <c r="C268" s="52" t="s">
        <v>4399</v>
      </c>
      <c r="D268" s="52" t="s">
        <v>4501</v>
      </c>
    </row>
    <row r="269" ht="17.25" customHeight="1">
      <c r="A269" s="52" t="s">
        <v>4404</v>
      </c>
      <c r="B269" s="52" t="s">
        <v>4405</v>
      </c>
      <c r="C269" s="52" t="s">
        <v>4407</v>
      </c>
      <c r="D269" s="52" t="s">
        <v>4501</v>
      </c>
    </row>
    <row r="270" ht="17.25" customHeight="1">
      <c r="A270" s="52" t="s">
        <v>4451</v>
      </c>
      <c r="B270" s="52" t="s">
        <v>4452</v>
      </c>
      <c r="C270" s="52" t="s">
        <v>4455</v>
      </c>
      <c r="D270" s="52" t="s">
        <v>4501</v>
      </c>
    </row>
    <row r="271" ht="17.25" customHeight="1">
      <c r="A271" s="52" t="s">
        <v>4461</v>
      </c>
      <c r="B271" s="52" t="s">
        <v>4462</v>
      </c>
      <c r="C271" s="52" t="s">
        <v>4463</v>
      </c>
      <c r="D271" s="52" t="s">
        <v>4501</v>
      </c>
    </row>
    <row r="272" ht="17.25" customHeight="1">
      <c r="A272" s="52" t="s">
        <v>4477</v>
      </c>
      <c r="B272" s="52" t="s">
        <v>4478</v>
      </c>
      <c r="C272" s="52" t="s">
        <v>4480</v>
      </c>
      <c r="D272" s="52" t="s">
        <v>4501</v>
      </c>
    </row>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dataValidations>
    <dataValidation type="list" allowBlank="1" showErrorMessage="1" sqref="D2:D269">
      <formula1>"Included,unsure,not-General"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0"/>
  <sheetData>
    <row r="1" ht="17.25" customHeight="1">
      <c r="A1" s="53" t="s">
        <v>0</v>
      </c>
      <c r="B1" s="53" t="s">
        <v>1</v>
      </c>
      <c r="C1" s="53" t="s">
        <v>2</v>
      </c>
      <c r="D1" s="54" t="s">
        <v>3</v>
      </c>
      <c r="E1" s="54" t="s">
        <v>4</v>
      </c>
      <c r="F1" s="54" t="s">
        <v>5</v>
      </c>
      <c r="G1" s="54" t="s">
        <v>6</v>
      </c>
      <c r="H1" s="54" t="s">
        <v>7</v>
      </c>
      <c r="I1" s="54" t="s">
        <v>8</v>
      </c>
      <c r="J1" s="54" t="s">
        <v>9</v>
      </c>
      <c r="K1" s="54" t="s">
        <v>10</v>
      </c>
      <c r="L1" s="54" t="s">
        <v>11</v>
      </c>
      <c r="M1" s="54" t="s">
        <v>12</v>
      </c>
      <c r="N1" s="54" t="s">
        <v>13</v>
      </c>
      <c r="O1" s="54" t="s">
        <v>14</v>
      </c>
      <c r="P1" s="54" t="s">
        <v>15</v>
      </c>
      <c r="Q1" s="54" t="s">
        <v>16</v>
      </c>
      <c r="R1" s="54" t="s">
        <v>17</v>
      </c>
      <c r="S1" s="54" t="s">
        <v>18</v>
      </c>
      <c r="T1" s="54" t="s">
        <v>19</v>
      </c>
      <c r="U1" s="54" t="s">
        <v>20</v>
      </c>
      <c r="V1" s="54" t="s">
        <v>4486</v>
      </c>
      <c r="W1" s="54" t="s">
        <v>4487</v>
      </c>
      <c r="X1" s="54" t="s">
        <v>4488</v>
      </c>
      <c r="Y1" s="54" t="s">
        <v>4489</v>
      </c>
      <c r="Z1" s="54" t="s">
        <v>4490</v>
      </c>
      <c r="AA1" s="54" t="s">
        <v>4491</v>
      </c>
      <c r="AB1" s="54" t="s">
        <v>4492</v>
      </c>
      <c r="AC1" s="54" t="s">
        <v>4493</v>
      </c>
      <c r="AD1" s="54" t="s">
        <v>4494</v>
      </c>
      <c r="AE1" s="54" t="s">
        <v>4496</v>
      </c>
    </row>
    <row r="2" ht="17.25" customHeight="1">
      <c r="A2" s="55" t="s">
        <v>21</v>
      </c>
      <c r="B2" s="55" t="s">
        <v>51</v>
      </c>
      <c r="C2" s="55" t="s">
        <v>52</v>
      </c>
      <c r="D2" s="56">
        <v>41361.0</v>
      </c>
      <c r="E2" s="57">
        <v>2013.0</v>
      </c>
      <c r="F2" s="5" t="s">
        <v>41</v>
      </c>
      <c r="G2" s="5" t="s">
        <v>42</v>
      </c>
      <c r="H2" s="57">
        <v>77.0</v>
      </c>
      <c r="I2" s="57">
        <v>1307.0</v>
      </c>
      <c r="K2" s="5" t="s">
        <v>57</v>
      </c>
      <c r="L2" s="5" t="s">
        <v>58</v>
      </c>
      <c r="M2" s="5" t="s">
        <v>59</v>
      </c>
      <c r="N2" s="5" t="s">
        <v>60</v>
      </c>
      <c r="O2" s="5" t="s">
        <v>61</v>
      </c>
      <c r="P2" s="57">
        <v>24.0</v>
      </c>
      <c r="R2" s="57">
        <v>147.0</v>
      </c>
      <c r="T2" s="5" t="s">
        <v>64</v>
      </c>
      <c r="U2" s="57">
        <v>27.0</v>
      </c>
      <c r="V2" s="57">
        <v>0.28618349025618567</v>
      </c>
      <c r="W2" s="5" t="s">
        <v>4495</v>
      </c>
      <c r="X2" s="5" t="s">
        <v>4495</v>
      </c>
      <c r="Y2" s="5" t="s">
        <v>4495</v>
      </c>
      <c r="Z2" s="58">
        <v>0.882367679076927</v>
      </c>
      <c r="AA2" s="5" t="s">
        <v>4495</v>
      </c>
      <c r="AB2" s="58">
        <v>1.0</v>
      </c>
      <c r="AC2" s="58">
        <v>0.7699084914494659</v>
      </c>
      <c r="AD2" s="58">
        <v>0.44758276891417836</v>
      </c>
      <c r="AE2" s="52" t="s">
        <v>4498</v>
      </c>
    </row>
    <row r="3" ht="17.25" customHeight="1">
      <c r="A3" s="55" t="s">
        <v>21</v>
      </c>
      <c r="B3" s="55" t="s">
        <v>88</v>
      </c>
      <c r="C3" s="55" t="s">
        <v>89</v>
      </c>
      <c r="D3" s="56">
        <v>43647.0</v>
      </c>
      <c r="E3" s="57">
        <v>2019.0</v>
      </c>
      <c r="F3" s="5" t="s">
        <v>41</v>
      </c>
      <c r="G3" s="5" t="s">
        <v>42</v>
      </c>
      <c r="H3" s="57">
        <v>63.0</v>
      </c>
      <c r="I3" s="57">
        <v>1287.0</v>
      </c>
      <c r="J3" s="5" t="s">
        <v>94</v>
      </c>
      <c r="K3" s="5" t="s">
        <v>95</v>
      </c>
      <c r="L3" s="5" t="s">
        <v>96</v>
      </c>
      <c r="M3" s="5" t="s">
        <v>59</v>
      </c>
      <c r="N3" s="5" t="s">
        <v>97</v>
      </c>
      <c r="R3" s="57">
        <v>124.0</v>
      </c>
      <c r="S3" s="57">
        <v>2018.0</v>
      </c>
      <c r="T3" s="5" t="s">
        <v>100</v>
      </c>
      <c r="U3" s="57">
        <v>26.0</v>
      </c>
      <c r="V3" s="57">
        <v>0.564226216571679</v>
      </c>
      <c r="W3" s="57">
        <v>1.0</v>
      </c>
      <c r="X3" s="5" t="s">
        <v>4495</v>
      </c>
      <c r="Y3" s="5" t="s">
        <v>4495</v>
      </c>
      <c r="Z3" s="58">
        <v>0.823149971850111</v>
      </c>
      <c r="AA3" s="58">
        <v>1.0</v>
      </c>
      <c r="AB3" s="58">
        <v>1.0</v>
      </c>
      <c r="AC3" s="58">
        <v>0.7545924021819583</v>
      </c>
      <c r="AD3" s="58">
        <v>0.6312467331807236</v>
      </c>
      <c r="AE3" s="52" t="s">
        <v>4498</v>
      </c>
    </row>
    <row r="4" ht="17.25" customHeight="1">
      <c r="A4" s="55" t="s">
        <v>21</v>
      </c>
      <c r="B4" s="55" t="s">
        <v>149</v>
      </c>
      <c r="C4" s="55" t="s">
        <v>150</v>
      </c>
      <c r="F4" s="5" t="s">
        <v>41</v>
      </c>
      <c r="G4" s="5" t="s">
        <v>42</v>
      </c>
      <c r="H4" s="57">
        <v>38.0</v>
      </c>
      <c r="I4" s="57">
        <v>918.0</v>
      </c>
      <c r="K4" s="5" t="s">
        <v>152</v>
      </c>
      <c r="L4" s="5" t="s">
        <v>153</v>
      </c>
      <c r="M4" s="5" t="s">
        <v>59</v>
      </c>
      <c r="N4" s="5" t="s">
        <v>154</v>
      </c>
      <c r="O4" s="5" t="s">
        <v>155</v>
      </c>
      <c r="P4" s="57">
        <v>16.0</v>
      </c>
      <c r="R4" s="57">
        <v>75.0</v>
      </c>
      <c r="T4" s="5" t="s">
        <v>158</v>
      </c>
      <c r="U4" s="57">
        <v>17.5</v>
      </c>
      <c r="V4" s="5" t="s">
        <v>4495</v>
      </c>
      <c r="W4" s="5" t="s">
        <v>4495</v>
      </c>
      <c r="X4" s="5" t="s">
        <v>4495</v>
      </c>
      <c r="Y4" s="5" t="s">
        <v>4495</v>
      </c>
      <c r="Z4" s="58">
        <v>0.6486927451058364</v>
      </c>
      <c r="AA4" s="5" t="s">
        <v>4495</v>
      </c>
      <c r="AB4" s="5" t="s">
        <v>4495</v>
      </c>
      <c r="AC4" s="58">
        <v>0.5953713476386906</v>
      </c>
      <c r="AD4" s="58">
        <v>0.22171032104032817</v>
      </c>
      <c r="AE4" s="52" t="s">
        <v>4498</v>
      </c>
    </row>
    <row r="5" ht="17.25" customHeight="1">
      <c r="A5" s="55" t="s">
        <v>21</v>
      </c>
      <c r="B5" s="55" t="s">
        <v>171</v>
      </c>
      <c r="C5" s="55" t="s">
        <v>172</v>
      </c>
      <c r="D5" s="56">
        <v>44120.0</v>
      </c>
      <c r="E5" s="57">
        <v>2020.0</v>
      </c>
      <c r="F5" s="5" t="s">
        <v>41</v>
      </c>
      <c r="G5" s="5" t="s">
        <v>42</v>
      </c>
      <c r="H5" s="57">
        <v>37.0</v>
      </c>
      <c r="I5" s="57">
        <v>832.0</v>
      </c>
      <c r="J5" s="5" t="s">
        <v>176</v>
      </c>
      <c r="K5" s="5" t="s">
        <v>177</v>
      </c>
      <c r="L5" s="5" t="s">
        <v>178</v>
      </c>
      <c r="M5" s="5" t="s">
        <v>59</v>
      </c>
      <c r="N5" s="5" t="s">
        <v>179</v>
      </c>
      <c r="R5" s="57">
        <v>150.0</v>
      </c>
      <c r="S5" s="57">
        <v>2020.0</v>
      </c>
      <c r="T5" s="5" t="s">
        <v>181</v>
      </c>
      <c r="U5" s="57">
        <v>11.0</v>
      </c>
      <c r="V5" s="57">
        <v>0.46017699115044247</v>
      </c>
      <c r="W5" s="57">
        <v>0.0</v>
      </c>
      <c r="X5" s="5" t="s">
        <v>4495</v>
      </c>
      <c r="Y5" s="5" t="s">
        <v>4495</v>
      </c>
      <c r="Z5" s="58">
        <v>0.889403590094233</v>
      </c>
      <c r="AA5" s="58">
        <v>1.0</v>
      </c>
      <c r="AB5" s="58">
        <v>1.0</v>
      </c>
      <c r="AC5" s="58">
        <v>0.4130723542258289</v>
      </c>
      <c r="AD5" s="58">
        <v>0.6136581329461411</v>
      </c>
      <c r="AE5" s="52" t="s">
        <v>4498</v>
      </c>
    </row>
    <row r="6" ht="17.25" customHeight="1">
      <c r="A6" s="55" t="s">
        <v>21</v>
      </c>
      <c r="B6" s="55" t="s">
        <v>193</v>
      </c>
      <c r="C6" s="55" t="s">
        <v>194</v>
      </c>
      <c r="D6" s="56">
        <v>43530.0</v>
      </c>
      <c r="E6" s="57">
        <v>2019.0</v>
      </c>
      <c r="F6" s="5" t="s">
        <v>41</v>
      </c>
      <c r="G6" s="5" t="s">
        <v>42</v>
      </c>
      <c r="H6" s="57">
        <v>33.0</v>
      </c>
      <c r="I6" s="57">
        <v>586.0</v>
      </c>
      <c r="K6" s="5" t="s">
        <v>198</v>
      </c>
      <c r="L6" s="5" t="s">
        <v>199</v>
      </c>
      <c r="M6" s="5" t="s">
        <v>59</v>
      </c>
      <c r="N6" s="5" t="s">
        <v>200</v>
      </c>
      <c r="O6" s="5" t="s">
        <v>201</v>
      </c>
      <c r="P6" s="57">
        <v>21.0</v>
      </c>
      <c r="R6" s="57">
        <v>101.0</v>
      </c>
      <c r="S6" s="57">
        <v>2019.0</v>
      </c>
      <c r="T6" s="5" t="s">
        <v>204</v>
      </c>
      <c r="U6" s="57">
        <v>17.8</v>
      </c>
      <c r="V6" s="57">
        <v>0.24437030859049208</v>
      </c>
      <c r="W6" s="57">
        <v>0.0</v>
      </c>
      <c r="X6" s="5" t="s">
        <v>4495</v>
      </c>
      <c r="Y6" s="5" t="s">
        <v>4495</v>
      </c>
      <c r="Z6" s="58">
        <v>0.7518563800998207</v>
      </c>
      <c r="AA6" s="58">
        <v>1.0</v>
      </c>
      <c r="AB6" s="58">
        <v>1.0</v>
      </c>
      <c r="AC6" s="58">
        <v>0.6021459608255029</v>
      </c>
      <c r="AD6" s="58">
        <v>0.5981786911075055</v>
      </c>
      <c r="AE6" s="52" t="s">
        <v>4498</v>
      </c>
    </row>
    <row r="7" ht="17.25" customHeight="1">
      <c r="A7" s="55" t="s">
        <v>21</v>
      </c>
      <c r="B7" s="55" t="s">
        <v>206</v>
      </c>
      <c r="C7" s="55" t="s">
        <v>207</v>
      </c>
      <c r="D7" s="56">
        <v>41699.0</v>
      </c>
      <c r="E7" s="57">
        <v>2014.0</v>
      </c>
      <c r="F7" s="5" t="s">
        <v>41</v>
      </c>
      <c r="G7" s="5" t="s">
        <v>42</v>
      </c>
      <c r="H7" s="57">
        <v>30.0</v>
      </c>
      <c r="I7" s="57">
        <v>645.0</v>
      </c>
      <c r="K7" s="5" t="s">
        <v>211</v>
      </c>
      <c r="L7" s="5" t="s">
        <v>212</v>
      </c>
      <c r="M7" s="5" t="s">
        <v>59</v>
      </c>
      <c r="N7" s="5" t="s">
        <v>213</v>
      </c>
      <c r="O7" s="5" t="s">
        <v>214</v>
      </c>
      <c r="P7" s="57">
        <v>29.0</v>
      </c>
      <c r="R7" s="57">
        <v>95.0</v>
      </c>
      <c r="T7" s="5" t="s">
        <v>217</v>
      </c>
      <c r="U7" s="57">
        <v>29.0</v>
      </c>
      <c r="V7" s="57">
        <v>0.15251832584535352</v>
      </c>
      <c r="W7" s="5" t="s">
        <v>4495</v>
      </c>
      <c r="X7" s="5" t="s">
        <v>4495</v>
      </c>
      <c r="Y7" s="5" t="s">
        <v>4495</v>
      </c>
      <c r="Z7" s="58">
        <v>0.7306007127585364</v>
      </c>
      <c r="AA7" s="5" t="s">
        <v>4495</v>
      </c>
      <c r="AB7" s="58">
        <v>1.0</v>
      </c>
      <c r="AC7" s="58">
        <v>0.7989645659521445</v>
      </c>
      <c r="AD7" s="58">
        <v>0.41254663478484854</v>
      </c>
      <c r="AE7" s="52" t="s">
        <v>4498</v>
      </c>
    </row>
    <row r="8" ht="17.25" customHeight="1">
      <c r="A8" s="55" t="s">
        <v>21</v>
      </c>
      <c r="B8" s="55" t="s">
        <v>218</v>
      </c>
      <c r="C8" s="55" t="s">
        <v>219</v>
      </c>
      <c r="D8" s="56">
        <v>43755.0</v>
      </c>
      <c r="E8" s="57">
        <v>2019.0</v>
      </c>
      <c r="F8" s="5" t="s">
        <v>26</v>
      </c>
      <c r="G8" s="5" t="s">
        <v>27</v>
      </c>
      <c r="H8" s="57">
        <v>30.0</v>
      </c>
      <c r="I8" s="57">
        <v>776.0</v>
      </c>
      <c r="J8" s="5" t="s">
        <v>222</v>
      </c>
      <c r="K8" s="5" t="s">
        <v>223</v>
      </c>
      <c r="L8" s="5" t="s">
        <v>224</v>
      </c>
      <c r="M8" s="5" t="s">
        <v>59</v>
      </c>
      <c r="N8" s="5" t="s">
        <v>225</v>
      </c>
      <c r="R8" s="57">
        <v>91.0</v>
      </c>
      <c r="S8" s="57">
        <v>2019.0</v>
      </c>
      <c r="T8" s="5" t="s">
        <v>227</v>
      </c>
      <c r="U8" s="57">
        <v>8.0</v>
      </c>
      <c r="V8" s="57">
        <v>0.3571099861942016</v>
      </c>
      <c r="W8" s="57">
        <v>0.0</v>
      </c>
      <c r="X8" s="5" t="s">
        <v>4495</v>
      </c>
      <c r="Y8" s="5" t="s">
        <v>4495</v>
      </c>
      <c r="Z8" s="58">
        <v>0.715678838128153</v>
      </c>
      <c r="AA8" s="58">
        <v>1.0</v>
      </c>
      <c r="AB8" s="58">
        <v>1.0</v>
      </c>
      <c r="AC8" s="58">
        <v>0.29191618910194683</v>
      </c>
      <c r="AD8" s="58">
        <v>0.558111328442233</v>
      </c>
      <c r="AE8" s="52" t="s">
        <v>4498</v>
      </c>
    </row>
    <row r="9" ht="17.25" customHeight="1">
      <c r="A9" s="55" t="s">
        <v>21</v>
      </c>
      <c r="B9" s="55" t="s">
        <v>262</v>
      </c>
      <c r="C9" s="55" t="s">
        <v>263</v>
      </c>
      <c r="D9" s="56">
        <v>43235.0</v>
      </c>
      <c r="E9" s="57">
        <v>2018.0</v>
      </c>
      <c r="F9" s="5" t="s">
        <v>41</v>
      </c>
      <c r="G9" s="5" t="s">
        <v>42</v>
      </c>
      <c r="H9" s="57">
        <v>26.0</v>
      </c>
      <c r="I9" s="57">
        <v>826.0</v>
      </c>
      <c r="J9" s="5" t="s">
        <v>266</v>
      </c>
      <c r="K9" s="5" t="s">
        <v>267</v>
      </c>
      <c r="L9" s="5" t="s">
        <v>268</v>
      </c>
      <c r="M9" s="5" t="s">
        <v>59</v>
      </c>
      <c r="N9" s="5" t="s">
        <v>269</v>
      </c>
      <c r="O9" s="5" t="s">
        <v>270</v>
      </c>
      <c r="P9" s="57">
        <v>17.0</v>
      </c>
      <c r="R9" s="57">
        <v>76.0</v>
      </c>
      <c r="S9" s="57">
        <v>2018.0</v>
      </c>
      <c r="T9" s="5" t="s">
        <v>272</v>
      </c>
      <c r="U9" s="57">
        <v>8.11111111111111</v>
      </c>
      <c r="V9" s="57">
        <v>0.30672112885258074</v>
      </c>
      <c r="W9" s="57">
        <v>0.0</v>
      </c>
      <c r="X9" s="5" t="s">
        <v>4495</v>
      </c>
      <c r="Y9" s="5" t="s">
        <v>4495</v>
      </c>
      <c r="Z9" s="58">
        <v>0.6532759624345169</v>
      </c>
      <c r="AA9" s="58">
        <v>1.0</v>
      </c>
      <c r="AB9" s="58">
        <v>1.0</v>
      </c>
      <c r="AC9" s="58">
        <v>0.2970836899874542</v>
      </c>
      <c r="AD9" s="58">
        <v>0.5430273596073747</v>
      </c>
      <c r="AE9" s="52" t="s">
        <v>4498</v>
      </c>
    </row>
    <row r="10" ht="17.25" customHeight="1">
      <c r="A10" s="55" t="s">
        <v>21</v>
      </c>
      <c r="B10" s="55" t="s">
        <v>274</v>
      </c>
      <c r="C10" s="55" t="s">
        <v>275</v>
      </c>
      <c r="D10" s="56">
        <v>43566.0</v>
      </c>
      <c r="E10" s="57">
        <v>2019.0</v>
      </c>
      <c r="F10" s="5" t="s">
        <v>41</v>
      </c>
      <c r="G10" s="5" t="s">
        <v>42</v>
      </c>
      <c r="H10" s="57">
        <v>26.0</v>
      </c>
      <c r="I10" s="57">
        <v>592.0</v>
      </c>
      <c r="J10" s="5" t="s">
        <v>278</v>
      </c>
      <c r="K10" s="5" t="s">
        <v>279</v>
      </c>
      <c r="L10" s="5" t="s">
        <v>280</v>
      </c>
      <c r="M10" s="5" t="s">
        <v>59</v>
      </c>
      <c r="N10" s="5" t="s">
        <v>281</v>
      </c>
      <c r="O10" s="5" t="s">
        <v>282</v>
      </c>
      <c r="P10" s="57">
        <v>32.0</v>
      </c>
      <c r="R10" s="57">
        <v>206.0</v>
      </c>
      <c r="T10" s="5" t="s">
        <v>285</v>
      </c>
      <c r="U10" s="57">
        <v>28.4</v>
      </c>
      <c r="V10" s="57">
        <v>0.2506350550381033</v>
      </c>
      <c r="W10" s="5" t="s">
        <v>4495</v>
      </c>
      <c r="X10" s="5" t="s">
        <v>4495</v>
      </c>
      <c r="Y10" s="5" t="s">
        <v>4495</v>
      </c>
      <c r="Z10" s="58">
        <v>1.0</v>
      </c>
      <c r="AA10" s="5" t="s">
        <v>4495</v>
      </c>
      <c r="AB10" s="58">
        <v>1.0</v>
      </c>
      <c r="AC10" s="58">
        <v>0.7904562758009703</v>
      </c>
      <c r="AD10" s="58">
        <v>0.47904562758009706</v>
      </c>
      <c r="AE10" s="52" t="s">
        <v>4498</v>
      </c>
    </row>
    <row r="11" ht="17.25" customHeight="1">
      <c r="A11" s="55" t="s">
        <v>21</v>
      </c>
      <c r="B11" s="55" t="s">
        <v>307</v>
      </c>
      <c r="C11" s="55" t="s">
        <v>308</v>
      </c>
      <c r="D11" s="56">
        <v>43144.0</v>
      </c>
      <c r="E11" s="57">
        <v>2018.0</v>
      </c>
      <c r="F11" s="5" t="s">
        <v>41</v>
      </c>
      <c r="G11" s="5" t="s">
        <v>42</v>
      </c>
      <c r="H11" s="57">
        <v>23.0</v>
      </c>
      <c r="I11" s="57">
        <v>357.0</v>
      </c>
      <c r="J11" s="5" t="s">
        <v>311</v>
      </c>
      <c r="K11" s="5" t="s">
        <v>312</v>
      </c>
      <c r="L11" s="5" t="s">
        <v>313</v>
      </c>
      <c r="M11" s="5" t="s">
        <v>59</v>
      </c>
      <c r="N11" s="5" t="s">
        <v>314</v>
      </c>
      <c r="O11" s="5" t="s">
        <v>315</v>
      </c>
      <c r="P11" s="57">
        <v>15.0</v>
      </c>
      <c r="R11" s="57">
        <v>106.0</v>
      </c>
      <c r="S11" s="57">
        <v>2018.0</v>
      </c>
      <c r="T11" s="5" t="s">
        <v>316</v>
      </c>
      <c r="U11" s="57">
        <v>35.6666666666666</v>
      </c>
      <c r="V11" s="57">
        <v>0.12823275862068967</v>
      </c>
      <c r="W11" s="57">
        <v>0.0</v>
      </c>
      <c r="X11" s="5" t="s">
        <v>4495</v>
      </c>
      <c r="Y11" s="5" t="s">
        <v>4495</v>
      </c>
      <c r="Z11" s="58">
        <v>0.7686352339046211</v>
      </c>
      <c r="AA11" s="58">
        <v>1.0</v>
      </c>
      <c r="AB11" s="58">
        <v>1.0</v>
      </c>
      <c r="AC11" s="58">
        <v>0.8834762343634998</v>
      </c>
      <c r="AD11" s="58">
        <v>0.6305064319125052</v>
      </c>
      <c r="AE11" s="52" t="s">
        <v>4498</v>
      </c>
    </row>
    <row r="12" ht="17.25" customHeight="1">
      <c r="A12" s="55" t="s">
        <v>21</v>
      </c>
      <c r="B12" s="55" t="s">
        <v>359</v>
      </c>
      <c r="C12" s="55" t="s">
        <v>360</v>
      </c>
      <c r="D12" s="56">
        <v>41361.0</v>
      </c>
      <c r="E12" s="57">
        <v>2013.0</v>
      </c>
      <c r="F12" s="5" t="s">
        <v>41</v>
      </c>
      <c r="G12" s="5" t="s">
        <v>42</v>
      </c>
      <c r="H12" s="57">
        <v>19.0</v>
      </c>
      <c r="I12" s="57">
        <v>263.0</v>
      </c>
      <c r="K12" s="5" t="s">
        <v>363</v>
      </c>
      <c r="L12" s="5" t="s">
        <v>364</v>
      </c>
      <c r="M12" s="5" t="s">
        <v>59</v>
      </c>
      <c r="N12" s="5" t="s">
        <v>365</v>
      </c>
      <c r="O12" s="5" t="s">
        <v>366</v>
      </c>
      <c r="P12" s="57">
        <v>19.0</v>
      </c>
      <c r="R12" s="57">
        <v>98.0</v>
      </c>
      <c r="T12" s="5" t="s">
        <v>368</v>
      </c>
      <c r="U12" s="57">
        <v>18.0</v>
      </c>
      <c r="V12" s="57">
        <v>0.05758703744252244</v>
      </c>
      <c r="W12" s="5" t="s">
        <v>4495</v>
      </c>
      <c r="X12" s="5" t="s">
        <v>4495</v>
      </c>
      <c r="Y12" s="5" t="s">
        <v>4495</v>
      </c>
      <c r="Z12" s="58">
        <v>0.7413895988672289</v>
      </c>
      <c r="AA12" s="5" t="s">
        <v>4495</v>
      </c>
      <c r="AB12" s="58">
        <v>1.0</v>
      </c>
      <c r="AC12" s="58">
        <v>0.606602574247684</v>
      </c>
      <c r="AD12" s="58">
        <v>0.3960076571415756</v>
      </c>
      <c r="AE12" s="52" t="s">
        <v>4498</v>
      </c>
    </row>
    <row r="13" ht="17.25" customHeight="1">
      <c r="A13" s="55" t="s">
        <v>21</v>
      </c>
      <c r="B13" s="55" t="s">
        <v>381</v>
      </c>
      <c r="C13" s="55" t="s">
        <v>382</v>
      </c>
      <c r="D13" s="56">
        <v>44237.0</v>
      </c>
      <c r="E13" s="57">
        <v>2021.0</v>
      </c>
      <c r="F13" s="5" t="s">
        <v>41</v>
      </c>
      <c r="G13" s="5" t="s">
        <v>42</v>
      </c>
      <c r="H13" s="57">
        <v>19.0</v>
      </c>
      <c r="I13" s="57">
        <v>154.0</v>
      </c>
      <c r="J13" s="5" t="s">
        <v>386</v>
      </c>
      <c r="K13" s="5" t="s">
        <v>387</v>
      </c>
      <c r="L13" s="5" t="s">
        <v>388</v>
      </c>
      <c r="M13" s="5" t="s">
        <v>59</v>
      </c>
      <c r="N13" s="5" t="s">
        <v>389</v>
      </c>
      <c r="O13" s="5" t="s">
        <v>390</v>
      </c>
      <c r="P13" s="57">
        <v>47.0</v>
      </c>
      <c r="R13" s="57">
        <v>234.0</v>
      </c>
      <c r="S13" s="57">
        <v>2020.0</v>
      </c>
      <c r="T13" s="5" t="s">
        <v>392</v>
      </c>
      <c r="U13" s="57">
        <v>29.6666666666666</v>
      </c>
      <c r="V13" s="57">
        <v>0.09107037256061502</v>
      </c>
      <c r="W13" s="57">
        <v>1.0</v>
      </c>
      <c r="X13" s="5" t="s">
        <v>4495</v>
      </c>
      <c r="Y13" s="5" t="s">
        <v>4495</v>
      </c>
      <c r="Z13" s="58">
        <v>1.0</v>
      </c>
      <c r="AA13" s="58">
        <v>1.0</v>
      </c>
      <c r="AB13" s="58">
        <v>1.0</v>
      </c>
      <c r="AC13" s="58">
        <v>0.8082208954445161</v>
      </c>
      <c r="AD13" s="58">
        <v>0.6808220895444516</v>
      </c>
      <c r="AE13" s="52" t="s">
        <v>4498</v>
      </c>
    </row>
    <row r="14" ht="17.25" customHeight="1">
      <c r="A14" s="55" t="s">
        <v>21</v>
      </c>
      <c r="B14" s="55" t="s">
        <v>414</v>
      </c>
      <c r="C14" s="55" t="s">
        <v>415</v>
      </c>
      <c r="D14" s="56">
        <v>43629.0</v>
      </c>
      <c r="E14" s="57">
        <v>2019.0</v>
      </c>
      <c r="F14" s="5" t="s">
        <v>41</v>
      </c>
      <c r="G14" s="5" t="s">
        <v>417</v>
      </c>
      <c r="H14" s="57">
        <v>16.0</v>
      </c>
      <c r="I14" s="57">
        <v>360.0</v>
      </c>
      <c r="J14" s="5" t="s">
        <v>419</v>
      </c>
      <c r="K14" s="5" t="s">
        <v>420</v>
      </c>
      <c r="L14" s="5" t="s">
        <v>421</v>
      </c>
      <c r="M14" s="5" t="s">
        <v>59</v>
      </c>
      <c r="N14" s="5" t="s">
        <v>422</v>
      </c>
      <c r="O14" s="5" t="s">
        <v>423</v>
      </c>
      <c r="P14" s="57">
        <v>17.0</v>
      </c>
      <c r="R14" s="57">
        <v>217.0</v>
      </c>
      <c r="S14" s="57">
        <v>2019.0</v>
      </c>
      <c r="T14" s="5" t="s">
        <v>425</v>
      </c>
      <c r="U14" s="57">
        <v>37.0</v>
      </c>
      <c r="V14" s="57">
        <v>0.156589821661592</v>
      </c>
      <c r="W14" s="57">
        <v>0.0</v>
      </c>
      <c r="X14" s="5" t="s">
        <v>4495</v>
      </c>
      <c r="Y14" s="5" t="s">
        <v>4495</v>
      </c>
      <c r="Z14" s="58">
        <v>1.0</v>
      </c>
      <c r="AA14" s="58">
        <v>1.0</v>
      </c>
      <c r="AB14" s="58">
        <v>1.0</v>
      </c>
      <c r="AC14" s="58">
        <v>0.8985187633496309</v>
      </c>
      <c r="AD14" s="58">
        <v>0.689851876334963</v>
      </c>
      <c r="AE14" s="52" t="s">
        <v>4498</v>
      </c>
    </row>
    <row r="15" ht="17.25" customHeight="1">
      <c r="A15" s="55" t="s">
        <v>21</v>
      </c>
      <c r="B15" s="55" t="s">
        <v>436</v>
      </c>
      <c r="C15" s="55" t="s">
        <v>437</v>
      </c>
      <c r="D15" s="56">
        <v>42062.0</v>
      </c>
      <c r="E15" s="57">
        <v>2015.0</v>
      </c>
      <c r="F15" s="5" t="s">
        <v>41</v>
      </c>
      <c r="G15" s="5" t="s">
        <v>42</v>
      </c>
      <c r="H15" s="57">
        <v>15.0</v>
      </c>
      <c r="I15" s="57">
        <v>294.0</v>
      </c>
      <c r="J15" s="5" t="s">
        <v>440</v>
      </c>
      <c r="K15" s="5" t="s">
        <v>441</v>
      </c>
      <c r="L15" s="5" t="s">
        <v>442</v>
      </c>
      <c r="M15" s="5" t="s">
        <v>59</v>
      </c>
      <c r="N15" s="5" t="s">
        <v>443</v>
      </c>
      <c r="O15" s="5" t="s">
        <v>444</v>
      </c>
      <c r="P15" s="57">
        <v>41.0</v>
      </c>
      <c r="R15" s="57">
        <v>86.0</v>
      </c>
      <c r="S15" s="57">
        <v>2015.0</v>
      </c>
      <c r="T15" s="5" t="s">
        <v>446</v>
      </c>
      <c r="U15" s="57">
        <v>36.6666666666666</v>
      </c>
      <c r="V15" s="57">
        <v>0.0760475944128298</v>
      </c>
      <c r="W15" s="57">
        <v>0.0</v>
      </c>
      <c r="X15" s="5" t="s">
        <v>4495</v>
      </c>
      <c r="Y15" s="5" t="s">
        <v>4495</v>
      </c>
      <c r="Z15" s="58">
        <v>0.6960865272992703</v>
      </c>
      <c r="AA15" s="58">
        <v>1.0</v>
      </c>
      <c r="AB15" s="58">
        <v>1.0</v>
      </c>
      <c r="AC15" s="58">
        <v>0.8948082015634227</v>
      </c>
      <c r="AD15" s="58">
        <v>0.6135024519811599</v>
      </c>
      <c r="AE15" s="52" t="s">
        <v>4498</v>
      </c>
    </row>
    <row r="16" ht="17.25" customHeight="1">
      <c r="A16" s="55" t="s">
        <v>21</v>
      </c>
      <c r="B16" s="55" t="s">
        <v>448</v>
      </c>
      <c r="C16" s="55" t="s">
        <v>449</v>
      </c>
      <c r="D16" s="56">
        <v>44032.0</v>
      </c>
      <c r="E16" s="57">
        <v>2020.0</v>
      </c>
      <c r="F16" s="5" t="s">
        <v>26</v>
      </c>
      <c r="G16" s="5" t="s">
        <v>42</v>
      </c>
      <c r="H16" s="57">
        <v>15.0</v>
      </c>
      <c r="I16" s="57">
        <v>237.0</v>
      </c>
      <c r="J16" s="5" t="s">
        <v>451</v>
      </c>
      <c r="K16" s="5" t="s">
        <v>452</v>
      </c>
      <c r="L16" s="5" t="s">
        <v>453</v>
      </c>
      <c r="M16" s="5" t="s">
        <v>59</v>
      </c>
      <c r="N16" s="5" t="s">
        <v>454</v>
      </c>
      <c r="R16" s="57">
        <v>213.0</v>
      </c>
      <c r="S16" s="57">
        <v>2020.0</v>
      </c>
      <c r="T16" s="5" t="s">
        <v>456</v>
      </c>
      <c r="U16" s="57">
        <v>14.0</v>
      </c>
      <c r="V16" s="57">
        <v>0.125</v>
      </c>
      <c r="W16" s="57">
        <v>0.0</v>
      </c>
      <c r="X16" s="5" t="s">
        <v>4495</v>
      </c>
      <c r="Y16" s="5" t="s">
        <v>4495</v>
      </c>
      <c r="Z16" s="58">
        <v>1.0</v>
      </c>
      <c r="AA16" s="58">
        <v>1.0</v>
      </c>
      <c r="AB16" s="58">
        <v>1.0</v>
      </c>
      <c r="AC16" s="58">
        <v>0.5070483768501975</v>
      </c>
      <c r="AD16" s="58">
        <v>0.6507048376850197</v>
      </c>
      <c r="AE16" s="52" t="s">
        <v>4498</v>
      </c>
    </row>
    <row r="17" ht="17.25" customHeight="1">
      <c r="A17" s="55" t="s">
        <v>21</v>
      </c>
      <c r="B17" s="55" t="s">
        <v>497</v>
      </c>
      <c r="C17" s="55" t="s">
        <v>498</v>
      </c>
      <c r="D17" s="56">
        <v>41395.0</v>
      </c>
      <c r="E17" s="57">
        <v>2013.0</v>
      </c>
      <c r="F17" s="5" t="s">
        <v>41</v>
      </c>
      <c r="G17" s="5" t="s">
        <v>42</v>
      </c>
      <c r="H17" s="57">
        <v>14.0</v>
      </c>
      <c r="I17" s="57">
        <v>189.0</v>
      </c>
      <c r="J17" s="5" t="s">
        <v>501</v>
      </c>
      <c r="K17" s="5" t="s">
        <v>502</v>
      </c>
      <c r="L17" s="5" t="s">
        <v>503</v>
      </c>
      <c r="M17" s="5" t="s">
        <v>59</v>
      </c>
      <c r="N17" s="5" t="s">
        <v>504</v>
      </c>
      <c r="R17" s="57">
        <v>53.0</v>
      </c>
      <c r="S17" s="57">
        <v>2012.0</v>
      </c>
      <c r="T17" s="5" t="s">
        <v>506</v>
      </c>
      <c r="U17" s="57">
        <v>29.3333333333333</v>
      </c>
      <c r="V17" s="57">
        <v>0.04169424222369292</v>
      </c>
      <c r="W17" s="57">
        <v>1.0</v>
      </c>
      <c r="X17" s="5" t="s">
        <v>4495</v>
      </c>
      <c r="Y17" s="5" t="s">
        <v>4495</v>
      </c>
      <c r="Z17" s="58">
        <v>0.5288716380402964</v>
      </c>
      <c r="AA17" s="58">
        <v>1.0</v>
      </c>
      <c r="AB17" s="58">
        <v>1.0</v>
      </c>
      <c r="AC17" s="58">
        <v>0.8036181606867903</v>
      </c>
      <c r="AD17" s="58">
        <v>0.5625797255787532</v>
      </c>
      <c r="AE17" s="52" t="s">
        <v>4498</v>
      </c>
    </row>
    <row r="18" ht="17.25" customHeight="1">
      <c r="A18" s="55" t="s">
        <v>21</v>
      </c>
      <c r="B18" s="55" t="s">
        <v>508</v>
      </c>
      <c r="C18" s="55" t="s">
        <v>509</v>
      </c>
      <c r="D18" s="56">
        <v>43130.0</v>
      </c>
      <c r="E18" s="57">
        <v>2018.0</v>
      </c>
      <c r="F18" s="5" t="s">
        <v>41</v>
      </c>
      <c r="G18" s="5" t="s">
        <v>42</v>
      </c>
      <c r="H18" s="57">
        <v>14.0</v>
      </c>
      <c r="I18" s="57">
        <v>405.0</v>
      </c>
      <c r="J18" s="5" t="s">
        <v>512</v>
      </c>
      <c r="K18" s="5" t="s">
        <v>513</v>
      </c>
      <c r="L18" s="5" t="s">
        <v>514</v>
      </c>
      <c r="M18" s="5" t="s">
        <v>59</v>
      </c>
      <c r="N18" s="5" t="s">
        <v>515</v>
      </c>
      <c r="O18" s="5" t="s">
        <v>516</v>
      </c>
      <c r="P18" s="57">
        <v>10.0</v>
      </c>
      <c r="R18" s="57">
        <v>37.0</v>
      </c>
      <c r="S18" s="57">
        <v>2018.0</v>
      </c>
      <c r="T18" s="5" t="s">
        <v>518</v>
      </c>
      <c r="U18" s="57">
        <v>20.8</v>
      </c>
      <c r="V18" s="57">
        <v>0.14474624731951394</v>
      </c>
      <c r="W18" s="57">
        <v>0.0</v>
      </c>
      <c r="X18" s="5" t="s">
        <v>4495</v>
      </c>
      <c r="Y18" s="5" t="s">
        <v>4495</v>
      </c>
      <c r="Z18" s="58">
        <v>0.40566762681079266</v>
      </c>
      <c r="AA18" s="58">
        <v>1.0</v>
      </c>
      <c r="AB18" s="58">
        <v>1.0</v>
      </c>
      <c r="AC18" s="58">
        <v>0.6644979373420747</v>
      </c>
      <c r="AD18" s="58">
        <v>0.5178667004369056</v>
      </c>
      <c r="AE18" s="52" t="s">
        <v>4498</v>
      </c>
    </row>
    <row r="19" ht="17.25" customHeight="1">
      <c r="A19" s="55" t="s">
        <v>21</v>
      </c>
      <c r="B19" s="55" t="s">
        <v>548</v>
      </c>
      <c r="C19" s="55" t="s">
        <v>549</v>
      </c>
      <c r="D19" s="56">
        <v>43943.0</v>
      </c>
      <c r="E19" s="57">
        <v>2020.0</v>
      </c>
      <c r="F19" s="5" t="s">
        <v>41</v>
      </c>
      <c r="G19" s="5" t="s">
        <v>42</v>
      </c>
      <c r="H19" s="57">
        <v>13.0</v>
      </c>
      <c r="I19" s="57">
        <v>156.0</v>
      </c>
      <c r="J19" s="5" t="s">
        <v>552</v>
      </c>
      <c r="K19" s="5" t="s">
        <v>553</v>
      </c>
      <c r="L19" s="5" t="s">
        <v>554</v>
      </c>
      <c r="M19" s="5" t="s">
        <v>59</v>
      </c>
      <c r="N19" s="5" t="s">
        <v>555</v>
      </c>
      <c r="O19" s="5" t="s">
        <v>556</v>
      </c>
      <c r="P19" s="57">
        <v>37.0</v>
      </c>
      <c r="R19" s="57">
        <v>176.0</v>
      </c>
      <c r="S19" s="57">
        <v>2020.0</v>
      </c>
      <c r="T19" s="5" t="s">
        <v>558</v>
      </c>
      <c r="U19" s="57">
        <v>33.75</v>
      </c>
      <c r="V19" s="57">
        <v>0.07858942065491184</v>
      </c>
      <c r="W19" s="57">
        <v>0.0</v>
      </c>
      <c r="X19" s="5" t="s">
        <v>4495</v>
      </c>
      <c r="Y19" s="5" t="s">
        <v>4495</v>
      </c>
      <c r="Z19" s="58">
        <v>0.945105144241996</v>
      </c>
      <c r="AA19" s="58">
        <v>1.0</v>
      </c>
      <c r="AB19" s="58">
        <v>1.0</v>
      </c>
      <c r="AC19" s="58">
        <v>0.8608655331288015</v>
      </c>
      <c r="AD19" s="58">
        <v>0.6723628393733792</v>
      </c>
      <c r="AE19" s="52" t="s">
        <v>4498</v>
      </c>
    </row>
    <row r="20" ht="17.25" customHeight="1">
      <c r="A20" s="55" t="s">
        <v>21</v>
      </c>
      <c r="B20" s="55" t="s">
        <v>568</v>
      </c>
      <c r="C20" s="55" t="s">
        <v>569</v>
      </c>
      <c r="D20" s="56">
        <v>43435.0</v>
      </c>
      <c r="E20" s="57">
        <v>2018.0</v>
      </c>
      <c r="F20" s="5" t="s">
        <v>41</v>
      </c>
      <c r="G20" s="5" t="s">
        <v>42</v>
      </c>
      <c r="H20" s="57">
        <v>13.0</v>
      </c>
      <c r="I20" s="57">
        <v>350.0</v>
      </c>
      <c r="J20" s="5" t="s">
        <v>572</v>
      </c>
      <c r="K20" s="5" t="s">
        <v>573</v>
      </c>
      <c r="L20" s="5" t="s">
        <v>574</v>
      </c>
      <c r="M20" s="5" t="s">
        <v>59</v>
      </c>
      <c r="N20" s="5" t="s">
        <v>575</v>
      </c>
      <c r="R20" s="57">
        <v>110.0</v>
      </c>
      <c r="S20" s="57">
        <v>2018.0</v>
      </c>
      <c r="T20" s="5" t="s">
        <v>576</v>
      </c>
      <c r="U20" s="57">
        <v>17.0</v>
      </c>
      <c r="V20" s="57">
        <v>0.14039310068190936</v>
      </c>
      <c r="W20" s="57">
        <v>0.0</v>
      </c>
      <c r="X20" s="5" t="s">
        <v>4495</v>
      </c>
      <c r="Y20" s="5" t="s">
        <v>4495</v>
      </c>
      <c r="Z20" s="58">
        <v>0.781503141717807</v>
      </c>
      <c r="AA20" s="58">
        <v>1.0</v>
      </c>
      <c r="AB20" s="58">
        <v>1.0</v>
      </c>
      <c r="AC20" s="58">
        <v>0.5838323782038936</v>
      </c>
      <c r="AD20" s="58">
        <v>0.6037590232498411</v>
      </c>
      <c r="AE20" s="52" t="s">
        <v>4498</v>
      </c>
    </row>
    <row r="21" ht="17.25" customHeight="1">
      <c r="A21" s="55" t="s">
        <v>21</v>
      </c>
      <c r="B21" s="55" t="s">
        <v>587</v>
      </c>
      <c r="C21" s="55" t="s">
        <v>588</v>
      </c>
      <c r="D21" s="56">
        <v>40786.0</v>
      </c>
      <c r="E21" s="57">
        <v>2011.0</v>
      </c>
      <c r="F21" s="5" t="s">
        <v>26</v>
      </c>
      <c r="G21" s="5" t="s">
        <v>42</v>
      </c>
      <c r="H21" s="57">
        <v>13.0</v>
      </c>
      <c r="I21" s="57">
        <v>405.0</v>
      </c>
      <c r="K21" s="5" t="s">
        <v>590</v>
      </c>
      <c r="L21" s="5" t="s">
        <v>591</v>
      </c>
      <c r="M21" s="5" t="s">
        <v>59</v>
      </c>
      <c r="N21" s="5" t="s">
        <v>592</v>
      </c>
      <c r="O21" s="5" t="s">
        <v>593</v>
      </c>
      <c r="P21" s="57">
        <v>10.0</v>
      </c>
      <c r="R21" s="57">
        <v>60.0</v>
      </c>
      <c r="T21" s="5" t="s">
        <v>595</v>
      </c>
      <c r="U21" s="57">
        <v>2.18181818181818</v>
      </c>
      <c r="V21" s="57">
        <v>0.07876312718786464</v>
      </c>
      <c r="W21" s="5" t="s">
        <v>4495</v>
      </c>
      <c r="X21" s="5" t="s">
        <v>4495</v>
      </c>
      <c r="Y21" s="5" t="s">
        <v>4495</v>
      </c>
      <c r="Z21" s="58">
        <v>0.5716075650904038</v>
      </c>
      <c r="AA21" s="5" t="s">
        <v>4495</v>
      </c>
      <c r="AB21" s="58">
        <v>1.0</v>
      </c>
      <c r="AC21" s="58">
        <v>0.0</v>
      </c>
      <c r="AD21" s="58">
        <v>0.2929018912726009</v>
      </c>
      <c r="AE21" s="52" t="s">
        <v>4498</v>
      </c>
    </row>
    <row r="22" ht="17.25" customHeight="1">
      <c r="A22" s="55" t="s">
        <v>21</v>
      </c>
      <c r="B22" s="55" t="s">
        <v>606</v>
      </c>
      <c r="C22" s="55" t="s">
        <v>607</v>
      </c>
      <c r="F22" s="5" t="s">
        <v>41</v>
      </c>
      <c r="G22" s="5" t="s">
        <v>42</v>
      </c>
      <c r="H22" s="57">
        <v>12.0</v>
      </c>
      <c r="I22" s="57">
        <v>199.0</v>
      </c>
      <c r="J22" s="5" t="s">
        <v>609</v>
      </c>
      <c r="K22" s="5" t="s">
        <v>610</v>
      </c>
      <c r="L22" s="5" t="s">
        <v>611</v>
      </c>
      <c r="M22" s="5" t="s">
        <v>59</v>
      </c>
      <c r="N22" s="5" t="s">
        <v>612</v>
      </c>
      <c r="O22" s="59" t="s">
        <v>613</v>
      </c>
      <c r="P22" s="57">
        <v>1.0</v>
      </c>
      <c r="R22" s="57">
        <v>164.0</v>
      </c>
      <c r="S22" s="57">
        <v>2023.0</v>
      </c>
      <c r="T22" s="5" t="s">
        <v>617</v>
      </c>
      <c r="U22" s="57">
        <v>30.75</v>
      </c>
      <c r="V22" s="5" t="s">
        <v>4495</v>
      </c>
      <c r="W22" s="5" t="s">
        <v>4495</v>
      </c>
      <c r="X22" s="5" t="s">
        <v>4495</v>
      </c>
      <c r="Y22" s="5" t="s">
        <v>4495</v>
      </c>
      <c r="Z22" s="58">
        <v>0.9204907495688482</v>
      </c>
      <c r="AA22" s="5" t="s">
        <v>4495</v>
      </c>
      <c r="AB22" s="5" t="s">
        <v>4495</v>
      </c>
      <c r="AC22" s="58">
        <v>0.8228415853356936</v>
      </c>
      <c r="AD22" s="58">
        <v>0.31240684592578144</v>
      </c>
      <c r="AE22" s="52" t="s">
        <v>4498</v>
      </c>
    </row>
    <row r="23" ht="17.25" customHeight="1">
      <c r="A23" s="55" t="s">
        <v>21</v>
      </c>
      <c r="B23" s="55" t="s">
        <v>629</v>
      </c>
      <c r="C23" s="55" t="s">
        <v>630</v>
      </c>
      <c r="F23" s="5" t="s">
        <v>41</v>
      </c>
      <c r="G23" s="5" t="s">
        <v>42</v>
      </c>
      <c r="H23" s="57">
        <v>12.0</v>
      </c>
      <c r="I23" s="57">
        <v>138.0</v>
      </c>
      <c r="J23" s="5" t="s">
        <v>631</v>
      </c>
      <c r="K23" s="5" t="s">
        <v>632</v>
      </c>
      <c r="L23" s="5" t="s">
        <v>633</v>
      </c>
      <c r="M23" s="5" t="s">
        <v>59</v>
      </c>
      <c r="N23" s="5" t="s">
        <v>634</v>
      </c>
      <c r="O23" s="5" t="s">
        <v>635</v>
      </c>
      <c r="P23" s="57">
        <v>26.0</v>
      </c>
      <c r="R23" s="57">
        <v>235.0</v>
      </c>
      <c r="S23" s="57">
        <v>2022.0</v>
      </c>
      <c r="T23" s="5" t="s">
        <v>638</v>
      </c>
      <c r="U23" s="57">
        <v>11.0</v>
      </c>
      <c r="V23" s="5" t="s">
        <v>4495</v>
      </c>
      <c r="W23" s="5" t="s">
        <v>4495</v>
      </c>
      <c r="X23" s="5" t="s">
        <v>4495</v>
      </c>
      <c r="Y23" s="5" t="s">
        <v>4495</v>
      </c>
      <c r="Z23" s="58">
        <v>1.0</v>
      </c>
      <c r="AA23" s="5" t="s">
        <v>4495</v>
      </c>
      <c r="AB23" s="5" t="s">
        <v>4495</v>
      </c>
      <c r="AC23" s="58">
        <v>0.4130723542258289</v>
      </c>
      <c r="AD23" s="58">
        <v>0.2913072354225829</v>
      </c>
      <c r="AE23" s="52" t="s">
        <v>4498</v>
      </c>
    </row>
    <row r="24" ht="17.25" customHeight="1">
      <c r="A24" s="55" t="s">
        <v>21</v>
      </c>
      <c r="B24" s="55" t="s">
        <v>639</v>
      </c>
      <c r="C24" s="55" t="s">
        <v>640</v>
      </c>
      <c r="F24" s="5" t="s">
        <v>41</v>
      </c>
      <c r="G24" s="5" t="s">
        <v>42</v>
      </c>
      <c r="H24" s="57">
        <v>11.0</v>
      </c>
      <c r="I24" s="57">
        <v>192.0</v>
      </c>
      <c r="K24" s="5" t="s">
        <v>642</v>
      </c>
      <c r="L24" s="5" t="s">
        <v>643</v>
      </c>
      <c r="M24" s="5" t="s">
        <v>59</v>
      </c>
      <c r="N24" s="5" t="s">
        <v>644</v>
      </c>
      <c r="O24" s="5" t="s">
        <v>645</v>
      </c>
      <c r="P24" s="57">
        <v>22.0</v>
      </c>
      <c r="R24" s="57">
        <v>124.0</v>
      </c>
      <c r="T24" s="5" t="s">
        <v>647</v>
      </c>
      <c r="U24" s="57">
        <v>8.0</v>
      </c>
      <c r="V24" s="5" t="s">
        <v>4495</v>
      </c>
      <c r="W24" s="5" t="s">
        <v>4495</v>
      </c>
      <c r="X24" s="5" t="s">
        <v>4495</v>
      </c>
      <c r="Y24" s="5" t="s">
        <v>4495</v>
      </c>
      <c r="Z24" s="58">
        <v>0.823149971850111</v>
      </c>
      <c r="AA24" s="5" t="s">
        <v>4495</v>
      </c>
      <c r="AB24" s="5" t="s">
        <v>4495</v>
      </c>
      <c r="AC24" s="58">
        <v>0.29191618910194683</v>
      </c>
      <c r="AD24" s="58">
        <v>0.2349791118727224</v>
      </c>
      <c r="AE24" s="52" t="s">
        <v>4498</v>
      </c>
    </row>
    <row r="25" ht="17.25" customHeight="1">
      <c r="A25" s="55" t="s">
        <v>21</v>
      </c>
      <c r="B25" s="55" t="s">
        <v>656</v>
      </c>
      <c r="C25" s="55" t="s">
        <v>657</v>
      </c>
      <c r="D25" s="56">
        <v>44410.0</v>
      </c>
      <c r="E25" s="57">
        <v>2021.0</v>
      </c>
      <c r="F25" s="5" t="s">
        <v>41</v>
      </c>
      <c r="G25" s="5" t="s">
        <v>42</v>
      </c>
      <c r="H25" s="57">
        <v>11.0</v>
      </c>
      <c r="I25" s="57">
        <v>177.0</v>
      </c>
      <c r="K25" s="5" t="s">
        <v>660</v>
      </c>
      <c r="L25" s="5" t="s">
        <v>661</v>
      </c>
      <c r="M25" s="5" t="s">
        <v>59</v>
      </c>
      <c r="N25" s="5" t="s">
        <v>662</v>
      </c>
      <c r="R25" s="57">
        <v>103.0</v>
      </c>
      <c r="S25" s="57">
        <v>2021.0</v>
      </c>
      <c r="T25" s="5" t="s">
        <v>664</v>
      </c>
      <c r="U25" s="57">
        <v>22.0</v>
      </c>
      <c r="V25" s="57">
        <v>0.116600790513834</v>
      </c>
      <c r="W25" s="57">
        <v>0.0</v>
      </c>
      <c r="X25" s="5" t="s">
        <v>4495</v>
      </c>
      <c r="Y25" s="5" t="s">
        <v>4495</v>
      </c>
      <c r="Z25" s="58">
        <v>0.7586645771823989</v>
      </c>
      <c r="AA25" s="58">
        <v>1.0</v>
      </c>
      <c r="AB25" s="58">
        <v>1.0</v>
      </c>
      <c r="AC25" s="58">
        <v>0.6870647303206351</v>
      </c>
      <c r="AD25" s="58">
        <v>0.6083726173276633</v>
      </c>
      <c r="AE25" s="52" t="s">
        <v>4498</v>
      </c>
    </row>
    <row r="26" ht="17.25" customHeight="1">
      <c r="A26" s="55" t="s">
        <v>21</v>
      </c>
      <c r="B26" s="55" t="s">
        <v>665</v>
      </c>
      <c r="C26" s="55" t="s">
        <v>666</v>
      </c>
      <c r="F26" s="5" t="s">
        <v>26</v>
      </c>
      <c r="G26" s="5" t="s">
        <v>42</v>
      </c>
      <c r="H26" s="57">
        <v>11.0</v>
      </c>
      <c r="I26" s="57">
        <v>275.0</v>
      </c>
      <c r="K26" s="5" t="s">
        <v>668</v>
      </c>
      <c r="L26" s="5" t="s">
        <v>669</v>
      </c>
      <c r="M26" s="5" t="s">
        <v>59</v>
      </c>
      <c r="N26" s="5" t="s">
        <v>670</v>
      </c>
      <c r="R26" s="57">
        <v>15.0</v>
      </c>
      <c r="S26" s="57">
        <v>2019.0</v>
      </c>
      <c r="T26" s="5" t="s">
        <v>671</v>
      </c>
      <c r="U26" s="57">
        <v>6.8</v>
      </c>
      <c r="V26" s="5" t="s">
        <v>4495</v>
      </c>
      <c r="W26" s="5" t="s">
        <v>4495</v>
      </c>
      <c r="X26" s="5" t="s">
        <v>4495</v>
      </c>
      <c r="Y26" s="5" t="s">
        <v>4495</v>
      </c>
      <c r="Z26" s="58">
        <v>0.10238989523252559</v>
      </c>
      <c r="AA26" s="5" t="s">
        <v>4495</v>
      </c>
      <c r="AB26" s="5" t="s">
        <v>4495</v>
      </c>
      <c r="AC26" s="58">
        <v>0.23164983571490277</v>
      </c>
      <c r="AD26" s="58">
        <v>0.048762457379621676</v>
      </c>
      <c r="AE26" s="52" t="s">
        <v>4498</v>
      </c>
    </row>
    <row r="27" ht="17.25" customHeight="1">
      <c r="A27" s="55" t="s">
        <v>21</v>
      </c>
      <c r="B27" s="55" t="s">
        <v>691</v>
      </c>
      <c r="C27" s="55" t="s">
        <v>692</v>
      </c>
      <c r="D27" s="56">
        <v>44874.0</v>
      </c>
      <c r="E27" s="57">
        <v>2022.0</v>
      </c>
      <c r="F27" s="5" t="s">
        <v>41</v>
      </c>
      <c r="G27" s="5" t="s">
        <v>42</v>
      </c>
      <c r="H27" s="57">
        <v>10.0</v>
      </c>
      <c r="I27" s="57">
        <v>136.0</v>
      </c>
      <c r="J27" s="5" t="s">
        <v>694</v>
      </c>
      <c r="K27" s="5" t="s">
        <v>695</v>
      </c>
      <c r="L27" s="5" t="s">
        <v>696</v>
      </c>
      <c r="M27" s="5" t="s">
        <v>59</v>
      </c>
      <c r="N27" s="5" t="s">
        <v>697</v>
      </c>
      <c r="O27" s="5" t="s">
        <v>698</v>
      </c>
      <c r="P27" s="57">
        <v>40.0</v>
      </c>
      <c r="R27" s="57">
        <v>187.0</v>
      </c>
      <c r="T27" s="5" t="s">
        <v>700</v>
      </c>
      <c r="U27" s="57">
        <v>10.8333333333333</v>
      </c>
      <c r="V27" s="57">
        <v>0.12903225806451613</v>
      </c>
      <c r="W27" s="5" t="s">
        <v>4495</v>
      </c>
      <c r="X27" s="5" t="s">
        <v>4495</v>
      </c>
      <c r="Y27" s="5" t="s">
        <v>4495</v>
      </c>
      <c r="Z27" s="58">
        <v>0.9662442714017269</v>
      </c>
      <c r="AA27" s="5" t="s">
        <v>4495</v>
      </c>
      <c r="AB27" s="58">
        <v>1.0</v>
      </c>
      <c r="AC27" s="58">
        <v>0.40718210382644554</v>
      </c>
      <c r="AD27" s="58">
        <v>0.43227927823307627</v>
      </c>
      <c r="AE27" s="52" t="s">
        <v>4498</v>
      </c>
    </row>
    <row r="28" ht="17.25" customHeight="1">
      <c r="A28" s="55" t="s">
        <v>21</v>
      </c>
      <c r="B28" s="55" t="s">
        <v>702</v>
      </c>
      <c r="C28" s="55" t="s">
        <v>703</v>
      </c>
      <c r="D28" s="56">
        <v>44263.0</v>
      </c>
      <c r="E28" s="57">
        <v>2021.0</v>
      </c>
      <c r="F28" s="5" t="s">
        <v>41</v>
      </c>
      <c r="G28" s="5" t="s">
        <v>42</v>
      </c>
      <c r="H28" s="57">
        <v>10.0</v>
      </c>
      <c r="I28" s="57">
        <v>321.0</v>
      </c>
      <c r="J28" s="5" t="s">
        <v>706</v>
      </c>
      <c r="K28" s="5" t="s">
        <v>707</v>
      </c>
      <c r="L28" s="5" t="s">
        <v>708</v>
      </c>
      <c r="M28" s="5" t="s">
        <v>59</v>
      </c>
      <c r="N28" s="5" t="s">
        <v>709</v>
      </c>
      <c r="R28" s="57">
        <v>103.0</v>
      </c>
      <c r="S28" s="57">
        <v>2020.0</v>
      </c>
      <c r="T28" s="5" t="s">
        <v>710</v>
      </c>
      <c r="U28" s="57">
        <v>15.0</v>
      </c>
      <c r="V28" s="57">
        <v>0.1927927927927928</v>
      </c>
      <c r="W28" s="57">
        <v>1.0</v>
      </c>
      <c r="X28" s="5" t="s">
        <v>4495</v>
      </c>
      <c r="Y28" s="5" t="s">
        <v>4495</v>
      </c>
      <c r="Z28" s="58">
        <v>0.7586645771823989</v>
      </c>
      <c r="AA28" s="58">
        <v>1.0</v>
      </c>
      <c r="AB28" s="58">
        <v>1.0</v>
      </c>
      <c r="AC28" s="58">
        <v>0.5342285193497109</v>
      </c>
      <c r="AD28" s="58">
        <v>0.5930889962305709</v>
      </c>
      <c r="AE28" s="52" t="s">
        <v>4498</v>
      </c>
    </row>
    <row r="29" ht="17.25" customHeight="1">
      <c r="A29" s="55" t="s">
        <v>21</v>
      </c>
      <c r="B29" s="55" t="s">
        <v>711</v>
      </c>
      <c r="C29" s="55" t="s">
        <v>712</v>
      </c>
      <c r="F29" s="5" t="s">
        <v>41</v>
      </c>
      <c r="G29" s="5" t="s">
        <v>42</v>
      </c>
      <c r="H29" s="57">
        <v>10.0</v>
      </c>
      <c r="I29" s="57">
        <v>297.0</v>
      </c>
      <c r="J29" s="5" t="s">
        <v>714</v>
      </c>
      <c r="K29" s="5" t="s">
        <v>715</v>
      </c>
      <c r="L29" s="5" t="s">
        <v>716</v>
      </c>
      <c r="M29" s="5" t="s">
        <v>59</v>
      </c>
      <c r="N29" s="5" t="s">
        <v>717</v>
      </c>
      <c r="O29" s="5" t="s">
        <v>718</v>
      </c>
      <c r="P29" s="57">
        <v>45.0</v>
      </c>
      <c r="R29" s="57">
        <v>629.0</v>
      </c>
      <c r="S29" s="57">
        <v>2022.0</v>
      </c>
      <c r="T29" s="5" t="s">
        <v>720</v>
      </c>
      <c r="U29" s="57">
        <v>33.6</v>
      </c>
      <c r="V29" s="5" t="s">
        <v>4495</v>
      </c>
      <c r="W29" s="5" t="s">
        <v>4495</v>
      </c>
      <c r="X29" s="5" t="s">
        <v>4495</v>
      </c>
      <c r="Y29" s="5" t="s">
        <v>4495</v>
      </c>
      <c r="Z29" s="58">
        <v>1.0</v>
      </c>
      <c r="AA29" s="5" t="s">
        <v>4495</v>
      </c>
      <c r="AB29" s="5" t="s">
        <v>4495</v>
      </c>
      <c r="AC29" s="58">
        <v>0.8590437017151352</v>
      </c>
      <c r="AD29" s="58">
        <v>0.33590437017151353</v>
      </c>
      <c r="AE29" s="52" t="s">
        <v>4498</v>
      </c>
    </row>
    <row r="30" ht="17.25" customHeight="1">
      <c r="A30" s="55" t="s">
        <v>21</v>
      </c>
      <c r="B30" s="55" t="s">
        <v>722</v>
      </c>
      <c r="C30" s="55" t="s">
        <v>723</v>
      </c>
      <c r="D30" s="56">
        <v>44804.0</v>
      </c>
      <c r="E30" s="57">
        <v>2022.0</v>
      </c>
      <c r="F30" s="5" t="s">
        <v>41</v>
      </c>
      <c r="G30" s="5" t="s">
        <v>42</v>
      </c>
      <c r="H30" s="57">
        <v>10.0</v>
      </c>
      <c r="I30" s="57">
        <v>191.0</v>
      </c>
      <c r="J30" s="5" t="s">
        <v>726</v>
      </c>
      <c r="K30" s="5" t="s">
        <v>727</v>
      </c>
      <c r="L30" s="5" t="s">
        <v>728</v>
      </c>
      <c r="M30" s="5" t="s">
        <v>59</v>
      </c>
      <c r="N30" s="5" t="s">
        <v>729</v>
      </c>
      <c r="O30" s="5" t="s">
        <v>730</v>
      </c>
      <c r="P30" s="57">
        <v>36.0</v>
      </c>
      <c r="R30" s="57">
        <v>279.0</v>
      </c>
      <c r="S30" s="57">
        <v>2022.0</v>
      </c>
      <c r="T30" s="5" t="s">
        <v>733</v>
      </c>
      <c r="U30" s="57">
        <v>16.2</v>
      </c>
      <c r="V30" s="57">
        <v>0.1699288256227758</v>
      </c>
      <c r="W30" s="57">
        <v>0.0</v>
      </c>
      <c r="X30" s="5" t="s">
        <v>4495</v>
      </c>
      <c r="Y30" s="5" t="s">
        <v>4495</v>
      </c>
      <c r="Z30" s="58">
        <v>1.0</v>
      </c>
      <c r="AA30" s="58">
        <v>1.0</v>
      </c>
      <c r="AB30" s="58">
        <v>1.0</v>
      </c>
      <c r="AC30" s="58">
        <v>0.5646860794664548</v>
      </c>
      <c r="AD30" s="58">
        <v>0.6564686079466454</v>
      </c>
      <c r="AE30" s="52" t="s">
        <v>4498</v>
      </c>
    </row>
    <row r="31" ht="17.25" customHeight="1">
      <c r="A31" s="55" t="s">
        <v>21</v>
      </c>
      <c r="B31" s="55" t="s">
        <v>767</v>
      </c>
      <c r="C31" s="55" t="s">
        <v>768</v>
      </c>
      <c r="D31" s="56">
        <v>44412.0</v>
      </c>
      <c r="E31" s="57">
        <v>2021.0</v>
      </c>
      <c r="F31" s="5" t="s">
        <v>41</v>
      </c>
      <c r="G31" s="5" t="s">
        <v>42</v>
      </c>
      <c r="H31" s="57">
        <v>9.0</v>
      </c>
      <c r="I31" s="57">
        <v>163.0</v>
      </c>
      <c r="J31" s="5" t="s">
        <v>771</v>
      </c>
      <c r="K31" s="5" t="s">
        <v>772</v>
      </c>
      <c r="L31" s="5" t="s">
        <v>773</v>
      </c>
      <c r="M31" s="5" t="s">
        <v>59</v>
      </c>
      <c r="N31" s="5" t="s">
        <v>774</v>
      </c>
      <c r="O31" s="5" t="s">
        <v>775</v>
      </c>
      <c r="P31" s="57">
        <v>33.0</v>
      </c>
      <c r="R31" s="57">
        <v>164.0</v>
      </c>
      <c r="S31" s="57">
        <v>2021.0</v>
      </c>
      <c r="T31" s="5" t="s">
        <v>776</v>
      </c>
      <c r="U31" s="57">
        <v>17.75</v>
      </c>
      <c r="V31" s="57">
        <v>0.10751978891820581</v>
      </c>
      <c r="W31" s="57">
        <v>0.0</v>
      </c>
      <c r="X31" s="5" t="s">
        <v>4495</v>
      </c>
      <c r="Y31" s="5" t="s">
        <v>4495</v>
      </c>
      <c r="Z31" s="58">
        <v>0.9204907495688482</v>
      </c>
      <c r="AA31" s="58">
        <v>1.0</v>
      </c>
      <c r="AB31" s="58">
        <v>1.0</v>
      </c>
      <c r="AC31" s="58">
        <v>0.6010243994745663</v>
      </c>
      <c r="AD31" s="58">
        <v>0.6402251273396687</v>
      </c>
      <c r="AE31" s="52" t="s">
        <v>4498</v>
      </c>
    </row>
    <row r="32" ht="17.25" customHeight="1">
      <c r="A32" s="55" t="s">
        <v>21</v>
      </c>
      <c r="B32" s="55" t="s">
        <v>778</v>
      </c>
      <c r="C32" s="55" t="s">
        <v>779</v>
      </c>
      <c r="D32" s="56">
        <v>43857.0</v>
      </c>
      <c r="E32" s="57">
        <v>2020.0</v>
      </c>
      <c r="F32" s="5" t="s">
        <v>41</v>
      </c>
      <c r="G32" s="5" t="s">
        <v>42</v>
      </c>
      <c r="H32" s="57">
        <v>9.0</v>
      </c>
      <c r="I32" s="57">
        <v>86.0</v>
      </c>
      <c r="J32" s="5" t="s">
        <v>781</v>
      </c>
      <c r="K32" s="5" t="s">
        <v>782</v>
      </c>
      <c r="L32" s="5" t="s">
        <v>783</v>
      </c>
      <c r="M32" s="5" t="s">
        <v>59</v>
      </c>
      <c r="N32" s="5" t="s">
        <v>784</v>
      </c>
      <c r="O32" s="5" t="s">
        <v>785</v>
      </c>
      <c r="P32" s="57">
        <v>29.0</v>
      </c>
      <c r="R32" s="57">
        <v>229.0</v>
      </c>
      <c r="S32" s="57">
        <v>2020.0</v>
      </c>
      <c r="T32" s="5" t="s">
        <v>787</v>
      </c>
      <c r="U32" s="57">
        <v>15.0</v>
      </c>
      <c r="V32" s="57">
        <v>0.04152583293095123</v>
      </c>
      <c r="W32" s="57">
        <v>0.0</v>
      </c>
      <c r="X32" s="5" t="s">
        <v>4495</v>
      </c>
      <c r="Y32" s="5" t="s">
        <v>4495</v>
      </c>
      <c r="Z32" s="58">
        <v>1.0</v>
      </c>
      <c r="AA32" s="58">
        <v>1.0</v>
      </c>
      <c r="AB32" s="58">
        <v>1.0</v>
      </c>
      <c r="AC32" s="58">
        <v>0.5342285193497109</v>
      </c>
      <c r="AD32" s="58">
        <v>0.6534228519349711</v>
      </c>
      <c r="AE32" s="52" t="s">
        <v>4498</v>
      </c>
    </row>
    <row r="33" ht="17.25" customHeight="1">
      <c r="A33" s="55" t="s">
        <v>21</v>
      </c>
      <c r="B33" s="55" t="s">
        <v>788</v>
      </c>
      <c r="C33" s="55" t="s">
        <v>789</v>
      </c>
      <c r="D33" s="56">
        <v>43510.0</v>
      </c>
      <c r="E33" s="57">
        <v>2019.0</v>
      </c>
      <c r="F33" s="5" t="s">
        <v>41</v>
      </c>
      <c r="G33" s="5" t="s">
        <v>42</v>
      </c>
      <c r="H33" s="57">
        <v>9.0</v>
      </c>
      <c r="I33" s="57">
        <v>145.0</v>
      </c>
      <c r="J33" s="5" t="s">
        <v>792</v>
      </c>
      <c r="K33" s="5" t="s">
        <v>793</v>
      </c>
      <c r="L33" s="5" t="s">
        <v>794</v>
      </c>
      <c r="M33" s="5" t="s">
        <v>59</v>
      </c>
      <c r="N33" s="5" t="s">
        <v>795</v>
      </c>
      <c r="O33" s="5" t="s">
        <v>796</v>
      </c>
      <c r="P33" s="57">
        <v>24.0</v>
      </c>
      <c r="R33" s="57">
        <v>81.0</v>
      </c>
      <c r="S33" s="57">
        <v>2018.0</v>
      </c>
      <c r="T33" s="5" t="s">
        <v>797</v>
      </c>
      <c r="U33" s="57">
        <v>24.4</v>
      </c>
      <c r="V33" s="57">
        <v>0.05996691480562448</v>
      </c>
      <c r="W33" s="57">
        <v>1.0</v>
      </c>
      <c r="X33" s="5" t="s">
        <v>4495</v>
      </c>
      <c r="Y33" s="5" t="s">
        <v>4495</v>
      </c>
      <c r="Z33" s="58">
        <v>0.6753342500415529</v>
      </c>
      <c r="AA33" s="58">
        <v>1.0</v>
      </c>
      <c r="AB33" s="58">
        <v>1.0</v>
      </c>
      <c r="AC33" s="58">
        <v>0.7288655627113247</v>
      </c>
      <c r="AD33" s="58">
        <v>0.5917201187815208</v>
      </c>
      <c r="AE33" s="52" t="s">
        <v>4498</v>
      </c>
    </row>
    <row r="34" ht="17.25" customHeight="1">
      <c r="A34" s="55" t="s">
        <v>21</v>
      </c>
      <c r="B34" s="55" t="s">
        <v>799</v>
      </c>
      <c r="C34" s="55" t="s">
        <v>800</v>
      </c>
      <c r="D34" s="56">
        <v>44230.0</v>
      </c>
      <c r="E34" s="57">
        <v>2021.0</v>
      </c>
      <c r="F34" s="5" t="s">
        <v>41</v>
      </c>
      <c r="G34" s="5" t="s">
        <v>42</v>
      </c>
      <c r="H34" s="57">
        <v>9.0</v>
      </c>
      <c r="I34" s="57">
        <v>264.0</v>
      </c>
      <c r="J34" s="5" t="s">
        <v>803</v>
      </c>
      <c r="K34" s="5" t="s">
        <v>804</v>
      </c>
      <c r="L34" s="5" t="s">
        <v>805</v>
      </c>
      <c r="M34" s="5" t="s">
        <v>59</v>
      </c>
      <c r="N34" s="5" t="s">
        <v>806</v>
      </c>
      <c r="O34" s="5" t="s">
        <v>807</v>
      </c>
      <c r="P34" s="57">
        <v>20.0</v>
      </c>
      <c r="R34" s="57">
        <v>96.0</v>
      </c>
      <c r="S34" s="57">
        <v>2020.0</v>
      </c>
      <c r="T34" s="5" t="s">
        <v>809</v>
      </c>
      <c r="U34" s="57">
        <v>14.8</v>
      </c>
      <c r="V34" s="57">
        <v>0.15547703180212014</v>
      </c>
      <c r="W34" s="57">
        <v>1.0</v>
      </c>
      <c r="X34" s="5" t="s">
        <v>4495</v>
      </c>
      <c r="Y34" s="5" t="s">
        <v>4495</v>
      </c>
      <c r="Z34" s="58">
        <v>0.7342340212618556</v>
      </c>
      <c r="AA34" s="58">
        <v>1.0</v>
      </c>
      <c r="AB34" s="58">
        <v>1.0</v>
      </c>
      <c r="AC34" s="58">
        <v>0.5289310150557403</v>
      </c>
      <c r="AD34" s="58">
        <v>0.5864516068210379</v>
      </c>
      <c r="AE34" s="52" t="s">
        <v>4498</v>
      </c>
    </row>
    <row r="35" ht="17.25" customHeight="1">
      <c r="A35" s="55" t="s">
        <v>21</v>
      </c>
      <c r="B35" s="55" t="s">
        <v>831</v>
      </c>
      <c r="C35" s="55" t="s">
        <v>832</v>
      </c>
      <c r="D35" s="56">
        <v>44571.0</v>
      </c>
      <c r="E35" s="57">
        <v>2022.0</v>
      </c>
      <c r="F35" s="5" t="s">
        <v>26</v>
      </c>
      <c r="H35" s="57">
        <v>9.0</v>
      </c>
      <c r="I35" s="57">
        <v>221.0</v>
      </c>
      <c r="J35" s="5" t="s">
        <v>834</v>
      </c>
      <c r="K35" s="5" t="s">
        <v>835</v>
      </c>
      <c r="L35" s="5" t="s">
        <v>836</v>
      </c>
      <c r="M35" s="5" t="s">
        <v>59</v>
      </c>
      <c r="N35" s="5" t="s">
        <v>837</v>
      </c>
      <c r="R35" s="57">
        <v>101.0</v>
      </c>
      <c r="S35" s="57">
        <v>2021.0</v>
      </c>
      <c r="T35" s="5" t="s">
        <v>838</v>
      </c>
      <c r="U35" s="57">
        <v>19.5714285714285</v>
      </c>
      <c r="V35" s="57">
        <v>0.16285924834193072</v>
      </c>
      <c r="W35" s="57">
        <v>1.0</v>
      </c>
      <c r="X35" s="5" t="s">
        <v>4495</v>
      </c>
      <c r="Y35" s="5" t="s">
        <v>4495</v>
      </c>
      <c r="Z35" s="58">
        <v>0.7518563800998207</v>
      </c>
      <c r="AA35" s="58">
        <v>1.0</v>
      </c>
      <c r="AB35" s="58">
        <v>1.0</v>
      </c>
      <c r="AC35" s="58">
        <v>0.6400685952060838</v>
      </c>
      <c r="AD35" s="58">
        <v>0.6019709545455636</v>
      </c>
      <c r="AE35" s="52" t="s">
        <v>4498</v>
      </c>
    </row>
    <row r="36" ht="17.25" customHeight="1">
      <c r="A36" s="55" t="s">
        <v>21</v>
      </c>
      <c r="B36" s="55" t="s">
        <v>840</v>
      </c>
      <c r="C36" s="55" t="s">
        <v>841</v>
      </c>
      <c r="D36" s="56">
        <v>43783.0</v>
      </c>
      <c r="E36" s="57">
        <v>2019.0</v>
      </c>
      <c r="F36" s="5" t="s">
        <v>41</v>
      </c>
      <c r="G36" s="5" t="s">
        <v>42</v>
      </c>
      <c r="H36" s="57">
        <v>9.0</v>
      </c>
      <c r="I36" s="57">
        <v>121.0</v>
      </c>
      <c r="J36" s="5" t="s">
        <v>844</v>
      </c>
      <c r="K36" s="5" t="s">
        <v>845</v>
      </c>
      <c r="L36" s="5" t="s">
        <v>846</v>
      </c>
      <c r="M36" s="5" t="s">
        <v>59</v>
      </c>
      <c r="N36" s="5" t="s">
        <v>847</v>
      </c>
      <c r="O36" s="5" t="s">
        <v>848</v>
      </c>
      <c r="P36" s="57">
        <v>35.0</v>
      </c>
      <c r="R36" s="57">
        <v>213.0</v>
      </c>
      <c r="T36" s="5" t="s">
        <v>849</v>
      </c>
      <c r="U36" s="57">
        <v>10.0</v>
      </c>
      <c r="V36" s="57">
        <v>0.05641025641025641</v>
      </c>
      <c r="W36" s="5" t="s">
        <v>4495</v>
      </c>
      <c r="X36" s="5" t="s">
        <v>4495</v>
      </c>
      <c r="Y36" s="5" t="s">
        <v>4495</v>
      </c>
      <c r="Z36" s="58">
        <v>1.0</v>
      </c>
      <c r="AA36" s="5" t="s">
        <v>4495</v>
      </c>
      <c r="AB36" s="58">
        <v>1.0</v>
      </c>
      <c r="AC36" s="58">
        <v>0.37642785751330293</v>
      </c>
      <c r="AD36" s="58">
        <v>0.4376427857513303</v>
      </c>
      <c r="AE36" s="52" t="s">
        <v>4498</v>
      </c>
    </row>
    <row r="37" ht="17.25" customHeight="1">
      <c r="A37" s="55" t="s">
        <v>21</v>
      </c>
      <c r="B37" s="55" t="s">
        <v>850</v>
      </c>
      <c r="C37" s="55" t="s">
        <v>851</v>
      </c>
      <c r="D37" s="56">
        <v>43293.0</v>
      </c>
      <c r="E37" s="57">
        <v>2018.0</v>
      </c>
      <c r="F37" s="5" t="s">
        <v>41</v>
      </c>
      <c r="G37" s="5" t="s">
        <v>42</v>
      </c>
      <c r="H37" s="57">
        <v>9.0</v>
      </c>
      <c r="I37" s="57">
        <v>169.0</v>
      </c>
      <c r="K37" s="5" t="s">
        <v>854</v>
      </c>
      <c r="L37" s="5" t="s">
        <v>855</v>
      </c>
      <c r="M37" s="5" t="s">
        <v>59</v>
      </c>
      <c r="N37" s="5" t="s">
        <v>856</v>
      </c>
      <c r="O37" s="5" t="s">
        <v>857</v>
      </c>
      <c r="P37" s="57">
        <v>20.0</v>
      </c>
      <c r="R37" s="57">
        <v>99.0</v>
      </c>
      <c r="T37" s="5" t="s">
        <v>858</v>
      </c>
      <c r="U37" s="57">
        <v>18.5</v>
      </c>
      <c r="V37" s="57">
        <v>0.06413662239089184</v>
      </c>
      <c r="W37" s="5" t="s">
        <v>4495</v>
      </c>
      <c r="X37" s="5" t="s">
        <v>4495</v>
      </c>
      <c r="Y37" s="5" t="s">
        <v>4495</v>
      </c>
      <c r="Z37" s="58">
        <v>0.7449133585076116</v>
      </c>
      <c r="AA37" s="5" t="s">
        <v>4495</v>
      </c>
      <c r="AB37" s="58">
        <v>1.0</v>
      </c>
      <c r="AC37" s="58">
        <v>0.6175420474412181</v>
      </c>
      <c r="AD37" s="58">
        <v>0.3979825443710247</v>
      </c>
      <c r="AE37" s="52" t="s">
        <v>4498</v>
      </c>
    </row>
    <row r="38" ht="17.25" customHeight="1">
      <c r="A38" s="55" t="s">
        <v>21</v>
      </c>
      <c r="B38" s="55" t="s">
        <v>868</v>
      </c>
      <c r="C38" s="55" t="s">
        <v>869</v>
      </c>
      <c r="F38" s="5" t="s">
        <v>41</v>
      </c>
      <c r="G38" s="5" t="s">
        <v>42</v>
      </c>
      <c r="H38" s="57">
        <v>8.0</v>
      </c>
      <c r="I38" s="57">
        <v>238.0</v>
      </c>
      <c r="J38" s="5" t="s">
        <v>871</v>
      </c>
      <c r="K38" s="5" t="s">
        <v>872</v>
      </c>
      <c r="L38" s="5" t="s">
        <v>873</v>
      </c>
      <c r="M38" s="5" t="s">
        <v>59</v>
      </c>
      <c r="N38" s="5" t="s">
        <v>874</v>
      </c>
      <c r="O38" s="5" t="s">
        <v>875</v>
      </c>
      <c r="P38" s="57">
        <v>25.0</v>
      </c>
      <c r="R38" s="57">
        <v>172.0</v>
      </c>
      <c r="S38" s="57">
        <v>2021.0</v>
      </c>
      <c r="T38" s="5" t="s">
        <v>690</v>
      </c>
      <c r="U38" s="57">
        <v>16.0</v>
      </c>
      <c r="V38" s="5" t="s">
        <v>4495</v>
      </c>
      <c r="W38" s="5" t="s">
        <v>4495</v>
      </c>
      <c r="X38" s="5" t="s">
        <v>4495</v>
      </c>
      <c r="Y38" s="5" t="s">
        <v>4495</v>
      </c>
      <c r="Z38" s="58">
        <v>0.937090826553437</v>
      </c>
      <c r="AA38" s="5" t="s">
        <v>4495</v>
      </c>
      <c r="AB38" s="5" t="s">
        <v>4495</v>
      </c>
      <c r="AC38" s="58">
        <v>0.5597603386555386</v>
      </c>
      <c r="AD38" s="58">
        <v>0.29024874050391314</v>
      </c>
      <c r="AE38" s="52" t="s">
        <v>4498</v>
      </c>
    </row>
    <row r="39" ht="17.25" customHeight="1">
      <c r="A39" s="55" t="s">
        <v>21</v>
      </c>
      <c r="B39" s="55" t="s">
        <v>877</v>
      </c>
      <c r="C39" s="55" t="s">
        <v>878</v>
      </c>
      <c r="D39" s="56">
        <v>44996.0</v>
      </c>
      <c r="E39" s="57">
        <v>2023.0</v>
      </c>
      <c r="F39" s="5" t="s">
        <v>26</v>
      </c>
      <c r="G39" s="5" t="s">
        <v>880</v>
      </c>
      <c r="H39" s="57">
        <v>8.0</v>
      </c>
      <c r="I39" s="57">
        <v>399.0</v>
      </c>
      <c r="J39" s="5" t="s">
        <v>882</v>
      </c>
      <c r="K39" s="5" t="s">
        <v>883</v>
      </c>
      <c r="L39" s="5" t="s">
        <v>884</v>
      </c>
      <c r="M39" s="5" t="s">
        <v>59</v>
      </c>
      <c r="N39" s="5" t="s">
        <v>885</v>
      </c>
      <c r="R39" s="57">
        <v>162.0</v>
      </c>
      <c r="S39" s="57">
        <v>2023.0</v>
      </c>
      <c r="T39" s="5" t="s">
        <v>887</v>
      </c>
      <c r="U39" s="57">
        <v>6.4</v>
      </c>
      <c r="V39" s="57">
        <v>0.4281115879828326</v>
      </c>
      <c r="W39" s="57">
        <v>0.0</v>
      </c>
      <c r="X39" s="5" t="s">
        <v>4495</v>
      </c>
      <c r="Y39" s="5" t="s">
        <v>4495</v>
      </c>
      <c r="Z39" s="58">
        <v>0.9162149510524765</v>
      </c>
      <c r="AA39" s="58">
        <v>1.0</v>
      </c>
      <c r="AB39" s="58">
        <v>1.0</v>
      </c>
      <c r="AC39" s="58">
        <v>0.2094791359123752</v>
      </c>
      <c r="AD39" s="58">
        <v>0.6000016513543567</v>
      </c>
      <c r="AE39" s="52" t="s">
        <v>4498</v>
      </c>
    </row>
    <row r="40" ht="17.25" customHeight="1">
      <c r="A40" s="55" t="s">
        <v>21</v>
      </c>
      <c r="B40" s="55" t="s">
        <v>889</v>
      </c>
      <c r="C40" s="55" t="s">
        <v>890</v>
      </c>
      <c r="D40" s="56">
        <v>43966.0</v>
      </c>
      <c r="E40" s="57">
        <v>2020.0</v>
      </c>
      <c r="F40" s="5" t="s">
        <v>26</v>
      </c>
      <c r="G40" s="5" t="s">
        <v>42</v>
      </c>
      <c r="H40" s="57">
        <v>8.0</v>
      </c>
      <c r="I40" s="57">
        <v>216.0</v>
      </c>
      <c r="J40" s="5" t="s">
        <v>892</v>
      </c>
      <c r="K40" s="5" t="s">
        <v>893</v>
      </c>
      <c r="L40" s="5" t="s">
        <v>894</v>
      </c>
      <c r="M40" s="5" t="s">
        <v>59</v>
      </c>
      <c r="N40" s="5" t="s">
        <v>895</v>
      </c>
      <c r="R40" s="57">
        <v>170.0</v>
      </c>
      <c r="S40" s="57">
        <v>2020.0</v>
      </c>
      <c r="T40" s="5" t="s">
        <v>897</v>
      </c>
      <c r="U40" s="57">
        <v>28.8571428571428</v>
      </c>
      <c r="V40" s="57">
        <v>0.11009174311926606</v>
      </c>
      <c r="W40" s="57">
        <v>0.0</v>
      </c>
      <c r="X40" s="5" t="s">
        <v>4495</v>
      </c>
      <c r="Y40" s="5" t="s">
        <v>4495</v>
      </c>
      <c r="Z40" s="58">
        <v>0.9330139069776836</v>
      </c>
      <c r="AA40" s="58">
        <v>1.0</v>
      </c>
      <c r="AB40" s="58">
        <v>1.0</v>
      </c>
      <c r="AC40" s="58">
        <v>0.7969543185154138</v>
      </c>
      <c r="AD40" s="58">
        <v>0.6629489085959623</v>
      </c>
      <c r="AE40" s="52" t="s">
        <v>4498</v>
      </c>
    </row>
    <row r="41" ht="17.25" customHeight="1">
      <c r="A41" s="55" t="s">
        <v>21</v>
      </c>
      <c r="B41" s="55" t="s">
        <v>899</v>
      </c>
      <c r="C41" s="55" t="s">
        <v>900</v>
      </c>
      <c r="D41" s="56">
        <v>43258.0</v>
      </c>
      <c r="E41" s="57">
        <v>2018.0</v>
      </c>
      <c r="F41" s="5" t="s">
        <v>41</v>
      </c>
      <c r="G41" s="5" t="s">
        <v>42</v>
      </c>
      <c r="H41" s="57">
        <v>8.0</v>
      </c>
      <c r="I41" s="57">
        <v>163.0</v>
      </c>
      <c r="K41" s="5" t="s">
        <v>902</v>
      </c>
      <c r="L41" s="5" t="s">
        <v>903</v>
      </c>
      <c r="M41" s="5" t="s">
        <v>59</v>
      </c>
      <c r="N41" s="5" t="s">
        <v>904</v>
      </c>
      <c r="O41" s="5" t="s">
        <v>905</v>
      </c>
      <c r="P41" s="57">
        <v>14.0</v>
      </c>
      <c r="R41" s="57">
        <v>73.0</v>
      </c>
      <c r="T41" s="5" t="s">
        <v>906</v>
      </c>
      <c r="U41" s="57">
        <v>22.6666666666666</v>
      </c>
      <c r="V41" s="57">
        <v>0.06104868913857678</v>
      </c>
      <c r="W41" s="5" t="s">
        <v>4495</v>
      </c>
      <c r="X41" s="5" t="s">
        <v>4495</v>
      </c>
      <c r="Y41" s="5" t="s">
        <v>4495</v>
      </c>
      <c r="Z41" s="58">
        <v>0.6393425607818833</v>
      </c>
      <c r="AA41" s="5" t="s">
        <v>4495</v>
      </c>
      <c r="AB41" s="58">
        <v>1.0</v>
      </c>
      <c r="AC41" s="58">
        <v>0.6990982929283924</v>
      </c>
      <c r="AD41" s="58">
        <v>0.37974546948831006</v>
      </c>
      <c r="AE41" s="52" t="s">
        <v>4498</v>
      </c>
    </row>
    <row r="42" ht="17.25" customHeight="1">
      <c r="A42" s="55" t="s">
        <v>21</v>
      </c>
      <c r="B42" s="55" t="s">
        <v>924</v>
      </c>
      <c r="C42" s="55" t="s">
        <v>925</v>
      </c>
      <c r="D42" s="56">
        <v>43252.0</v>
      </c>
      <c r="E42" s="57">
        <v>2018.0</v>
      </c>
      <c r="F42" s="5" t="s">
        <v>118</v>
      </c>
      <c r="G42" s="5" t="s">
        <v>42</v>
      </c>
      <c r="H42" s="57">
        <v>8.0</v>
      </c>
      <c r="I42" s="57">
        <v>95.0</v>
      </c>
      <c r="J42" s="5" t="s">
        <v>927</v>
      </c>
      <c r="K42" s="5" t="s">
        <v>928</v>
      </c>
      <c r="L42" s="5" t="s">
        <v>929</v>
      </c>
      <c r="M42" s="5" t="s">
        <v>59</v>
      </c>
      <c r="N42" s="5" t="s">
        <v>930</v>
      </c>
      <c r="O42" s="5" t="s">
        <v>931</v>
      </c>
      <c r="P42" s="57">
        <v>6.0</v>
      </c>
      <c r="R42" s="57">
        <v>28.0</v>
      </c>
      <c r="S42" s="57">
        <v>2018.0</v>
      </c>
      <c r="T42" s="5" t="s">
        <v>933</v>
      </c>
      <c r="U42" s="57">
        <v>34.3333333333333</v>
      </c>
      <c r="V42" s="57">
        <v>0.03550074738415546</v>
      </c>
      <c r="W42" s="57">
        <v>0.0</v>
      </c>
      <c r="X42" s="5" t="s">
        <v>4495</v>
      </c>
      <c r="Y42" s="5" t="s">
        <v>4495</v>
      </c>
      <c r="Z42" s="58">
        <v>0.31090082806830316</v>
      </c>
      <c r="AA42" s="58">
        <v>1.0</v>
      </c>
      <c r="AB42" s="58">
        <v>1.0</v>
      </c>
      <c r="AC42" s="58">
        <v>0.8678764495390385</v>
      </c>
      <c r="AD42" s="58">
        <v>0.5145128519709797</v>
      </c>
      <c r="AE42" s="52" t="s">
        <v>4498</v>
      </c>
    </row>
    <row r="43" ht="17.25" customHeight="1">
      <c r="A43" s="55" t="s">
        <v>21</v>
      </c>
      <c r="B43" s="55" t="s">
        <v>943</v>
      </c>
      <c r="C43" s="55" t="s">
        <v>944</v>
      </c>
      <c r="D43" s="56">
        <v>41605.0</v>
      </c>
      <c r="E43" s="57">
        <v>2013.0</v>
      </c>
      <c r="F43" s="5" t="s">
        <v>41</v>
      </c>
      <c r="G43" s="5" t="s">
        <v>42</v>
      </c>
      <c r="H43" s="57">
        <v>8.0</v>
      </c>
      <c r="I43" s="57">
        <v>230.0</v>
      </c>
      <c r="J43" s="5" t="s">
        <v>946</v>
      </c>
      <c r="K43" s="5" t="s">
        <v>947</v>
      </c>
      <c r="L43" s="5" t="s">
        <v>948</v>
      </c>
      <c r="M43" s="5" t="s">
        <v>59</v>
      </c>
      <c r="N43" s="5" t="s">
        <v>949</v>
      </c>
      <c r="R43" s="57">
        <v>96.0</v>
      </c>
      <c r="S43" s="57">
        <v>2013.0</v>
      </c>
      <c r="T43" s="5" t="s">
        <v>950</v>
      </c>
      <c r="U43" s="57">
        <v>18.5</v>
      </c>
      <c r="V43" s="57">
        <v>0.053203793661808926</v>
      </c>
      <c r="W43" s="57">
        <v>0.0</v>
      </c>
      <c r="X43" s="5" t="s">
        <v>4495</v>
      </c>
      <c r="Y43" s="5" t="s">
        <v>4495</v>
      </c>
      <c r="Z43" s="58">
        <v>0.7342340212618556</v>
      </c>
      <c r="AA43" s="58">
        <v>1.0</v>
      </c>
      <c r="AB43" s="58">
        <v>1.0</v>
      </c>
      <c r="AC43" s="58">
        <v>0.6175420474412181</v>
      </c>
      <c r="AD43" s="58">
        <v>0.5953127100595857</v>
      </c>
      <c r="AE43" s="52" t="s">
        <v>4498</v>
      </c>
    </row>
    <row r="44" ht="17.25" customHeight="1">
      <c r="A44" s="55" t="s">
        <v>21</v>
      </c>
      <c r="B44" s="55" t="s">
        <v>951</v>
      </c>
      <c r="C44" s="55" t="s">
        <v>952</v>
      </c>
      <c r="D44" s="56">
        <v>44243.0</v>
      </c>
      <c r="E44" s="57">
        <v>2021.0</v>
      </c>
      <c r="F44" s="5" t="s">
        <v>41</v>
      </c>
      <c r="G44" s="5" t="s">
        <v>42</v>
      </c>
      <c r="H44" s="57">
        <v>8.0</v>
      </c>
      <c r="I44" s="57">
        <v>187.0</v>
      </c>
      <c r="J44" s="5" t="s">
        <v>954</v>
      </c>
      <c r="K44" s="5" t="s">
        <v>955</v>
      </c>
      <c r="L44" s="5" t="s">
        <v>956</v>
      </c>
      <c r="M44" s="5" t="s">
        <v>59</v>
      </c>
      <c r="N44" s="5" t="s">
        <v>957</v>
      </c>
      <c r="R44" s="57">
        <v>145.0</v>
      </c>
      <c r="S44" s="57">
        <v>2021.0</v>
      </c>
      <c r="T44" s="5" t="s">
        <v>163</v>
      </c>
      <c r="U44" s="57">
        <v>37.0</v>
      </c>
      <c r="V44" s="57">
        <v>0.11097922848664689</v>
      </c>
      <c r="W44" s="57">
        <v>0.0</v>
      </c>
      <c r="X44" s="5" t="s">
        <v>4495</v>
      </c>
      <c r="Y44" s="5" t="s">
        <v>4495</v>
      </c>
      <c r="Z44" s="58">
        <v>0.8775973859947773</v>
      </c>
      <c r="AA44" s="58">
        <v>1.0</v>
      </c>
      <c r="AB44" s="58">
        <v>1.0</v>
      </c>
      <c r="AC44" s="58">
        <v>0.8985187633496309</v>
      </c>
      <c r="AD44" s="58">
        <v>0.6592512228336574</v>
      </c>
      <c r="AE44" s="52" t="s">
        <v>4498</v>
      </c>
    </row>
    <row r="45" ht="17.25" customHeight="1">
      <c r="A45" s="55" t="s">
        <v>21</v>
      </c>
      <c r="B45" s="55" t="s">
        <v>983</v>
      </c>
      <c r="C45" s="55" t="s">
        <v>984</v>
      </c>
      <c r="D45" s="56">
        <v>43986.0</v>
      </c>
      <c r="E45" s="57">
        <v>2020.0</v>
      </c>
      <c r="F45" s="5" t="s">
        <v>41</v>
      </c>
      <c r="G45" s="5" t="s">
        <v>42</v>
      </c>
      <c r="H45" s="57">
        <v>7.0</v>
      </c>
      <c r="I45" s="57">
        <v>158.0</v>
      </c>
      <c r="J45" s="5" t="s">
        <v>986</v>
      </c>
      <c r="K45" s="5" t="s">
        <v>987</v>
      </c>
      <c r="L45" s="5" t="s">
        <v>988</v>
      </c>
      <c r="M45" s="5" t="s">
        <v>59</v>
      </c>
      <c r="N45" s="5" t="s">
        <v>989</v>
      </c>
      <c r="O45" s="5" t="s">
        <v>990</v>
      </c>
      <c r="P45" s="57">
        <v>26.0</v>
      </c>
      <c r="R45" s="57">
        <v>174.0</v>
      </c>
      <c r="S45" s="57">
        <v>2020.0</v>
      </c>
      <c r="T45" s="5" t="s">
        <v>991</v>
      </c>
      <c r="U45" s="57">
        <v>15.7142857142857</v>
      </c>
      <c r="V45" s="57">
        <v>0.08135942327497425</v>
      </c>
      <c r="W45" s="57">
        <v>0.0</v>
      </c>
      <c r="X45" s="5" t="s">
        <v>4495</v>
      </c>
      <c r="Y45" s="5" t="s">
        <v>4495</v>
      </c>
      <c r="Z45" s="58">
        <v>0.9411208839467466</v>
      </c>
      <c r="AA45" s="58">
        <v>1.0</v>
      </c>
      <c r="AB45" s="58">
        <v>1.0</v>
      </c>
      <c r="AC45" s="58">
        <v>0.5526220993195275</v>
      </c>
      <c r="AD45" s="58">
        <v>0.6405424309186394</v>
      </c>
      <c r="AE45" s="52" t="s">
        <v>4498</v>
      </c>
    </row>
    <row r="46" ht="17.25" customHeight="1">
      <c r="A46" s="55" t="s">
        <v>21</v>
      </c>
      <c r="B46" s="55" t="s">
        <v>1029</v>
      </c>
      <c r="C46" s="55" t="s">
        <v>1030</v>
      </c>
      <c r="D46" s="56">
        <v>43879.0</v>
      </c>
      <c r="E46" s="57">
        <v>2020.0</v>
      </c>
      <c r="F46" s="5" t="s">
        <v>41</v>
      </c>
      <c r="G46" s="5" t="s">
        <v>42</v>
      </c>
      <c r="H46" s="57">
        <v>7.0</v>
      </c>
      <c r="I46" s="57">
        <v>148.0</v>
      </c>
      <c r="J46" s="5" t="s">
        <v>1033</v>
      </c>
      <c r="K46" s="5" t="s">
        <v>1034</v>
      </c>
      <c r="L46" s="5" t="s">
        <v>1035</v>
      </c>
      <c r="M46" s="5" t="s">
        <v>59</v>
      </c>
      <c r="N46" s="5" t="s">
        <v>1036</v>
      </c>
      <c r="O46" s="5" t="s">
        <v>1037</v>
      </c>
      <c r="P46" s="57">
        <v>17.0</v>
      </c>
      <c r="R46" s="57">
        <v>69.0</v>
      </c>
      <c r="S46" s="57">
        <v>2020.0</v>
      </c>
      <c r="T46" s="5" t="s">
        <v>1038</v>
      </c>
      <c r="U46" s="57">
        <v>7.5</v>
      </c>
      <c r="V46" s="57">
        <v>0.07223035627135188</v>
      </c>
      <c r="W46" s="57">
        <v>0.0</v>
      </c>
      <c r="X46" s="5" t="s">
        <v>4495</v>
      </c>
      <c r="Y46" s="5" t="s">
        <v>4495</v>
      </c>
      <c r="Z46" s="58">
        <v>0.6198591523092037</v>
      </c>
      <c r="AA46" s="58">
        <v>1.0</v>
      </c>
      <c r="AB46" s="58">
        <v>1.0</v>
      </c>
      <c r="AC46" s="58">
        <v>0.26784414955359176</v>
      </c>
      <c r="AD46" s="58">
        <v>0.5317492030326602</v>
      </c>
      <c r="AE46" s="52" t="s">
        <v>4498</v>
      </c>
    </row>
    <row r="47" ht="17.25" customHeight="1">
      <c r="A47" s="55" t="s">
        <v>21</v>
      </c>
      <c r="B47" s="55" t="s">
        <v>1060</v>
      </c>
      <c r="C47" s="55" t="s">
        <v>1061</v>
      </c>
      <c r="D47" s="56">
        <v>42821.0</v>
      </c>
      <c r="E47" s="57">
        <v>2017.0</v>
      </c>
      <c r="F47" s="5" t="s">
        <v>41</v>
      </c>
      <c r="G47" s="5" t="s">
        <v>42</v>
      </c>
      <c r="H47" s="57">
        <v>7.0</v>
      </c>
      <c r="I47" s="57">
        <v>176.0</v>
      </c>
      <c r="J47" s="5" t="s">
        <v>1063</v>
      </c>
      <c r="K47" s="5" t="s">
        <v>1064</v>
      </c>
      <c r="L47" s="5" t="s">
        <v>1065</v>
      </c>
      <c r="M47" s="5" t="s">
        <v>59</v>
      </c>
      <c r="N47" s="5" t="s">
        <v>1066</v>
      </c>
      <c r="O47" s="5" t="s">
        <v>999</v>
      </c>
      <c r="R47" s="57">
        <v>85.0</v>
      </c>
      <c r="S47" s="57">
        <v>2017.0</v>
      </c>
      <c r="T47" s="5" t="s">
        <v>1068</v>
      </c>
      <c r="U47" s="57">
        <v>14.4285714285714</v>
      </c>
      <c r="V47" s="57">
        <v>0.05664628258770518</v>
      </c>
      <c r="W47" s="57">
        <v>0.0</v>
      </c>
      <c r="X47" s="5" t="s">
        <v>4495</v>
      </c>
      <c r="Y47" s="5" t="s">
        <v>4495</v>
      </c>
      <c r="Z47" s="58">
        <v>0.6920331742590979</v>
      </c>
      <c r="AA47" s="58">
        <v>1.0</v>
      </c>
      <c r="AB47" s="58">
        <v>1.0</v>
      </c>
      <c r="AC47" s="58">
        <v>0.5189124300822024</v>
      </c>
      <c r="AD47" s="58">
        <v>0.5748995365729948</v>
      </c>
      <c r="AE47" s="52" t="s">
        <v>4498</v>
      </c>
    </row>
    <row r="48" ht="17.25" customHeight="1">
      <c r="A48" s="55" t="s">
        <v>21</v>
      </c>
      <c r="B48" s="55" t="s">
        <v>1089</v>
      </c>
      <c r="C48" s="55" t="s">
        <v>1090</v>
      </c>
      <c r="F48" s="5" t="s">
        <v>41</v>
      </c>
      <c r="G48" s="5" t="s">
        <v>42</v>
      </c>
      <c r="H48" s="57">
        <v>6.0</v>
      </c>
      <c r="I48" s="57">
        <v>217.0</v>
      </c>
      <c r="J48" s="5" t="s">
        <v>1091</v>
      </c>
      <c r="K48" s="5" t="s">
        <v>1092</v>
      </c>
      <c r="L48" s="5" t="s">
        <v>1093</v>
      </c>
      <c r="M48" s="5" t="s">
        <v>59</v>
      </c>
      <c r="N48" s="5" t="s">
        <v>1094</v>
      </c>
      <c r="O48" s="5" t="s">
        <v>1095</v>
      </c>
      <c r="P48" s="57">
        <v>28.0</v>
      </c>
      <c r="R48" s="57">
        <v>218.0</v>
      </c>
      <c r="S48" s="57">
        <v>2020.0</v>
      </c>
      <c r="T48" s="5" t="s">
        <v>1096</v>
      </c>
      <c r="U48" s="57">
        <v>33.8571428571428</v>
      </c>
      <c r="V48" s="5" t="s">
        <v>4495</v>
      </c>
      <c r="W48" s="5" t="s">
        <v>4495</v>
      </c>
      <c r="X48" s="5" t="s">
        <v>4495</v>
      </c>
      <c r="Y48" s="5" t="s">
        <v>4495</v>
      </c>
      <c r="Z48" s="58">
        <v>1.0</v>
      </c>
      <c r="AA48" s="5" t="s">
        <v>4495</v>
      </c>
      <c r="AB48" s="5" t="s">
        <v>4495</v>
      </c>
      <c r="AC48" s="58">
        <v>0.862162032988152</v>
      </c>
      <c r="AD48" s="58">
        <v>0.3362162032988152</v>
      </c>
      <c r="AE48" s="52" t="s">
        <v>4498</v>
      </c>
    </row>
    <row r="49" ht="17.25" customHeight="1">
      <c r="A49" s="55" t="s">
        <v>21</v>
      </c>
      <c r="B49" s="55" t="s">
        <v>1116</v>
      </c>
      <c r="C49" s="55" t="s">
        <v>1117</v>
      </c>
      <c r="D49" s="56">
        <v>44407.0</v>
      </c>
      <c r="E49" s="57">
        <v>2021.0</v>
      </c>
      <c r="F49" s="5" t="s">
        <v>41</v>
      </c>
      <c r="G49" s="5" t="s">
        <v>1119</v>
      </c>
      <c r="H49" s="57">
        <v>6.0</v>
      </c>
      <c r="I49" s="57">
        <v>37.0</v>
      </c>
      <c r="J49" s="5" t="s">
        <v>1120</v>
      </c>
      <c r="K49" s="5" t="s">
        <v>1121</v>
      </c>
      <c r="L49" s="5" t="s">
        <v>1122</v>
      </c>
      <c r="M49" s="5" t="s">
        <v>59</v>
      </c>
      <c r="N49" s="5" t="s">
        <v>1123</v>
      </c>
      <c r="R49" s="57">
        <v>129.0</v>
      </c>
      <c r="S49" s="57">
        <v>2021.0</v>
      </c>
      <c r="T49" s="5" t="s">
        <v>1125</v>
      </c>
      <c r="U49" s="57">
        <v>4.0</v>
      </c>
      <c r="V49" s="57">
        <v>0.024326101249178174</v>
      </c>
      <c r="W49" s="57">
        <v>0.0</v>
      </c>
      <c r="X49" s="5" t="s">
        <v>4495</v>
      </c>
      <c r="Y49" s="5" t="s">
        <v>4495</v>
      </c>
      <c r="Z49" s="58">
        <v>0.8369011905248982</v>
      </c>
      <c r="AA49" s="58">
        <v>1.0</v>
      </c>
      <c r="AB49" s="58">
        <v>1.0</v>
      </c>
      <c r="AC49" s="58">
        <v>0.044372163770186025</v>
      </c>
      <c r="AD49" s="58">
        <v>0.5636625140082431</v>
      </c>
      <c r="AE49" s="52" t="s">
        <v>4498</v>
      </c>
    </row>
    <row r="50" ht="17.25" customHeight="1">
      <c r="A50" s="55" t="s">
        <v>21</v>
      </c>
      <c r="B50" s="55" t="s">
        <v>1140</v>
      </c>
      <c r="C50" s="55" t="s">
        <v>1141</v>
      </c>
      <c r="F50" s="5" t="s">
        <v>41</v>
      </c>
      <c r="G50" s="5" t="s">
        <v>42</v>
      </c>
      <c r="H50" s="57">
        <v>6.0</v>
      </c>
      <c r="I50" s="57">
        <v>134.0</v>
      </c>
      <c r="J50" s="5" t="s">
        <v>1142</v>
      </c>
      <c r="K50" s="5" t="s">
        <v>1143</v>
      </c>
      <c r="L50" s="5" t="s">
        <v>1144</v>
      </c>
      <c r="M50" s="5" t="s">
        <v>59</v>
      </c>
      <c r="N50" s="5" t="s">
        <v>1145</v>
      </c>
      <c r="O50" s="5" t="s">
        <v>1146</v>
      </c>
      <c r="P50" s="57">
        <v>21.0</v>
      </c>
      <c r="R50" s="57">
        <v>113.0</v>
      </c>
      <c r="S50" s="57">
        <v>2021.0</v>
      </c>
      <c r="T50" s="5" t="s">
        <v>1148</v>
      </c>
      <c r="U50" s="57">
        <v>44.0</v>
      </c>
      <c r="V50" s="5" t="s">
        <v>4495</v>
      </c>
      <c r="W50" s="5" t="s">
        <v>4495</v>
      </c>
      <c r="X50" s="5" t="s">
        <v>4495</v>
      </c>
      <c r="Y50" s="5" t="s">
        <v>4495</v>
      </c>
      <c r="Z50" s="58">
        <v>0.79085332604176</v>
      </c>
      <c r="AA50" s="5" t="s">
        <v>4495</v>
      </c>
      <c r="AB50" s="5" t="s">
        <v>4495</v>
      </c>
      <c r="AC50" s="58">
        <v>0.969724589930209</v>
      </c>
      <c r="AD50" s="58">
        <v>0.2946857905034609</v>
      </c>
      <c r="AE50" s="52" t="s">
        <v>4498</v>
      </c>
    </row>
    <row r="51" ht="17.25" customHeight="1">
      <c r="A51" s="55" t="s">
        <v>21</v>
      </c>
      <c r="B51" s="55" t="s">
        <v>1158</v>
      </c>
      <c r="C51" s="55" t="s">
        <v>1159</v>
      </c>
      <c r="D51" s="56">
        <v>43977.0</v>
      </c>
      <c r="E51" s="57">
        <v>2020.0</v>
      </c>
      <c r="F51" s="5" t="s">
        <v>41</v>
      </c>
      <c r="G51" s="5" t="s">
        <v>42</v>
      </c>
      <c r="H51" s="57">
        <v>6.0</v>
      </c>
      <c r="I51" s="57">
        <v>104.0</v>
      </c>
      <c r="J51" s="5" t="s">
        <v>1162</v>
      </c>
      <c r="K51" s="5" t="s">
        <v>1163</v>
      </c>
      <c r="L51" s="5" t="s">
        <v>1164</v>
      </c>
      <c r="M51" s="5" t="s">
        <v>59</v>
      </c>
      <c r="N51" s="5" t="s">
        <v>1165</v>
      </c>
      <c r="O51" s="5" t="s">
        <v>1166</v>
      </c>
      <c r="P51" s="57">
        <v>15.0</v>
      </c>
      <c r="R51" s="57">
        <v>137.0</v>
      </c>
      <c r="T51" s="5" t="s">
        <v>1168</v>
      </c>
      <c r="U51" s="57">
        <v>20.0</v>
      </c>
      <c r="V51" s="57">
        <v>0.05330599692465402</v>
      </c>
      <c r="W51" s="5" t="s">
        <v>4495</v>
      </c>
      <c r="X51" s="5" t="s">
        <v>4495</v>
      </c>
      <c r="Y51" s="5" t="s">
        <v>4495</v>
      </c>
      <c r="Z51" s="58">
        <v>0.8578394190640767</v>
      </c>
      <c r="AA51" s="5" t="s">
        <v>4495</v>
      </c>
      <c r="AB51" s="58">
        <v>1.0</v>
      </c>
      <c r="AC51" s="58">
        <v>0.648752326325584</v>
      </c>
      <c r="AD51" s="58">
        <v>0.42933508739857756</v>
      </c>
      <c r="AE51" s="52" t="s">
        <v>4498</v>
      </c>
    </row>
    <row r="52" ht="17.25" customHeight="1">
      <c r="A52" s="55" t="s">
        <v>21</v>
      </c>
      <c r="B52" s="55" t="s">
        <v>1169</v>
      </c>
      <c r="C52" s="55" t="s">
        <v>1170</v>
      </c>
      <c r="D52" s="56">
        <v>44256.0</v>
      </c>
      <c r="E52" s="57">
        <v>2021.0</v>
      </c>
      <c r="F52" s="5" t="s">
        <v>41</v>
      </c>
      <c r="G52" s="5" t="s">
        <v>1119</v>
      </c>
      <c r="H52" s="57">
        <v>6.0</v>
      </c>
      <c r="I52" s="57">
        <v>163.0</v>
      </c>
      <c r="J52" s="5" t="s">
        <v>1172</v>
      </c>
      <c r="K52" s="5" t="s">
        <v>1173</v>
      </c>
      <c r="L52" s="5" t="s">
        <v>1174</v>
      </c>
      <c r="M52" s="5" t="s">
        <v>59</v>
      </c>
      <c r="N52" s="5" t="s">
        <v>1175</v>
      </c>
      <c r="R52" s="57">
        <v>147.0</v>
      </c>
      <c r="S52" s="57">
        <v>2021.0</v>
      </c>
      <c r="T52" s="5" t="s">
        <v>1176</v>
      </c>
      <c r="U52" s="57">
        <v>18.8333333333333</v>
      </c>
      <c r="V52" s="57">
        <v>0.09748803827751196</v>
      </c>
      <c r="W52" s="57">
        <v>0.0</v>
      </c>
      <c r="X52" s="5" t="s">
        <v>4495</v>
      </c>
      <c r="Y52" s="5" t="s">
        <v>4495</v>
      </c>
      <c r="Z52" s="58">
        <v>0.882367679076927</v>
      </c>
      <c r="AA52" s="58">
        <v>1.0</v>
      </c>
      <c r="AB52" s="58">
        <v>1.0</v>
      </c>
      <c r="AC52" s="58">
        <v>0.6246802867772283</v>
      </c>
      <c r="AD52" s="58">
        <v>0.6330599484469546</v>
      </c>
      <c r="AE52" s="52" t="s">
        <v>4498</v>
      </c>
    </row>
    <row r="53" ht="17.25" customHeight="1">
      <c r="A53" s="55" t="s">
        <v>21</v>
      </c>
      <c r="B53" s="55" t="s">
        <v>1185</v>
      </c>
      <c r="C53" s="55" t="s">
        <v>1186</v>
      </c>
      <c r="D53" s="56">
        <v>43665.0</v>
      </c>
      <c r="E53" s="57">
        <v>2019.0</v>
      </c>
      <c r="F53" s="5" t="s">
        <v>41</v>
      </c>
      <c r="G53" s="5" t="s">
        <v>42</v>
      </c>
      <c r="H53" s="57">
        <v>6.0</v>
      </c>
      <c r="I53" s="57">
        <v>210.0</v>
      </c>
      <c r="J53" s="5" t="s">
        <v>1189</v>
      </c>
      <c r="K53" s="5" t="s">
        <v>1190</v>
      </c>
      <c r="L53" s="5" t="s">
        <v>1191</v>
      </c>
      <c r="M53" s="5" t="s">
        <v>59</v>
      </c>
      <c r="N53" s="5" t="s">
        <v>1192</v>
      </c>
      <c r="R53" s="57">
        <v>89.0</v>
      </c>
      <c r="S53" s="57">
        <v>2019.0</v>
      </c>
      <c r="T53" s="5" t="s">
        <v>1194</v>
      </c>
      <c r="U53" s="57">
        <v>4.0</v>
      </c>
      <c r="V53" s="57">
        <v>0.09279717189571365</v>
      </c>
      <c r="W53" s="57">
        <v>0.0</v>
      </c>
      <c r="X53" s="5" t="s">
        <v>4495</v>
      </c>
      <c r="Y53" s="5" t="s">
        <v>4495</v>
      </c>
      <c r="Z53" s="58">
        <v>0.7079727887419157</v>
      </c>
      <c r="AA53" s="58">
        <v>1.0</v>
      </c>
      <c r="AB53" s="58">
        <v>1.0</v>
      </c>
      <c r="AC53" s="58">
        <v>0.044372163770186025</v>
      </c>
      <c r="AD53" s="58">
        <v>0.5314304135624975</v>
      </c>
      <c r="AE53" s="52" t="s">
        <v>4498</v>
      </c>
    </row>
    <row r="54" ht="17.25" customHeight="1">
      <c r="A54" s="55" t="s">
        <v>21</v>
      </c>
      <c r="B54" s="55" t="s">
        <v>1195</v>
      </c>
      <c r="C54" s="55" t="s">
        <v>1196</v>
      </c>
      <c r="D54" s="56">
        <v>41730.0</v>
      </c>
      <c r="E54" s="57">
        <v>2014.0</v>
      </c>
      <c r="F54" s="5" t="s">
        <v>41</v>
      </c>
      <c r="G54" s="5" t="s">
        <v>42</v>
      </c>
      <c r="H54" s="57">
        <v>6.0</v>
      </c>
      <c r="I54" s="57">
        <v>202.0</v>
      </c>
      <c r="K54" s="5" t="s">
        <v>1199</v>
      </c>
      <c r="L54" s="5" t="s">
        <v>1200</v>
      </c>
      <c r="M54" s="5" t="s">
        <v>59</v>
      </c>
      <c r="N54" s="5" t="s">
        <v>1201</v>
      </c>
      <c r="O54" s="59" t="s">
        <v>1202</v>
      </c>
      <c r="P54" s="57">
        <v>23.0</v>
      </c>
      <c r="R54" s="57">
        <v>134.0</v>
      </c>
      <c r="T54" s="5" t="s">
        <v>217</v>
      </c>
      <c r="U54" s="57">
        <v>29.0</v>
      </c>
      <c r="V54" s="57">
        <v>0.04811815150071463</v>
      </c>
      <c r="W54" s="5" t="s">
        <v>4495</v>
      </c>
      <c r="X54" s="5" t="s">
        <v>4495</v>
      </c>
      <c r="Y54" s="5" t="s">
        <v>4495</v>
      </c>
      <c r="Z54" s="58">
        <v>0.8501333696778393</v>
      </c>
      <c r="AA54" s="5" t="s">
        <v>4495</v>
      </c>
      <c r="AB54" s="58">
        <v>1.0</v>
      </c>
      <c r="AC54" s="58">
        <v>0.7989645659521445</v>
      </c>
      <c r="AD54" s="58">
        <v>0.4424297990146742</v>
      </c>
      <c r="AE54" s="52" t="s">
        <v>4498</v>
      </c>
    </row>
    <row r="55" ht="17.25" customHeight="1">
      <c r="A55" s="55" t="s">
        <v>21</v>
      </c>
      <c r="B55" s="55" t="s">
        <v>1209</v>
      </c>
      <c r="C55" s="55" t="s">
        <v>1210</v>
      </c>
      <c r="D55" s="56">
        <v>44860.0</v>
      </c>
      <c r="E55" s="57">
        <v>2022.0</v>
      </c>
      <c r="F55" s="5" t="s">
        <v>41</v>
      </c>
      <c r="G55" s="5" t="s">
        <v>42</v>
      </c>
      <c r="H55" s="57">
        <v>6.0</v>
      </c>
      <c r="I55" s="57">
        <v>80.0</v>
      </c>
      <c r="J55" s="5" t="s">
        <v>1212</v>
      </c>
      <c r="K55" s="5" t="s">
        <v>1213</v>
      </c>
      <c r="L55" s="5" t="s">
        <v>1214</v>
      </c>
      <c r="M55" s="5" t="s">
        <v>59</v>
      </c>
      <c r="N55" s="5" t="s">
        <v>1215</v>
      </c>
      <c r="O55" s="5" t="s">
        <v>1216</v>
      </c>
      <c r="P55" s="57">
        <v>24.0</v>
      </c>
      <c r="R55" s="57">
        <v>144.0</v>
      </c>
      <c r="S55" s="57">
        <v>2022.0</v>
      </c>
      <c r="T55" s="5" t="s">
        <v>1218</v>
      </c>
      <c r="U55" s="57">
        <v>10.3333333333333</v>
      </c>
      <c r="V55" s="57">
        <v>0.0749063670411985</v>
      </c>
      <c r="W55" s="57">
        <v>0.0</v>
      </c>
      <c r="X55" s="5" t="s">
        <v>4495</v>
      </c>
      <c r="Y55" s="5" t="s">
        <v>4495</v>
      </c>
      <c r="Z55" s="58">
        <v>0.8751876780008897</v>
      </c>
      <c r="AA55" s="58">
        <v>1.0</v>
      </c>
      <c r="AB55" s="58">
        <v>1.0</v>
      </c>
      <c r="AC55" s="58">
        <v>0.38900031467747265</v>
      </c>
      <c r="AD55" s="58">
        <v>0.6076969509679697</v>
      </c>
      <c r="AE55" s="52" t="s">
        <v>4498</v>
      </c>
    </row>
    <row r="56" ht="17.25" customHeight="1">
      <c r="A56" s="55" t="s">
        <v>21</v>
      </c>
      <c r="B56" s="55" t="s">
        <v>1254</v>
      </c>
      <c r="C56" s="55" t="s">
        <v>1255</v>
      </c>
      <c r="D56" s="56">
        <v>44611.0</v>
      </c>
      <c r="E56" s="57">
        <v>2022.0</v>
      </c>
      <c r="F56" s="5" t="s">
        <v>41</v>
      </c>
      <c r="G56" s="5" t="s">
        <v>42</v>
      </c>
      <c r="H56" s="57">
        <v>6.0</v>
      </c>
      <c r="I56" s="57">
        <v>98.0</v>
      </c>
      <c r="K56" s="5" t="s">
        <v>1257</v>
      </c>
      <c r="L56" s="5" t="s">
        <v>1258</v>
      </c>
      <c r="M56" s="5" t="s">
        <v>59</v>
      </c>
      <c r="N56" s="5" t="s">
        <v>1259</v>
      </c>
      <c r="O56" s="5" t="s">
        <v>1260</v>
      </c>
      <c r="R56" s="57">
        <v>125.0</v>
      </c>
      <c r="S56" s="57">
        <v>2022.0</v>
      </c>
      <c r="T56" s="5" t="s">
        <v>1262</v>
      </c>
      <c r="U56" s="57">
        <v>12.6666666666666</v>
      </c>
      <c r="V56" s="57">
        <v>0.07441154138192863</v>
      </c>
      <c r="W56" s="57">
        <v>0.0</v>
      </c>
      <c r="X56" s="5" t="s">
        <v>4495</v>
      </c>
      <c r="Y56" s="5" t="s">
        <v>4495</v>
      </c>
      <c r="Z56" s="58">
        <v>0.8259437008385514</v>
      </c>
      <c r="AA56" s="58">
        <v>1.0</v>
      </c>
      <c r="AB56" s="58">
        <v>1.0</v>
      </c>
      <c r="AC56" s="58">
        <v>0.46784371396551677</v>
      </c>
      <c r="AD56" s="58">
        <v>0.6032702966061896</v>
      </c>
      <c r="AE56" s="52" t="s">
        <v>4498</v>
      </c>
    </row>
    <row r="57" ht="17.25" customHeight="1">
      <c r="A57" s="55" t="s">
        <v>21</v>
      </c>
      <c r="B57" s="55" t="s">
        <v>1264</v>
      </c>
      <c r="C57" s="55" t="s">
        <v>1265</v>
      </c>
      <c r="F57" s="5" t="s">
        <v>41</v>
      </c>
      <c r="G57" s="5" t="s">
        <v>42</v>
      </c>
      <c r="H57" s="57">
        <v>5.0</v>
      </c>
      <c r="I57" s="57">
        <v>101.0</v>
      </c>
      <c r="J57" s="5" t="s">
        <v>1267</v>
      </c>
      <c r="K57" s="5" t="s">
        <v>1268</v>
      </c>
      <c r="L57" s="5" t="s">
        <v>1269</v>
      </c>
      <c r="M57" s="5" t="s">
        <v>59</v>
      </c>
      <c r="N57" s="5" t="s">
        <v>1270</v>
      </c>
      <c r="O57" s="5" t="s">
        <v>1271</v>
      </c>
      <c r="P57" s="57">
        <v>14.0</v>
      </c>
      <c r="R57" s="57">
        <v>46.0</v>
      </c>
      <c r="S57" s="57">
        <v>2023.0</v>
      </c>
      <c r="T57" s="5" t="s">
        <v>1273</v>
      </c>
      <c r="U57" s="57">
        <v>14.3333333333333</v>
      </c>
      <c r="V57" s="5" t="s">
        <v>4495</v>
      </c>
      <c r="W57" s="5" t="s">
        <v>4495</v>
      </c>
      <c r="X57" s="5" t="s">
        <v>4495</v>
      </c>
      <c r="Y57" s="5" t="s">
        <v>4495</v>
      </c>
      <c r="Z57" s="58">
        <v>0.4801940348116395</v>
      </c>
      <c r="AA57" s="5" t="s">
        <v>4495</v>
      </c>
      <c r="AB57" s="5" t="s">
        <v>4495</v>
      </c>
      <c r="AC57" s="58">
        <v>0.5163047063425695</v>
      </c>
      <c r="AD57" s="58">
        <v>0.17167897933716683</v>
      </c>
      <c r="AE57" s="52" t="s">
        <v>4498</v>
      </c>
    </row>
    <row r="58" ht="17.25" customHeight="1">
      <c r="A58" s="55" t="s">
        <v>21</v>
      </c>
      <c r="B58" s="55" t="s">
        <v>1309</v>
      </c>
      <c r="C58" s="55" t="s">
        <v>1310</v>
      </c>
      <c r="D58" s="56">
        <v>44893.0</v>
      </c>
      <c r="E58" s="57">
        <v>2022.0</v>
      </c>
      <c r="F58" s="5" t="s">
        <v>26</v>
      </c>
      <c r="H58" s="57">
        <v>5.0</v>
      </c>
      <c r="I58" s="57">
        <v>69.0</v>
      </c>
      <c r="J58" s="5" t="s">
        <v>1312</v>
      </c>
      <c r="K58" s="5" t="s">
        <v>1313</v>
      </c>
      <c r="L58" s="5" t="s">
        <v>1314</v>
      </c>
      <c r="M58" s="5" t="s">
        <v>59</v>
      </c>
      <c r="N58" s="5" t="s">
        <v>1315</v>
      </c>
      <c r="R58" s="57">
        <v>67.0</v>
      </c>
      <c r="S58" s="57">
        <v>2022.0</v>
      </c>
      <c r="T58" s="5" t="s">
        <v>1316</v>
      </c>
      <c r="U58" s="57">
        <v>6.33333333333333</v>
      </c>
      <c r="V58" s="57">
        <v>0.06666666666666667</v>
      </c>
      <c r="W58" s="57">
        <v>0.0</v>
      </c>
      <c r="X58" s="5" t="s">
        <v>4495</v>
      </c>
      <c r="Y58" s="5" t="s">
        <v>4495</v>
      </c>
      <c r="Z58" s="58">
        <v>0.6096957991638974</v>
      </c>
      <c r="AA58" s="58">
        <v>1.0</v>
      </c>
      <c r="AB58" s="58">
        <v>1.0</v>
      </c>
      <c r="AC58" s="58">
        <v>0.20566783353523804</v>
      </c>
      <c r="AD58" s="58">
        <v>0.5229907331444982</v>
      </c>
      <c r="AE58" s="52" t="s">
        <v>4498</v>
      </c>
    </row>
    <row r="59" ht="17.25" customHeight="1">
      <c r="A59" s="55" t="s">
        <v>21</v>
      </c>
      <c r="B59" s="55" t="s">
        <v>1355</v>
      </c>
      <c r="C59" s="55" t="s">
        <v>1356</v>
      </c>
      <c r="F59" s="5" t="s">
        <v>41</v>
      </c>
      <c r="G59" s="5" t="s">
        <v>42</v>
      </c>
      <c r="H59" s="57">
        <v>5.0</v>
      </c>
      <c r="I59" s="57">
        <v>28.0</v>
      </c>
      <c r="J59" s="5" t="s">
        <v>1357</v>
      </c>
      <c r="K59" s="5" t="s">
        <v>1358</v>
      </c>
      <c r="L59" s="5" t="s">
        <v>1359</v>
      </c>
      <c r="M59" s="5" t="s">
        <v>59</v>
      </c>
      <c r="N59" s="5" t="s">
        <v>1360</v>
      </c>
      <c r="O59" s="5" t="s">
        <v>1361</v>
      </c>
      <c r="P59" s="57">
        <v>14.0</v>
      </c>
      <c r="R59" s="57">
        <v>56.0</v>
      </c>
      <c r="S59" s="57">
        <v>2022.0</v>
      </c>
      <c r="T59" s="5" t="s">
        <v>1363</v>
      </c>
      <c r="U59" s="57">
        <v>43.5</v>
      </c>
      <c r="V59" s="5" t="s">
        <v>4495</v>
      </c>
      <c r="W59" s="5" t="s">
        <v>4495</v>
      </c>
      <c r="X59" s="5" t="s">
        <v>4495</v>
      </c>
      <c r="Y59" s="5" t="s">
        <v>4495</v>
      </c>
      <c r="Z59" s="58">
        <v>0.5478282077467163</v>
      </c>
      <c r="AA59" s="5" t="s">
        <v>4495</v>
      </c>
      <c r="AB59" s="5" t="s">
        <v>4495</v>
      </c>
      <c r="AC59" s="58">
        <v>0.9650189986477627</v>
      </c>
      <c r="AD59" s="58">
        <v>0.23345895180145534</v>
      </c>
      <c r="AE59" s="52" t="s">
        <v>4498</v>
      </c>
    </row>
    <row r="60" ht="17.25" customHeight="1">
      <c r="A60" s="55" t="s">
        <v>21</v>
      </c>
      <c r="B60" s="55" t="s">
        <v>1365</v>
      </c>
      <c r="C60" s="55" t="s">
        <v>1366</v>
      </c>
      <c r="D60" s="56">
        <v>43983.0</v>
      </c>
      <c r="E60" s="57">
        <v>2020.0</v>
      </c>
      <c r="F60" s="5" t="s">
        <v>41</v>
      </c>
      <c r="G60" s="5" t="s">
        <v>1119</v>
      </c>
      <c r="H60" s="57">
        <v>5.0</v>
      </c>
      <c r="I60" s="57">
        <v>58.0</v>
      </c>
      <c r="J60" s="5" t="s">
        <v>1369</v>
      </c>
      <c r="K60" s="5" t="s">
        <v>1370</v>
      </c>
      <c r="L60" s="5" t="s">
        <v>1371</v>
      </c>
      <c r="M60" s="5" t="s">
        <v>59</v>
      </c>
      <c r="N60" s="5" t="s">
        <v>1372</v>
      </c>
      <c r="R60" s="57">
        <v>119.0</v>
      </c>
      <c r="S60" s="57">
        <v>2020.0</v>
      </c>
      <c r="T60" s="5" t="s">
        <v>1373</v>
      </c>
      <c r="U60" s="57">
        <v>9.66666666666666</v>
      </c>
      <c r="V60" s="57">
        <v>0.02982005141388175</v>
      </c>
      <c r="W60" s="57">
        <v>0.0</v>
      </c>
      <c r="X60" s="5" t="s">
        <v>4495</v>
      </c>
      <c r="Y60" s="5" t="s">
        <v>4495</v>
      </c>
      <c r="Z60" s="58">
        <v>0.8088373261010358</v>
      </c>
      <c r="AA60" s="58">
        <v>1.0</v>
      </c>
      <c r="AB60" s="58">
        <v>1.0</v>
      </c>
      <c r="AC60" s="58">
        <v>0.3634684953716459</v>
      </c>
      <c r="AD60" s="58">
        <v>0.5885561810624236</v>
      </c>
      <c r="AE60" s="52" t="s">
        <v>4498</v>
      </c>
    </row>
    <row r="61" ht="17.25" customHeight="1">
      <c r="A61" s="55" t="s">
        <v>21</v>
      </c>
      <c r="B61" s="55" t="s">
        <v>1385</v>
      </c>
      <c r="C61" s="55" t="s">
        <v>1386</v>
      </c>
      <c r="D61" s="56">
        <v>44842.0</v>
      </c>
      <c r="E61" s="57">
        <v>2022.0</v>
      </c>
      <c r="F61" s="5" t="s">
        <v>41</v>
      </c>
      <c r="G61" s="5" t="s">
        <v>42</v>
      </c>
      <c r="H61" s="57">
        <v>5.0</v>
      </c>
      <c r="I61" s="57">
        <v>114.0</v>
      </c>
      <c r="J61" s="5" t="s">
        <v>1389</v>
      </c>
      <c r="K61" s="5" t="s">
        <v>1390</v>
      </c>
      <c r="L61" s="5" t="s">
        <v>1391</v>
      </c>
      <c r="M61" s="5" t="s">
        <v>59</v>
      </c>
      <c r="N61" s="5" t="s">
        <v>1392</v>
      </c>
      <c r="O61" s="5" t="s">
        <v>1105</v>
      </c>
      <c r="P61" s="57">
        <v>36.0</v>
      </c>
      <c r="R61" s="57">
        <v>131.0</v>
      </c>
      <c r="T61" s="5" t="s">
        <v>1394</v>
      </c>
      <c r="U61" s="57">
        <v>28.0</v>
      </c>
      <c r="V61" s="57">
        <v>0.10497237569060773</v>
      </c>
      <c r="W61" s="5" t="s">
        <v>4495</v>
      </c>
      <c r="X61" s="5" t="s">
        <v>4495</v>
      </c>
      <c r="Y61" s="5" t="s">
        <v>4495</v>
      </c>
      <c r="Z61" s="58">
        <v>0.842254136226349</v>
      </c>
      <c r="AA61" s="5" t="s">
        <v>4495</v>
      </c>
      <c r="AB61" s="58">
        <v>1.0</v>
      </c>
      <c r="AC61" s="58">
        <v>0.7846870617692479</v>
      </c>
      <c r="AD61" s="58">
        <v>0.43903224023351206</v>
      </c>
      <c r="AE61" s="52" t="s">
        <v>4498</v>
      </c>
    </row>
    <row r="62" ht="17.25" customHeight="1">
      <c r="A62" s="55" t="s">
        <v>21</v>
      </c>
      <c r="B62" s="55" t="s">
        <v>1395</v>
      </c>
      <c r="C62" s="55" t="s">
        <v>1396</v>
      </c>
      <c r="F62" s="5" t="s">
        <v>41</v>
      </c>
      <c r="G62" s="5" t="s">
        <v>42</v>
      </c>
      <c r="H62" s="57">
        <v>5.0</v>
      </c>
      <c r="I62" s="57">
        <v>92.0</v>
      </c>
      <c r="J62" s="5" t="s">
        <v>1398</v>
      </c>
      <c r="K62" s="5" t="s">
        <v>1399</v>
      </c>
      <c r="L62" s="5" t="s">
        <v>1400</v>
      </c>
      <c r="M62" s="5" t="s">
        <v>59</v>
      </c>
      <c r="N62" s="5" t="s">
        <v>1401</v>
      </c>
      <c r="O62" s="5" t="s">
        <v>1402</v>
      </c>
      <c r="P62" s="57">
        <v>28.0</v>
      </c>
      <c r="R62" s="57">
        <v>178.0</v>
      </c>
      <c r="S62" s="57">
        <v>2024.0</v>
      </c>
      <c r="T62" s="5" t="s">
        <v>1404</v>
      </c>
      <c r="U62" s="57">
        <v>5.85714285714285</v>
      </c>
      <c r="V62" s="5" t="s">
        <v>4495</v>
      </c>
      <c r="W62" s="5" t="s">
        <v>4495</v>
      </c>
      <c r="X62" s="5" t="s">
        <v>4495</v>
      </c>
      <c r="Y62" s="5" t="s">
        <v>4495</v>
      </c>
      <c r="Z62" s="58">
        <v>0.949044636620311</v>
      </c>
      <c r="AA62" s="5" t="s">
        <v>4495</v>
      </c>
      <c r="AB62" s="5" t="s">
        <v>4495</v>
      </c>
      <c r="AC62" s="58">
        <v>0.17739238212607333</v>
      </c>
      <c r="AD62" s="58">
        <v>0.2550003973676851</v>
      </c>
      <c r="AE62" s="52" t="s">
        <v>4498</v>
      </c>
    </row>
    <row r="63" ht="17.25" customHeight="1">
      <c r="A63" s="55" t="s">
        <v>21</v>
      </c>
      <c r="B63" s="55" t="s">
        <v>1406</v>
      </c>
      <c r="C63" s="55" t="s">
        <v>1407</v>
      </c>
      <c r="D63" s="56">
        <v>45456.0</v>
      </c>
      <c r="E63" s="57">
        <v>2024.0</v>
      </c>
      <c r="F63" s="5" t="s">
        <v>41</v>
      </c>
      <c r="H63" s="57">
        <v>5.0</v>
      </c>
      <c r="I63" s="57">
        <v>14.0</v>
      </c>
      <c r="J63" s="5" t="s">
        <v>1409</v>
      </c>
      <c r="K63" s="5" t="s">
        <v>1410</v>
      </c>
      <c r="L63" s="5" t="s">
        <v>1411</v>
      </c>
      <c r="M63" s="5" t="s">
        <v>59</v>
      </c>
      <c r="N63" s="5" t="s">
        <v>1412</v>
      </c>
      <c r="R63" s="57">
        <v>0.0</v>
      </c>
      <c r="T63" s="5" t="s">
        <v>1413</v>
      </c>
      <c r="U63" s="57">
        <v>7.2</v>
      </c>
      <c r="V63" s="57">
        <v>0.029661016949152543</v>
      </c>
      <c r="W63" s="5" t="s">
        <v>4495</v>
      </c>
      <c r="X63" s="5" t="s">
        <v>4495</v>
      </c>
      <c r="Y63" s="5" t="s">
        <v>4495</v>
      </c>
      <c r="Z63" s="58">
        <v>0.0</v>
      </c>
      <c r="AA63" s="5" t="s">
        <v>4495</v>
      </c>
      <c r="AB63" s="58">
        <v>1.0</v>
      </c>
      <c r="AC63" s="58">
        <v>0.25271152621726806</v>
      </c>
      <c r="AD63" s="58">
        <v>0.1752711526217268</v>
      </c>
      <c r="AE63" s="52" t="s">
        <v>4498</v>
      </c>
    </row>
    <row r="64" ht="17.25" customHeight="1">
      <c r="A64" s="55" t="s">
        <v>21</v>
      </c>
      <c r="B64" s="55" t="s">
        <v>1415</v>
      </c>
      <c r="C64" s="55" t="s">
        <v>1416</v>
      </c>
      <c r="D64" s="56">
        <v>44866.0</v>
      </c>
      <c r="E64" s="57">
        <v>2022.0</v>
      </c>
      <c r="F64" s="5" t="s">
        <v>41</v>
      </c>
      <c r="G64" s="5" t="s">
        <v>42</v>
      </c>
      <c r="H64" s="57">
        <v>5.0</v>
      </c>
      <c r="I64" s="57">
        <v>47.0</v>
      </c>
      <c r="K64" s="5" t="s">
        <v>1418</v>
      </c>
      <c r="L64" s="5" t="s">
        <v>1419</v>
      </c>
      <c r="M64" s="5" t="s">
        <v>59</v>
      </c>
      <c r="N64" s="5" t="s">
        <v>1420</v>
      </c>
      <c r="O64" s="5" t="s">
        <v>1421</v>
      </c>
      <c r="R64" s="57">
        <v>55.0</v>
      </c>
      <c r="S64" s="57">
        <v>2020.0</v>
      </c>
      <c r="T64" s="5" t="s">
        <v>1422</v>
      </c>
      <c r="U64" s="57">
        <v>6.5</v>
      </c>
      <c r="V64" s="57">
        <v>0.044256120527306965</v>
      </c>
      <c r="W64" s="57">
        <v>2.0</v>
      </c>
      <c r="X64" s="5" t="s">
        <v>4495</v>
      </c>
      <c r="Y64" s="5" t="s">
        <v>4495</v>
      </c>
      <c r="Z64" s="58">
        <v>0.5416225389667044</v>
      </c>
      <c r="AA64" s="58">
        <v>1.0</v>
      </c>
      <c r="AB64" s="58">
        <v>1.0</v>
      </c>
      <c r="AC64" s="58">
        <v>0.21513218774825074</v>
      </c>
      <c r="AD64" s="58">
        <v>0.5069188535165011</v>
      </c>
      <c r="AE64" s="52" t="s">
        <v>4498</v>
      </c>
    </row>
    <row r="65" ht="17.25" customHeight="1">
      <c r="A65" s="55" t="s">
        <v>21</v>
      </c>
      <c r="B65" s="55" t="s">
        <v>1424</v>
      </c>
      <c r="C65" s="55" t="s">
        <v>1425</v>
      </c>
      <c r="D65" s="56">
        <v>43313.0</v>
      </c>
      <c r="E65" s="57">
        <v>2018.0</v>
      </c>
      <c r="F65" s="5" t="s">
        <v>41</v>
      </c>
      <c r="G65" s="5" t="s">
        <v>42</v>
      </c>
      <c r="H65" s="57">
        <v>5.0</v>
      </c>
      <c r="I65" s="57">
        <v>122.0</v>
      </c>
      <c r="J65" s="5" t="s">
        <v>1427</v>
      </c>
      <c r="K65" s="5" t="s">
        <v>1428</v>
      </c>
      <c r="L65" s="5" t="s">
        <v>1429</v>
      </c>
      <c r="M65" s="5" t="s">
        <v>59</v>
      </c>
      <c r="N65" s="5" t="s">
        <v>1430</v>
      </c>
      <c r="R65" s="57">
        <v>54.0</v>
      </c>
      <c r="S65" s="57">
        <v>2018.0</v>
      </c>
      <c r="T65" s="5" t="s">
        <v>1432</v>
      </c>
      <c r="U65" s="57">
        <v>13.6</v>
      </c>
      <c r="V65" s="57">
        <v>0.046653919694072656</v>
      </c>
      <c r="W65" s="57">
        <v>0.0</v>
      </c>
      <c r="X65" s="5" t="s">
        <v>4495</v>
      </c>
      <c r="Y65" s="5" t="s">
        <v>4495</v>
      </c>
      <c r="Z65" s="58">
        <v>0.5353050503378812</v>
      </c>
      <c r="AA65" s="58">
        <v>1.0</v>
      </c>
      <c r="AB65" s="58">
        <v>1.0</v>
      </c>
      <c r="AC65" s="58">
        <v>0.495665358551555</v>
      </c>
      <c r="AD65" s="58">
        <v>0.5333927984396258</v>
      </c>
      <c r="AE65" s="52" t="s">
        <v>4498</v>
      </c>
    </row>
    <row r="66" ht="17.25" customHeight="1">
      <c r="A66" s="55" t="s">
        <v>21</v>
      </c>
      <c r="B66" s="55" t="s">
        <v>1434</v>
      </c>
      <c r="C66" s="55" t="s">
        <v>1435</v>
      </c>
      <c r="D66" s="56">
        <v>43756.0</v>
      </c>
      <c r="E66" s="57">
        <v>2019.0</v>
      </c>
      <c r="F66" s="5" t="s">
        <v>41</v>
      </c>
      <c r="G66" s="5" t="s">
        <v>42</v>
      </c>
      <c r="H66" s="57">
        <v>5.0</v>
      </c>
      <c r="I66" s="57">
        <v>90.0</v>
      </c>
      <c r="K66" s="5" t="s">
        <v>1437</v>
      </c>
      <c r="L66" s="5" t="s">
        <v>1438</v>
      </c>
      <c r="M66" s="5" t="s">
        <v>59</v>
      </c>
      <c r="N66" s="5" t="s">
        <v>1439</v>
      </c>
      <c r="O66" s="5" t="s">
        <v>1440</v>
      </c>
      <c r="P66" s="57">
        <v>32.0</v>
      </c>
      <c r="R66" s="57">
        <v>94.0</v>
      </c>
      <c r="T66" s="5" t="s">
        <v>1441</v>
      </c>
      <c r="U66" s="57">
        <v>34.5</v>
      </c>
      <c r="V66" s="57">
        <v>0.04143646408839779</v>
      </c>
      <c r="W66" s="5" t="s">
        <v>4495</v>
      </c>
      <c r="X66" s="5" t="s">
        <v>4495</v>
      </c>
      <c r="Y66" s="5" t="s">
        <v>4495</v>
      </c>
      <c r="Z66" s="58">
        <v>0.7269293584483356</v>
      </c>
      <c r="AA66" s="5" t="s">
        <v>4495</v>
      </c>
      <c r="AB66" s="58">
        <v>1.0</v>
      </c>
      <c r="AC66" s="58">
        <v>0.8698583169064583</v>
      </c>
      <c r="AD66" s="58">
        <v>0.41871817130272976</v>
      </c>
      <c r="AE66" s="52" t="s">
        <v>4498</v>
      </c>
    </row>
    <row r="67" ht="17.25" customHeight="1">
      <c r="A67" s="55" t="s">
        <v>21</v>
      </c>
      <c r="B67" s="55" t="s">
        <v>1458</v>
      </c>
      <c r="C67" s="55" t="s">
        <v>1459</v>
      </c>
      <c r="D67" s="56">
        <v>45605.0</v>
      </c>
      <c r="E67" s="57">
        <v>2024.0</v>
      </c>
      <c r="F67" s="5" t="s">
        <v>41</v>
      </c>
      <c r="H67" s="57">
        <v>5.0</v>
      </c>
      <c r="I67" s="57">
        <v>15.0</v>
      </c>
      <c r="J67" s="5" t="s">
        <v>1461</v>
      </c>
      <c r="K67" s="5" t="s">
        <v>1462</v>
      </c>
      <c r="L67" s="5" t="s">
        <v>1463</v>
      </c>
      <c r="M67" s="5" t="s">
        <v>59</v>
      </c>
      <c r="N67" s="5" t="s">
        <v>1464</v>
      </c>
      <c r="R67" s="57">
        <v>90.0</v>
      </c>
      <c r="S67" s="57">
        <v>2024.0</v>
      </c>
      <c r="T67" s="5" t="s">
        <v>1465</v>
      </c>
      <c r="U67" s="57">
        <v>3.83333333333333</v>
      </c>
      <c r="V67" s="57">
        <v>0.04643962848297214</v>
      </c>
      <c r="W67" s="57">
        <v>0.0</v>
      </c>
      <c r="X67" s="5" t="s">
        <v>4495</v>
      </c>
      <c r="Y67" s="5" t="s">
        <v>4495</v>
      </c>
      <c r="Z67" s="58">
        <v>0.7118469843264902</v>
      </c>
      <c r="AA67" s="58">
        <v>1.0</v>
      </c>
      <c r="AB67" s="58">
        <v>1.0</v>
      </c>
      <c r="AC67" s="58">
        <v>0.030094659587289137</v>
      </c>
      <c r="AD67" s="58">
        <v>0.5309712120403515</v>
      </c>
      <c r="AE67" s="52" t="s">
        <v>4498</v>
      </c>
    </row>
    <row r="68" ht="17.25" customHeight="1">
      <c r="A68" s="55" t="s">
        <v>21</v>
      </c>
      <c r="B68" s="55" t="s">
        <v>1517</v>
      </c>
      <c r="C68" s="55" t="s">
        <v>1518</v>
      </c>
      <c r="F68" s="5" t="s">
        <v>41</v>
      </c>
      <c r="G68" s="5" t="s">
        <v>42</v>
      </c>
      <c r="H68" s="57">
        <v>5.0</v>
      </c>
      <c r="I68" s="57">
        <v>157.0</v>
      </c>
      <c r="J68" s="5" t="s">
        <v>1519</v>
      </c>
      <c r="K68" s="5" t="s">
        <v>1520</v>
      </c>
      <c r="L68" s="5" t="s">
        <v>1521</v>
      </c>
      <c r="M68" s="5" t="s">
        <v>59</v>
      </c>
      <c r="N68" s="5" t="s">
        <v>1522</v>
      </c>
      <c r="O68" s="5" t="s">
        <v>1523</v>
      </c>
      <c r="P68" s="57">
        <v>26.0</v>
      </c>
      <c r="R68" s="57">
        <v>207.0</v>
      </c>
      <c r="S68" s="57">
        <v>2022.0</v>
      </c>
      <c r="T68" s="5" t="s">
        <v>1525</v>
      </c>
      <c r="U68" s="57">
        <v>28.75</v>
      </c>
      <c r="V68" s="5" t="s">
        <v>4495</v>
      </c>
      <c r="W68" s="5" t="s">
        <v>4495</v>
      </c>
      <c r="X68" s="5" t="s">
        <v>4495</v>
      </c>
      <c r="Y68" s="5" t="s">
        <v>4495</v>
      </c>
      <c r="Z68" s="58">
        <v>1.0</v>
      </c>
      <c r="AA68" s="5" t="s">
        <v>4495</v>
      </c>
      <c r="AB68" s="5" t="s">
        <v>4495</v>
      </c>
      <c r="AC68" s="58">
        <v>0.7954403107552936</v>
      </c>
      <c r="AD68" s="58">
        <v>0.3295440310755294</v>
      </c>
      <c r="AE68" s="52" t="s">
        <v>4498</v>
      </c>
    </row>
    <row r="69" ht="17.25" customHeight="1">
      <c r="A69" s="55" t="s">
        <v>21</v>
      </c>
      <c r="B69" s="55" t="s">
        <v>1527</v>
      </c>
      <c r="C69" s="55" t="s">
        <v>1528</v>
      </c>
      <c r="F69" s="5" t="s">
        <v>41</v>
      </c>
      <c r="G69" s="5" t="s">
        <v>42</v>
      </c>
      <c r="H69" s="57">
        <v>4.0</v>
      </c>
      <c r="I69" s="57">
        <v>70.0</v>
      </c>
      <c r="J69" s="5" t="s">
        <v>1530</v>
      </c>
      <c r="K69" s="5" t="s">
        <v>1531</v>
      </c>
      <c r="L69" s="5" t="s">
        <v>1532</v>
      </c>
      <c r="M69" s="5" t="s">
        <v>59</v>
      </c>
      <c r="N69" s="5" t="s">
        <v>1533</v>
      </c>
      <c r="O69" s="5" t="s">
        <v>1534</v>
      </c>
      <c r="P69" s="57">
        <v>20.0</v>
      </c>
      <c r="R69" s="57">
        <v>120.0</v>
      </c>
      <c r="S69" s="57">
        <v>2022.0</v>
      </c>
      <c r="T69" s="5" t="s">
        <v>1535</v>
      </c>
      <c r="U69" s="57">
        <v>26.4</v>
      </c>
      <c r="V69" s="5" t="s">
        <v>4495</v>
      </c>
      <c r="W69" s="5" t="s">
        <v>4495</v>
      </c>
      <c r="X69" s="5" t="s">
        <v>4495</v>
      </c>
      <c r="Y69" s="5" t="s">
        <v>4495</v>
      </c>
      <c r="Z69" s="58">
        <v>0.8117469787582382</v>
      </c>
      <c r="AA69" s="5" t="s">
        <v>4495</v>
      </c>
      <c r="AB69" s="5" t="s">
        <v>4495</v>
      </c>
      <c r="AC69" s="58">
        <v>0.7607858378948519</v>
      </c>
      <c r="AD69" s="58">
        <v>0.27901532847904476</v>
      </c>
      <c r="AE69" s="52" t="s">
        <v>4498</v>
      </c>
    </row>
    <row r="70" ht="17.25" customHeight="1">
      <c r="A70" s="55" t="s">
        <v>21</v>
      </c>
      <c r="B70" s="55" t="s">
        <v>1549</v>
      </c>
      <c r="C70" s="55" t="s">
        <v>1550</v>
      </c>
      <c r="D70" s="56">
        <v>44751.0</v>
      </c>
      <c r="E70" s="57">
        <v>2022.0</v>
      </c>
      <c r="F70" s="5" t="s">
        <v>26</v>
      </c>
      <c r="H70" s="57">
        <v>4.0</v>
      </c>
      <c r="I70" s="57">
        <v>125.0</v>
      </c>
      <c r="J70" s="5" t="s">
        <v>1552</v>
      </c>
      <c r="K70" s="5" t="s">
        <v>1553</v>
      </c>
      <c r="L70" s="5" t="s">
        <v>1554</v>
      </c>
      <c r="M70" s="5" t="s">
        <v>59</v>
      </c>
      <c r="N70" s="5" t="s">
        <v>1555</v>
      </c>
      <c r="R70" s="57">
        <v>60.0</v>
      </c>
      <c r="S70" s="57">
        <v>2022.0</v>
      </c>
      <c r="T70" s="5" t="s">
        <v>1556</v>
      </c>
      <c r="U70" s="57">
        <v>25.5</v>
      </c>
      <c r="V70" s="57">
        <v>0.10620220900594732</v>
      </c>
      <c r="W70" s="57">
        <v>0.0</v>
      </c>
      <c r="X70" s="5" t="s">
        <v>4495</v>
      </c>
      <c r="Y70" s="5" t="s">
        <v>4495</v>
      </c>
      <c r="Z70" s="58">
        <v>0.5716075650904038</v>
      </c>
      <c r="AA70" s="58">
        <v>1.0</v>
      </c>
      <c r="AB70" s="58">
        <v>1.0</v>
      </c>
      <c r="AC70" s="58">
        <v>0.7467202844151569</v>
      </c>
      <c r="AD70" s="58">
        <v>0.5675739197141166</v>
      </c>
      <c r="AE70" s="52" t="s">
        <v>4498</v>
      </c>
    </row>
    <row r="71" ht="17.25" customHeight="1">
      <c r="A71" s="55" t="s">
        <v>21</v>
      </c>
      <c r="B71" s="55" t="s">
        <v>1562</v>
      </c>
      <c r="C71" s="55" t="s">
        <v>1563</v>
      </c>
      <c r="F71" s="5" t="s">
        <v>41</v>
      </c>
      <c r="G71" s="5" t="s">
        <v>42</v>
      </c>
      <c r="H71" s="57">
        <v>4.0</v>
      </c>
      <c r="I71" s="57">
        <v>63.0</v>
      </c>
      <c r="J71" s="5" t="s">
        <v>1564</v>
      </c>
      <c r="K71" s="5" t="s">
        <v>1565</v>
      </c>
      <c r="L71" s="5" t="s">
        <v>1566</v>
      </c>
      <c r="M71" s="5" t="s">
        <v>59</v>
      </c>
      <c r="N71" s="5" t="s">
        <v>1567</v>
      </c>
      <c r="O71" s="5" t="s">
        <v>1568</v>
      </c>
      <c r="P71" s="57">
        <v>19.0</v>
      </c>
      <c r="R71" s="57">
        <v>96.0</v>
      </c>
      <c r="S71" s="57">
        <v>2022.0</v>
      </c>
      <c r="T71" s="5" t="s">
        <v>1569</v>
      </c>
      <c r="U71" s="57">
        <v>11.0</v>
      </c>
      <c r="V71" s="5" t="s">
        <v>4495</v>
      </c>
      <c r="W71" s="5" t="s">
        <v>4495</v>
      </c>
      <c r="X71" s="5" t="s">
        <v>4495</v>
      </c>
      <c r="Y71" s="5" t="s">
        <v>4495</v>
      </c>
      <c r="Z71" s="58">
        <v>0.7342340212618556</v>
      </c>
      <c r="AA71" s="5" t="s">
        <v>4495</v>
      </c>
      <c r="AB71" s="5" t="s">
        <v>4495</v>
      </c>
      <c r="AC71" s="58">
        <v>0.4130723542258289</v>
      </c>
      <c r="AD71" s="58">
        <v>0.22486574073804677</v>
      </c>
      <c r="AE71" s="52" t="s">
        <v>4498</v>
      </c>
    </row>
    <row r="72" ht="17.25" customHeight="1">
      <c r="A72" s="55" t="s">
        <v>21</v>
      </c>
      <c r="B72" s="55" t="s">
        <v>1578</v>
      </c>
      <c r="C72" s="55" t="s">
        <v>1579</v>
      </c>
      <c r="F72" s="5" t="s">
        <v>41</v>
      </c>
      <c r="G72" s="5" t="s">
        <v>42</v>
      </c>
      <c r="H72" s="57">
        <v>4.0</v>
      </c>
      <c r="I72" s="57">
        <v>138.0</v>
      </c>
      <c r="J72" s="5" t="s">
        <v>1580</v>
      </c>
      <c r="K72" s="5" t="s">
        <v>1581</v>
      </c>
      <c r="L72" s="5" t="s">
        <v>1582</v>
      </c>
      <c r="M72" s="5" t="s">
        <v>59</v>
      </c>
      <c r="N72" s="5" t="s">
        <v>1583</v>
      </c>
      <c r="O72" s="5" t="s">
        <v>1584</v>
      </c>
      <c r="P72" s="57">
        <v>38.0</v>
      </c>
      <c r="R72" s="57">
        <v>0.0</v>
      </c>
      <c r="T72" s="5" t="s">
        <v>1585</v>
      </c>
      <c r="U72" s="57">
        <v>19.6666666666666</v>
      </c>
      <c r="V72" s="5" t="s">
        <v>4495</v>
      </c>
      <c r="W72" s="5" t="s">
        <v>4495</v>
      </c>
      <c r="X72" s="5" t="s">
        <v>4495</v>
      </c>
      <c r="Y72" s="5" t="s">
        <v>4495</v>
      </c>
      <c r="Z72" s="58">
        <v>0.0</v>
      </c>
      <c r="AA72" s="5" t="s">
        <v>4495</v>
      </c>
      <c r="AB72" s="5" t="s">
        <v>4495</v>
      </c>
      <c r="AC72" s="58">
        <v>0.6420138459549198</v>
      </c>
      <c r="AD72" s="58">
        <v>0.06420138459549199</v>
      </c>
      <c r="AE72" s="52" t="s">
        <v>4498</v>
      </c>
    </row>
    <row r="73" ht="17.25" customHeight="1">
      <c r="A73" s="55" t="s">
        <v>21</v>
      </c>
      <c r="B73" s="55" t="s">
        <v>1609</v>
      </c>
      <c r="C73" s="55" t="s">
        <v>1610</v>
      </c>
      <c r="D73" s="56">
        <v>44206.0</v>
      </c>
      <c r="E73" s="57">
        <v>2021.0</v>
      </c>
      <c r="F73" s="5" t="s">
        <v>41</v>
      </c>
      <c r="G73" s="5" t="s">
        <v>42</v>
      </c>
      <c r="H73" s="57">
        <v>4.0</v>
      </c>
      <c r="I73" s="57">
        <v>145.0</v>
      </c>
      <c r="J73" s="5" t="s">
        <v>1612</v>
      </c>
      <c r="K73" s="5" t="s">
        <v>1613</v>
      </c>
      <c r="L73" s="5" t="s">
        <v>1614</v>
      </c>
      <c r="M73" s="5" t="s">
        <v>59</v>
      </c>
      <c r="N73" s="5" t="s">
        <v>1615</v>
      </c>
      <c r="O73" s="5" t="s">
        <v>848</v>
      </c>
      <c r="P73" s="57">
        <v>35.0</v>
      </c>
      <c r="R73" s="57">
        <v>217.0</v>
      </c>
      <c r="S73" s="57">
        <v>2021.0</v>
      </c>
      <c r="T73" s="5" t="s">
        <v>1616</v>
      </c>
      <c r="U73" s="57">
        <v>28.2</v>
      </c>
      <c r="V73" s="57">
        <v>0.08420441347270616</v>
      </c>
      <c r="W73" s="57">
        <v>0.0</v>
      </c>
      <c r="X73" s="5" t="s">
        <v>4495</v>
      </c>
      <c r="Y73" s="5" t="s">
        <v>4495</v>
      </c>
      <c r="Z73" s="58">
        <v>1.0</v>
      </c>
      <c r="AA73" s="58">
        <v>1.0</v>
      </c>
      <c r="AB73" s="58">
        <v>1.0</v>
      </c>
      <c r="AC73" s="58">
        <v>0.7875815476535016</v>
      </c>
      <c r="AD73" s="58">
        <v>0.6787581547653502</v>
      </c>
      <c r="AE73" s="52" t="s">
        <v>4498</v>
      </c>
    </row>
    <row r="74" ht="17.25" customHeight="1">
      <c r="A74" s="55" t="s">
        <v>21</v>
      </c>
      <c r="B74" s="55" t="s">
        <v>1652</v>
      </c>
      <c r="C74" s="55" t="s">
        <v>1653</v>
      </c>
      <c r="D74" s="56">
        <v>44063.0</v>
      </c>
      <c r="E74" s="57">
        <v>2020.0</v>
      </c>
      <c r="F74" s="5" t="s">
        <v>41</v>
      </c>
      <c r="G74" s="5" t="s">
        <v>42</v>
      </c>
      <c r="H74" s="57">
        <v>4.0</v>
      </c>
      <c r="I74" s="57">
        <v>114.0</v>
      </c>
      <c r="J74" s="5" t="s">
        <v>1655</v>
      </c>
      <c r="K74" s="5" t="s">
        <v>1656</v>
      </c>
      <c r="L74" s="5" t="s">
        <v>1657</v>
      </c>
      <c r="M74" s="5" t="s">
        <v>59</v>
      </c>
      <c r="N74" s="5" t="s">
        <v>1658</v>
      </c>
      <c r="O74" s="5" t="s">
        <v>1659</v>
      </c>
      <c r="P74" s="57">
        <v>23.0</v>
      </c>
      <c r="R74" s="57">
        <v>103.0</v>
      </c>
      <c r="S74" s="57">
        <v>2020.0</v>
      </c>
      <c r="T74" s="5" t="s">
        <v>1660</v>
      </c>
      <c r="U74" s="57">
        <v>2.75</v>
      </c>
      <c r="V74" s="57">
        <v>0.061126005361930295</v>
      </c>
      <c r="W74" s="57">
        <v>0.0</v>
      </c>
      <c r="X74" s="5" t="s">
        <v>4495</v>
      </c>
      <c r="Y74" s="5" t="s">
        <v>4495</v>
      </c>
      <c r="Z74" s="58">
        <v>0.7586645771823989</v>
      </c>
      <c r="AA74" s="58">
        <v>1.0</v>
      </c>
      <c r="AB74" s="58">
        <v>1.0</v>
      </c>
      <c r="AC74" s="58">
        <v>0.0</v>
      </c>
      <c r="AD74" s="58">
        <v>0.5396661442955998</v>
      </c>
      <c r="AE74" s="52" t="s">
        <v>4498</v>
      </c>
    </row>
    <row r="75" ht="17.25" customHeight="1">
      <c r="A75" s="55" t="s">
        <v>21</v>
      </c>
      <c r="B75" s="55" t="s">
        <v>1662</v>
      </c>
      <c r="C75" s="55" t="s">
        <v>1663</v>
      </c>
      <c r="D75" s="56">
        <v>40574.0</v>
      </c>
      <c r="E75" s="57">
        <v>2011.0</v>
      </c>
      <c r="F75" s="5" t="s">
        <v>41</v>
      </c>
      <c r="G75" s="5" t="s">
        <v>42</v>
      </c>
      <c r="H75" s="57">
        <v>4.0</v>
      </c>
      <c r="I75" s="57">
        <v>39.0</v>
      </c>
      <c r="J75" s="5" t="s">
        <v>1665</v>
      </c>
      <c r="K75" s="5" t="s">
        <v>1666</v>
      </c>
      <c r="L75" s="5" t="s">
        <v>1667</v>
      </c>
      <c r="M75" s="5" t="s">
        <v>59</v>
      </c>
      <c r="N75" s="5" t="s">
        <v>1668</v>
      </c>
      <c r="O75" s="5" t="s">
        <v>1669</v>
      </c>
      <c r="P75" s="57">
        <v>11.0</v>
      </c>
      <c r="R75" s="57">
        <v>21.0</v>
      </c>
      <c r="S75" s="57">
        <v>2008.0</v>
      </c>
      <c r="T75" s="5" t="s">
        <v>1671</v>
      </c>
      <c r="U75" s="57">
        <v>5.0</v>
      </c>
      <c r="V75" s="57">
        <v>0.007284273440418379</v>
      </c>
      <c r="W75" s="57">
        <v>3.0</v>
      </c>
      <c r="X75" s="5" t="s">
        <v>4495</v>
      </c>
      <c r="Y75" s="5" t="s">
        <v>4495</v>
      </c>
      <c r="Z75" s="58">
        <v>0.21404331870033824</v>
      </c>
      <c r="AA75" s="58">
        <v>1.0</v>
      </c>
      <c r="AB75" s="58">
        <v>1.0</v>
      </c>
      <c r="AC75" s="58">
        <v>0.12115616512388203</v>
      </c>
      <c r="AD75" s="58">
        <v>0.41562644618747274</v>
      </c>
      <c r="AE75" s="52" t="s">
        <v>4498</v>
      </c>
    </row>
    <row r="76" ht="17.25" customHeight="1">
      <c r="A76" s="55" t="s">
        <v>21</v>
      </c>
      <c r="B76" s="55" t="s">
        <v>1686</v>
      </c>
      <c r="C76" s="55" t="s">
        <v>1687</v>
      </c>
      <c r="D76" s="56">
        <v>44476.0</v>
      </c>
      <c r="E76" s="57">
        <v>2021.0</v>
      </c>
      <c r="F76" s="5" t="s">
        <v>41</v>
      </c>
      <c r="G76" s="5" t="s">
        <v>42</v>
      </c>
      <c r="H76" s="57">
        <v>4.0</v>
      </c>
      <c r="I76" s="57">
        <v>132.0</v>
      </c>
      <c r="J76" s="5" t="s">
        <v>1689</v>
      </c>
      <c r="K76" s="5" t="s">
        <v>1690</v>
      </c>
      <c r="L76" s="5" t="s">
        <v>1691</v>
      </c>
      <c r="M76" s="5" t="s">
        <v>59</v>
      </c>
      <c r="N76" s="5" t="s">
        <v>1692</v>
      </c>
      <c r="O76" s="5" t="s">
        <v>1105</v>
      </c>
      <c r="P76" s="57">
        <v>36.0</v>
      </c>
      <c r="R76" s="57">
        <v>201.0</v>
      </c>
      <c r="T76" s="5" t="s">
        <v>1694</v>
      </c>
      <c r="U76" s="57">
        <v>2.5</v>
      </c>
      <c r="V76" s="57">
        <v>0.09090909090909091</v>
      </c>
      <c r="W76" s="5" t="s">
        <v>4495</v>
      </c>
      <c r="X76" s="5" t="s">
        <v>4495</v>
      </c>
      <c r="Y76" s="5" t="s">
        <v>4495</v>
      </c>
      <c r="Z76" s="58">
        <v>0.9914271735765677</v>
      </c>
      <c r="AA76" s="5" t="s">
        <v>4495</v>
      </c>
      <c r="AB76" s="58">
        <v>1.0</v>
      </c>
      <c r="AC76" s="58">
        <v>0.0</v>
      </c>
      <c r="AD76" s="58">
        <v>0.3978567933941419</v>
      </c>
      <c r="AE76" s="52" t="s">
        <v>4498</v>
      </c>
    </row>
    <row r="77" ht="17.25" customHeight="1">
      <c r="A77" s="55" t="s">
        <v>21</v>
      </c>
      <c r="B77" s="55" t="s">
        <v>1708</v>
      </c>
      <c r="C77" s="55" t="s">
        <v>1709</v>
      </c>
      <c r="D77" s="56">
        <v>43508.0</v>
      </c>
      <c r="E77" s="57">
        <v>2019.0</v>
      </c>
      <c r="F77" s="5" t="s">
        <v>41</v>
      </c>
      <c r="G77" s="5" t="s">
        <v>42</v>
      </c>
      <c r="H77" s="57">
        <v>4.0</v>
      </c>
      <c r="I77" s="57">
        <v>104.0</v>
      </c>
      <c r="J77" s="5" t="s">
        <v>1711</v>
      </c>
      <c r="K77" s="5" t="s">
        <v>1712</v>
      </c>
      <c r="L77" s="5" t="s">
        <v>1713</v>
      </c>
      <c r="M77" s="5" t="s">
        <v>59</v>
      </c>
      <c r="N77" s="5" t="s">
        <v>1714</v>
      </c>
      <c r="O77" s="5" t="s">
        <v>1715</v>
      </c>
      <c r="P77" s="57">
        <v>8.0</v>
      </c>
      <c r="R77" s="57">
        <v>28.0</v>
      </c>
      <c r="T77" s="5" t="s">
        <v>1716</v>
      </c>
      <c r="U77" s="57">
        <v>15.0</v>
      </c>
      <c r="V77" s="57">
        <v>0.04297520661157025</v>
      </c>
      <c r="W77" s="5" t="s">
        <v>4495</v>
      </c>
      <c r="X77" s="5" t="s">
        <v>4495</v>
      </c>
      <c r="Y77" s="5" t="s">
        <v>4495</v>
      </c>
      <c r="Z77" s="58">
        <v>0.31090082806830316</v>
      </c>
      <c r="AA77" s="5" t="s">
        <v>4495</v>
      </c>
      <c r="AB77" s="58">
        <v>1.0</v>
      </c>
      <c r="AC77" s="58">
        <v>0.5342285193497109</v>
      </c>
      <c r="AD77" s="58">
        <v>0.28114805895204686</v>
      </c>
      <c r="AE77" s="52" t="s">
        <v>4498</v>
      </c>
    </row>
    <row r="78" ht="17.25" customHeight="1">
      <c r="A78" s="55" t="s">
        <v>21</v>
      </c>
      <c r="B78" s="55" t="s">
        <v>1737</v>
      </c>
      <c r="C78" s="55" t="s">
        <v>1738</v>
      </c>
      <c r="D78" s="56">
        <v>40968.0</v>
      </c>
      <c r="E78" s="57">
        <v>2012.0</v>
      </c>
      <c r="F78" s="5" t="s">
        <v>26</v>
      </c>
      <c r="G78" s="5" t="s">
        <v>42</v>
      </c>
      <c r="H78" s="57">
        <v>4.0</v>
      </c>
      <c r="I78" s="57">
        <v>73.0</v>
      </c>
      <c r="K78" s="5" t="s">
        <v>1740</v>
      </c>
      <c r="L78" s="5" t="s">
        <v>1741</v>
      </c>
      <c r="M78" s="5" t="s">
        <v>59</v>
      </c>
      <c r="N78" s="5" t="s">
        <v>1742</v>
      </c>
      <c r="O78" s="5" t="s">
        <v>1743</v>
      </c>
      <c r="P78" s="57">
        <v>6.0</v>
      </c>
      <c r="R78" s="57">
        <v>19.0</v>
      </c>
      <c r="T78" s="5" t="s">
        <v>1744</v>
      </c>
      <c r="U78" s="57">
        <v>7.0</v>
      </c>
      <c r="V78" s="57">
        <v>0.01471774193548387</v>
      </c>
      <c r="W78" s="5" t="s">
        <v>4495</v>
      </c>
      <c r="X78" s="5" t="s">
        <v>4495</v>
      </c>
      <c r="Y78" s="5" t="s">
        <v>4495</v>
      </c>
      <c r="Z78" s="58">
        <v>0.18062650857502485</v>
      </c>
      <c r="AA78" s="5" t="s">
        <v>4495</v>
      </c>
      <c r="AB78" s="58">
        <v>1.0</v>
      </c>
      <c r="AC78" s="58">
        <v>0.24231233024776405</v>
      </c>
      <c r="AD78" s="58">
        <v>0.21938786016853262</v>
      </c>
      <c r="AE78" s="52" t="s">
        <v>4498</v>
      </c>
    </row>
    <row r="79" ht="17.25" customHeight="1">
      <c r="A79" s="55" t="s">
        <v>21</v>
      </c>
      <c r="B79" s="55" t="s">
        <v>1781</v>
      </c>
      <c r="C79" s="55" t="s">
        <v>1782</v>
      </c>
      <c r="F79" s="5" t="s">
        <v>26</v>
      </c>
      <c r="G79" s="5" t="s">
        <v>42</v>
      </c>
      <c r="H79" s="57">
        <v>4.0</v>
      </c>
      <c r="I79" s="57">
        <v>211.0</v>
      </c>
      <c r="K79" s="5" t="s">
        <v>1784</v>
      </c>
      <c r="L79" s="5" t="s">
        <v>1785</v>
      </c>
      <c r="M79" s="5" t="s">
        <v>59</v>
      </c>
      <c r="N79" s="5" t="s">
        <v>1786</v>
      </c>
      <c r="O79" s="5" t="s">
        <v>1787</v>
      </c>
      <c r="P79" s="57">
        <v>10.0</v>
      </c>
      <c r="R79" s="57">
        <v>21.0</v>
      </c>
      <c r="S79" s="57">
        <v>2018.0</v>
      </c>
      <c r="T79" s="5" t="s">
        <v>1475</v>
      </c>
      <c r="U79" s="57">
        <v>19.0</v>
      </c>
      <c r="V79" s="5" t="s">
        <v>4495</v>
      </c>
      <c r="W79" s="5" t="s">
        <v>4495</v>
      </c>
      <c r="X79" s="5" t="s">
        <v>4495</v>
      </c>
      <c r="Y79" s="5" t="s">
        <v>4495</v>
      </c>
      <c r="Z79" s="58">
        <v>0.21404331870033824</v>
      </c>
      <c r="AA79" s="5" t="s">
        <v>4495</v>
      </c>
      <c r="AB79" s="5" t="s">
        <v>4495</v>
      </c>
      <c r="AC79" s="58">
        <v>0.6282045419740796</v>
      </c>
      <c r="AD79" s="58">
        <v>0.11633128387249253</v>
      </c>
      <c r="AE79" s="52" t="s">
        <v>4498</v>
      </c>
    </row>
    <row r="80" ht="17.25" customHeight="1">
      <c r="A80" s="55" t="s">
        <v>21</v>
      </c>
      <c r="B80" s="55" t="s">
        <v>1788</v>
      </c>
      <c r="C80" s="55" t="s">
        <v>1789</v>
      </c>
      <c r="D80" s="56">
        <v>42020.0</v>
      </c>
      <c r="E80" s="57">
        <v>2015.0</v>
      </c>
      <c r="F80" s="5" t="s">
        <v>26</v>
      </c>
      <c r="G80" s="5" t="s">
        <v>42</v>
      </c>
      <c r="H80" s="57">
        <v>4.0</v>
      </c>
      <c r="I80" s="57">
        <v>52.0</v>
      </c>
      <c r="K80" s="5" t="s">
        <v>1792</v>
      </c>
      <c r="L80" s="5" t="s">
        <v>1793</v>
      </c>
      <c r="M80" s="5" t="s">
        <v>59</v>
      </c>
      <c r="N80" s="5" t="s">
        <v>1794</v>
      </c>
      <c r="O80" s="59" t="s">
        <v>1795</v>
      </c>
      <c r="P80" s="57">
        <v>10.0</v>
      </c>
      <c r="R80" s="57">
        <v>49.0</v>
      </c>
      <c r="T80" s="5" t="s">
        <v>1796</v>
      </c>
      <c r="U80" s="57">
        <v>4.5</v>
      </c>
      <c r="V80" s="57">
        <v>0.01330603889457523</v>
      </c>
      <c r="W80" s="5" t="s">
        <v>4495</v>
      </c>
      <c r="X80" s="5" t="s">
        <v>4495</v>
      </c>
      <c r="Y80" s="5" t="s">
        <v>4495</v>
      </c>
      <c r="Z80" s="58">
        <v>0.5018882402125678</v>
      </c>
      <c r="AA80" s="5" t="s">
        <v>4495</v>
      </c>
      <c r="AB80" s="58">
        <v>1.0</v>
      </c>
      <c r="AC80" s="58">
        <v>0.08451166841135611</v>
      </c>
      <c r="AD80" s="58">
        <v>0.28392322689427757</v>
      </c>
      <c r="AE80" s="52" t="s">
        <v>4498</v>
      </c>
    </row>
    <row r="81" ht="17.25" customHeight="1">
      <c r="A81" s="55" t="s">
        <v>21</v>
      </c>
      <c r="B81" s="55" t="s">
        <v>1808</v>
      </c>
      <c r="C81" s="55" t="s">
        <v>1809</v>
      </c>
      <c r="D81" s="56">
        <v>44510.0</v>
      </c>
      <c r="E81" s="57">
        <v>2021.0</v>
      </c>
      <c r="F81" s="5" t="s">
        <v>41</v>
      </c>
      <c r="G81" s="5" t="s">
        <v>880</v>
      </c>
      <c r="H81" s="57">
        <v>4.0</v>
      </c>
      <c r="I81" s="57">
        <v>56.0</v>
      </c>
      <c r="J81" s="5" t="s">
        <v>1811</v>
      </c>
      <c r="K81" s="5" t="s">
        <v>1812</v>
      </c>
      <c r="L81" s="5" t="s">
        <v>1813</v>
      </c>
      <c r="M81" s="5" t="s">
        <v>59</v>
      </c>
      <c r="N81" s="5" t="s">
        <v>1814</v>
      </c>
      <c r="O81" s="5" t="s">
        <v>180</v>
      </c>
      <c r="R81" s="57">
        <v>13.0</v>
      </c>
      <c r="S81" s="57">
        <v>2021.0</v>
      </c>
      <c r="T81" s="5" t="s">
        <v>1815</v>
      </c>
      <c r="U81" s="57">
        <v>8.0</v>
      </c>
      <c r="V81" s="57">
        <v>0.039492242595204514</v>
      </c>
      <c r="W81" s="57">
        <v>0.0</v>
      </c>
      <c r="X81" s="5" t="s">
        <v>4495</v>
      </c>
      <c r="Y81" s="5" t="s">
        <v>4495</v>
      </c>
      <c r="Z81" s="58">
        <v>0.055572302376616874</v>
      </c>
      <c r="AA81" s="58">
        <v>1.0</v>
      </c>
      <c r="AB81" s="58">
        <v>1.0</v>
      </c>
      <c r="AC81" s="58">
        <v>0.29191618910194683</v>
      </c>
      <c r="AD81" s="58">
        <v>0.3930846945043489</v>
      </c>
      <c r="AE81" s="52" t="s">
        <v>4498</v>
      </c>
    </row>
    <row r="82" ht="17.25" customHeight="1">
      <c r="A82" s="55" t="s">
        <v>21</v>
      </c>
      <c r="B82" s="55" t="s">
        <v>1825</v>
      </c>
      <c r="C82" s="55" t="s">
        <v>1826</v>
      </c>
      <c r="D82" s="56">
        <v>44158.0</v>
      </c>
      <c r="E82" s="57">
        <v>2020.0</v>
      </c>
      <c r="F82" s="5" t="s">
        <v>41</v>
      </c>
      <c r="G82" s="5" t="s">
        <v>42</v>
      </c>
      <c r="H82" s="57">
        <v>4.0</v>
      </c>
      <c r="I82" s="57">
        <v>172.0</v>
      </c>
      <c r="J82" s="5" t="s">
        <v>1828</v>
      </c>
      <c r="K82" s="5" t="s">
        <v>1829</v>
      </c>
      <c r="L82" s="5" t="s">
        <v>1830</v>
      </c>
      <c r="M82" s="5" t="s">
        <v>59</v>
      </c>
      <c r="N82" s="5" t="s">
        <v>1831</v>
      </c>
      <c r="R82" s="57">
        <v>103.0</v>
      </c>
      <c r="S82" s="57">
        <v>2020.0</v>
      </c>
      <c r="T82" s="5" t="s">
        <v>1832</v>
      </c>
      <c r="U82" s="57">
        <v>48.0</v>
      </c>
      <c r="V82" s="57">
        <v>0.09717514124293786</v>
      </c>
      <c r="W82" s="57">
        <v>0.0</v>
      </c>
      <c r="X82" s="5" t="s">
        <v>4495</v>
      </c>
      <c r="Y82" s="5" t="s">
        <v>4495</v>
      </c>
      <c r="Z82" s="58">
        <v>0.7586645771823989</v>
      </c>
      <c r="AA82" s="58">
        <v>1.0</v>
      </c>
      <c r="AB82" s="58">
        <v>1.0</v>
      </c>
      <c r="AC82" s="58">
        <v>1.0</v>
      </c>
      <c r="AD82" s="58">
        <v>0.6396661442955998</v>
      </c>
      <c r="AE82" s="52" t="s">
        <v>4498</v>
      </c>
    </row>
    <row r="83" ht="17.25" customHeight="1">
      <c r="A83" s="55" t="s">
        <v>21</v>
      </c>
      <c r="B83" s="55" t="s">
        <v>1846</v>
      </c>
      <c r="C83" s="55" t="s">
        <v>1847</v>
      </c>
      <c r="D83" s="56">
        <v>44649.0</v>
      </c>
      <c r="E83" s="57">
        <v>2022.0</v>
      </c>
      <c r="F83" s="5" t="s">
        <v>41</v>
      </c>
      <c r="G83" s="5" t="s">
        <v>42</v>
      </c>
      <c r="H83" s="57">
        <v>3.0</v>
      </c>
      <c r="I83" s="57">
        <v>20.0</v>
      </c>
      <c r="J83" s="5" t="s">
        <v>1849</v>
      </c>
      <c r="K83" s="5" t="s">
        <v>1850</v>
      </c>
      <c r="L83" s="5" t="s">
        <v>1851</v>
      </c>
      <c r="M83" s="5" t="s">
        <v>59</v>
      </c>
      <c r="N83" s="5" t="s">
        <v>1852</v>
      </c>
      <c r="O83" s="5" t="s">
        <v>1105</v>
      </c>
      <c r="P83" s="57">
        <v>36.0</v>
      </c>
      <c r="R83" s="57">
        <v>40.0</v>
      </c>
      <c r="T83" s="5" t="s">
        <v>1853</v>
      </c>
      <c r="U83" s="57">
        <v>24.75</v>
      </c>
      <c r="V83" s="57">
        <v>0.01563721657544957</v>
      </c>
      <c r="W83" s="5" t="s">
        <v>4495</v>
      </c>
      <c r="X83" s="5" t="s">
        <v>4495</v>
      </c>
      <c r="Y83" s="5" t="s">
        <v>4495</v>
      </c>
      <c r="Z83" s="58">
        <v>0.43230913174650915</v>
      </c>
      <c r="AA83" s="5" t="s">
        <v>4495</v>
      </c>
      <c r="AB83" s="58">
        <v>1.0</v>
      </c>
      <c r="AC83" s="58">
        <v>0.7346291370615134</v>
      </c>
      <c r="AD83" s="58">
        <v>0.3315401966427787</v>
      </c>
      <c r="AE83" s="52" t="s">
        <v>4498</v>
      </c>
    </row>
    <row r="84" ht="17.25" customHeight="1">
      <c r="A84" s="55" t="s">
        <v>21</v>
      </c>
      <c r="B84" s="55" t="s">
        <v>1864</v>
      </c>
      <c r="C84" s="55" t="s">
        <v>1865</v>
      </c>
      <c r="D84" s="56">
        <v>43963.0</v>
      </c>
      <c r="E84" s="57">
        <v>2020.0</v>
      </c>
      <c r="F84" s="5" t="s">
        <v>41</v>
      </c>
      <c r="G84" s="5" t="s">
        <v>42</v>
      </c>
      <c r="H84" s="57">
        <v>3.0</v>
      </c>
      <c r="I84" s="57">
        <v>116.0</v>
      </c>
      <c r="J84" s="5" t="s">
        <v>1868</v>
      </c>
      <c r="K84" s="5" t="s">
        <v>1869</v>
      </c>
      <c r="L84" s="5" t="s">
        <v>1870</v>
      </c>
      <c r="M84" s="5" t="s">
        <v>59</v>
      </c>
      <c r="N84" s="5" t="s">
        <v>1871</v>
      </c>
      <c r="O84" s="5" t="s">
        <v>1872</v>
      </c>
      <c r="P84" s="57">
        <v>18.0</v>
      </c>
      <c r="R84" s="57">
        <v>92.0</v>
      </c>
      <c r="S84" s="57">
        <v>2020.0</v>
      </c>
      <c r="T84" s="5" t="s">
        <v>1873</v>
      </c>
      <c r="U84" s="57">
        <v>7.66666666666666</v>
      </c>
      <c r="V84" s="57">
        <v>0.059033078880407125</v>
      </c>
      <c r="W84" s="57">
        <v>0.0</v>
      </c>
      <c r="X84" s="5" t="s">
        <v>4495</v>
      </c>
      <c r="Y84" s="5" t="s">
        <v>4495</v>
      </c>
      <c r="Z84" s="58">
        <v>0.7194692656719576</v>
      </c>
      <c r="AA84" s="58">
        <v>1.0</v>
      </c>
      <c r="AB84" s="58">
        <v>1.0</v>
      </c>
      <c r="AC84" s="58">
        <v>0.2760219994850885</v>
      </c>
      <c r="AD84" s="58">
        <v>0.5574695163664983</v>
      </c>
      <c r="AE84" s="52" t="s">
        <v>4498</v>
      </c>
    </row>
    <row r="85" ht="17.25" customHeight="1">
      <c r="A85" s="55" t="s">
        <v>21</v>
      </c>
      <c r="B85" s="55" t="s">
        <v>1893</v>
      </c>
      <c r="C85" s="55" t="s">
        <v>1894</v>
      </c>
      <c r="D85" s="56">
        <v>43892.0</v>
      </c>
      <c r="E85" s="57">
        <v>2020.0</v>
      </c>
      <c r="F85" s="5" t="s">
        <v>41</v>
      </c>
      <c r="G85" s="5" t="s">
        <v>42</v>
      </c>
      <c r="H85" s="57">
        <v>3.0</v>
      </c>
      <c r="I85" s="57">
        <v>85.0</v>
      </c>
      <c r="J85" s="5" t="s">
        <v>1896</v>
      </c>
      <c r="K85" s="5" t="s">
        <v>1897</v>
      </c>
      <c r="L85" s="5" t="s">
        <v>1898</v>
      </c>
      <c r="M85" s="5" t="s">
        <v>59</v>
      </c>
      <c r="N85" s="5" t="s">
        <v>1899</v>
      </c>
      <c r="O85" s="5" t="s">
        <v>1900</v>
      </c>
      <c r="P85" s="57">
        <v>9.0</v>
      </c>
      <c r="R85" s="57">
        <v>84.0</v>
      </c>
      <c r="S85" s="57">
        <v>2020.0</v>
      </c>
      <c r="T85" s="5" t="s">
        <v>1901</v>
      </c>
      <c r="U85" s="57">
        <v>7.83333333333333</v>
      </c>
      <c r="V85" s="57">
        <v>0.04174852652259332</v>
      </c>
      <c r="W85" s="57">
        <v>0.0</v>
      </c>
      <c r="X85" s="5" t="s">
        <v>4495</v>
      </c>
      <c r="Y85" s="5" t="s">
        <v>4495</v>
      </c>
      <c r="Z85" s="58">
        <v>0.6879324125063967</v>
      </c>
      <c r="AA85" s="58">
        <v>1.0</v>
      </c>
      <c r="AB85" s="58">
        <v>1.0</v>
      </c>
      <c r="AC85" s="58">
        <v>0.2840440713351452</v>
      </c>
      <c r="AD85" s="58">
        <v>0.5503875102601138</v>
      </c>
      <c r="AE85" s="52" t="s">
        <v>4498</v>
      </c>
    </row>
    <row r="86" ht="17.25" customHeight="1">
      <c r="A86" s="55" t="s">
        <v>21</v>
      </c>
      <c r="B86" s="55" t="s">
        <v>1903</v>
      </c>
      <c r="C86" s="55" t="s">
        <v>1904</v>
      </c>
      <c r="F86" s="5" t="s">
        <v>26</v>
      </c>
      <c r="G86" s="5" t="s">
        <v>27</v>
      </c>
      <c r="H86" s="57">
        <v>3.0</v>
      </c>
      <c r="I86" s="57">
        <v>33.0</v>
      </c>
      <c r="K86" s="5" t="s">
        <v>1905</v>
      </c>
      <c r="L86" s="5" t="s">
        <v>1906</v>
      </c>
      <c r="M86" s="5" t="s">
        <v>59</v>
      </c>
      <c r="N86" s="5" t="s">
        <v>1907</v>
      </c>
      <c r="O86" s="5" t="s">
        <v>1908</v>
      </c>
      <c r="P86" s="57">
        <v>7.0</v>
      </c>
      <c r="R86" s="57">
        <v>14.0</v>
      </c>
      <c r="S86" s="57">
        <v>2008.0</v>
      </c>
      <c r="T86" s="5" t="s">
        <v>1909</v>
      </c>
      <c r="U86" s="57">
        <v>10.0</v>
      </c>
      <c r="V86" s="5" t="s">
        <v>4495</v>
      </c>
      <c r="W86" s="5" t="s">
        <v>4495</v>
      </c>
      <c r="X86" s="5" t="s">
        <v>4495</v>
      </c>
      <c r="Y86" s="5" t="s">
        <v>4495</v>
      </c>
      <c r="Z86" s="58">
        <v>0.07976197121590477</v>
      </c>
      <c r="AA86" s="5" t="s">
        <v>4495</v>
      </c>
      <c r="AB86" s="5" t="s">
        <v>4495</v>
      </c>
      <c r="AC86" s="58">
        <v>0.37642785751330293</v>
      </c>
      <c r="AD86" s="58">
        <v>0.05758327855530648</v>
      </c>
      <c r="AE86" s="52" t="s">
        <v>4498</v>
      </c>
    </row>
    <row r="87" ht="17.25" customHeight="1">
      <c r="A87" s="55" t="s">
        <v>21</v>
      </c>
      <c r="B87" s="55" t="s">
        <v>1921</v>
      </c>
      <c r="C87" s="55" t="s">
        <v>1922</v>
      </c>
      <c r="D87" s="56">
        <v>43586.0</v>
      </c>
      <c r="E87" s="57">
        <v>2019.0</v>
      </c>
      <c r="F87" s="5" t="s">
        <v>41</v>
      </c>
      <c r="G87" s="5" t="s">
        <v>42</v>
      </c>
      <c r="H87" s="57">
        <v>3.0</v>
      </c>
      <c r="I87" s="57">
        <v>64.0</v>
      </c>
      <c r="J87" s="5" t="s">
        <v>1925</v>
      </c>
      <c r="K87" s="5" t="s">
        <v>1926</v>
      </c>
      <c r="L87" s="5" t="s">
        <v>1927</v>
      </c>
      <c r="M87" s="5" t="s">
        <v>59</v>
      </c>
      <c r="N87" s="5" t="s">
        <v>1928</v>
      </c>
      <c r="O87" s="5" t="s">
        <v>1929</v>
      </c>
      <c r="P87" s="57">
        <v>39.0</v>
      </c>
      <c r="R87" s="57">
        <v>74.0</v>
      </c>
      <c r="S87" s="57">
        <v>2018.0</v>
      </c>
      <c r="T87" s="5" t="s">
        <v>1931</v>
      </c>
      <c r="U87" s="57">
        <v>22.0</v>
      </c>
      <c r="V87" s="57">
        <v>0.027327070879590094</v>
      </c>
      <c r="W87" s="57">
        <v>1.0</v>
      </c>
      <c r="X87" s="5" t="s">
        <v>4495</v>
      </c>
      <c r="Y87" s="5" t="s">
        <v>4495</v>
      </c>
      <c r="Z87" s="58">
        <v>0.6440488211484913</v>
      </c>
      <c r="AA87" s="58">
        <v>1.0</v>
      </c>
      <c r="AB87" s="58">
        <v>1.0</v>
      </c>
      <c r="AC87" s="58">
        <v>0.6870647303206351</v>
      </c>
      <c r="AD87" s="58">
        <v>0.5797186783191863</v>
      </c>
      <c r="AE87" s="52" t="s">
        <v>4498</v>
      </c>
    </row>
    <row r="88" ht="17.25" customHeight="1">
      <c r="A88" s="55" t="s">
        <v>21</v>
      </c>
      <c r="B88" s="55" t="s">
        <v>1985</v>
      </c>
      <c r="C88" s="55" t="s">
        <v>1986</v>
      </c>
      <c r="D88" s="56">
        <v>44072.0</v>
      </c>
      <c r="E88" s="57">
        <v>2020.0</v>
      </c>
      <c r="F88" s="5" t="s">
        <v>26</v>
      </c>
      <c r="G88" s="5" t="s">
        <v>42</v>
      </c>
      <c r="H88" s="57">
        <v>3.0</v>
      </c>
      <c r="I88" s="57">
        <v>86.0</v>
      </c>
      <c r="J88" s="5" t="s">
        <v>1988</v>
      </c>
      <c r="K88" s="5" t="s">
        <v>1989</v>
      </c>
      <c r="L88" s="5" t="s">
        <v>1990</v>
      </c>
      <c r="M88" s="5" t="s">
        <v>59</v>
      </c>
      <c r="N88" s="5" t="s">
        <v>1991</v>
      </c>
      <c r="R88" s="57">
        <v>30.0</v>
      </c>
      <c r="S88" s="57">
        <v>2020.0</v>
      </c>
      <c r="T88" s="5" t="s">
        <v>614</v>
      </c>
      <c r="U88" s="57">
        <v>1.0</v>
      </c>
      <c r="V88" s="57">
        <v>0.04633620689655173</v>
      </c>
      <c r="W88" s="57">
        <v>0.0</v>
      </c>
      <c r="X88" s="5" t="s">
        <v>4495</v>
      </c>
      <c r="Y88" s="5" t="s">
        <v>4495</v>
      </c>
      <c r="Z88" s="58">
        <v>0.33428356644099017</v>
      </c>
      <c r="AA88" s="58">
        <v>1.0</v>
      </c>
      <c r="AB88" s="58">
        <v>1.0</v>
      </c>
      <c r="AC88" s="58">
        <v>0.0</v>
      </c>
      <c r="AD88" s="58">
        <v>0.43357089161024753</v>
      </c>
      <c r="AE88" s="52" t="s">
        <v>4498</v>
      </c>
    </row>
    <row r="89" ht="17.25" customHeight="1">
      <c r="A89" s="55" t="s">
        <v>21</v>
      </c>
      <c r="B89" s="55" t="s">
        <v>2055</v>
      </c>
      <c r="C89" s="55" t="s">
        <v>2056</v>
      </c>
      <c r="D89" s="56">
        <v>44044.0</v>
      </c>
      <c r="E89" s="57">
        <v>2020.0</v>
      </c>
      <c r="F89" s="5" t="s">
        <v>26</v>
      </c>
      <c r="G89" s="5" t="s">
        <v>42</v>
      </c>
      <c r="H89" s="57">
        <v>3.0</v>
      </c>
      <c r="I89" s="57">
        <v>34.0</v>
      </c>
      <c r="J89" s="5" t="s">
        <v>2058</v>
      </c>
      <c r="K89" s="5" t="s">
        <v>2059</v>
      </c>
      <c r="L89" s="5" t="s">
        <v>2060</v>
      </c>
      <c r="M89" s="5" t="s">
        <v>59</v>
      </c>
      <c r="N89" s="5" t="s">
        <v>2061</v>
      </c>
      <c r="R89" s="57">
        <v>136.0</v>
      </c>
      <c r="S89" s="57">
        <v>2019.0</v>
      </c>
      <c r="T89" s="5" t="s">
        <v>2062</v>
      </c>
      <c r="U89" s="57">
        <v>12.6666666666666</v>
      </c>
      <c r="V89" s="57">
        <v>0.018046709129511677</v>
      </c>
      <c r="W89" s="57">
        <v>1.0</v>
      </c>
      <c r="X89" s="5" t="s">
        <v>4495</v>
      </c>
      <c r="Y89" s="5" t="s">
        <v>4495</v>
      </c>
      <c r="Z89" s="58">
        <v>0.8552895086758483</v>
      </c>
      <c r="AA89" s="58">
        <v>1.0</v>
      </c>
      <c r="AB89" s="58">
        <v>1.0</v>
      </c>
      <c r="AC89" s="58">
        <v>0.46784371396551677</v>
      </c>
      <c r="AD89" s="58">
        <v>0.6106067485655138</v>
      </c>
      <c r="AE89" s="52" t="s">
        <v>4498</v>
      </c>
    </row>
    <row r="90" ht="17.25" customHeight="1">
      <c r="A90" s="55" t="s">
        <v>21</v>
      </c>
      <c r="B90" s="55" t="s">
        <v>2063</v>
      </c>
      <c r="C90" s="55" t="s">
        <v>2064</v>
      </c>
      <c r="D90" s="56">
        <v>43191.0</v>
      </c>
      <c r="E90" s="57">
        <v>2018.0</v>
      </c>
      <c r="F90" s="5" t="s">
        <v>26</v>
      </c>
      <c r="G90" s="5" t="s">
        <v>2065</v>
      </c>
      <c r="H90" s="57">
        <v>3.0</v>
      </c>
      <c r="I90" s="57">
        <v>95.0</v>
      </c>
      <c r="J90" s="5" t="s">
        <v>2066</v>
      </c>
      <c r="K90" s="5" t="s">
        <v>2067</v>
      </c>
      <c r="L90" s="5" t="s">
        <v>2068</v>
      </c>
      <c r="M90" s="5" t="s">
        <v>59</v>
      </c>
      <c r="N90" s="5" t="s">
        <v>2069</v>
      </c>
      <c r="R90" s="57">
        <v>42.0</v>
      </c>
      <c r="S90" s="57">
        <v>2016.0</v>
      </c>
      <c r="T90" s="5" t="s">
        <v>2070</v>
      </c>
      <c r="U90" s="57">
        <v>3.5</v>
      </c>
      <c r="V90" s="57">
        <v>0.034709535988308365</v>
      </c>
      <c r="W90" s="57">
        <v>2.0</v>
      </c>
      <c r="X90" s="5" t="s">
        <v>4495</v>
      </c>
      <c r="Y90" s="5" t="s">
        <v>4495</v>
      </c>
      <c r="Z90" s="58">
        <v>0.4490080559640544</v>
      </c>
      <c r="AA90" s="58">
        <v>1.0</v>
      </c>
      <c r="AB90" s="58">
        <v>1.0</v>
      </c>
      <c r="AC90" s="58">
        <v>0.0</v>
      </c>
      <c r="AD90" s="58">
        <v>0.46225201399101357</v>
      </c>
      <c r="AE90" s="52" t="s">
        <v>4498</v>
      </c>
    </row>
    <row r="91" ht="17.25" customHeight="1">
      <c r="A91" s="55" t="s">
        <v>21</v>
      </c>
      <c r="B91" s="55" t="s">
        <v>2103</v>
      </c>
      <c r="C91" s="55" t="s">
        <v>2104</v>
      </c>
      <c r="D91" s="56">
        <v>44937.0</v>
      </c>
      <c r="E91" s="57">
        <v>2023.0</v>
      </c>
      <c r="F91" s="5" t="s">
        <v>41</v>
      </c>
      <c r="G91" s="5" t="s">
        <v>42</v>
      </c>
      <c r="H91" s="57">
        <v>3.0</v>
      </c>
      <c r="I91" s="57">
        <v>87.0</v>
      </c>
      <c r="J91" s="5" t="s">
        <v>2106</v>
      </c>
      <c r="K91" s="5" t="s">
        <v>2107</v>
      </c>
      <c r="L91" s="5" t="s">
        <v>2108</v>
      </c>
      <c r="M91" s="5" t="s">
        <v>59</v>
      </c>
      <c r="N91" s="5" t="s">
        <v>2109</v>
      </c>
      <c r="O91" s="5" t="s">
        <v>2110</v>
      </c>
      <c r="P91" s="57">
        <v>31.0</v>
      </c>
      <c r="R91" s="57">
        <v>141.0</v>
      </c>
      <c r="T91" s="5" t="s">
        <v>2111</v>
      </c>
      <c r="U91" s="57">
        <v>4.0</v>
      </c>
      <c r="V91" s="57">
        <v>0.08779011099899092</v>
      </c>
      <c r="W91" s="5" t="s">
        <v>4495</v>
      </c>
      <c r="X91" s="5" t="s">
        <v>4495</v>
      </c>
      <c r="Y91" s="5" t="s">
        <v>4495</v>
      </c>
      <c r="Z91" s="58">
        <v>0.8678575615496241</v>
      </c>
      <c r="AA91" s="5" t="s">
        <v>4495</v>
      </c>
      <c r="AB91" s="58">
        <v>1.0</v>
      </c>
      <c r="AC91" s="58">
        <v>0.044372163770186025</v>
      </c>
      <c r="AD91" s="58">
        <v>0.37140160676442463</v>
      </c>
      <c r="AE91" s="52" t="s">
        <v>4498</v>
      </c>
    </row>
    <row r="92" ht="17.25" customHeight="1">
      <c r="A92" s="55" t="s">
        <v>21</v>
      </c>
      <c r="B92" s="55" t="s">
        <v>2120</v>
      </c>
      <c r="C92" s="55" t="s">
        <v>2121</v>
      </c>
      <c r="D92" s="56">
        <v>44382.0</v>
      </c>
      <c r="E92" s="57">
        <v>2021.0</v>
      </c>
      <c r="F92" s="5" t="s">
        <v>41</v>
      </c>
      <c r="G92" s="5" t="s">
        <v>42</v>
      </c>
      <c r="H92" s="57">
        <v>3.0</v>
      </c>
      <c r="I92" s="57">
        <v>48.0</v>
      </c>
      <c r="J92" s="5" t="s">
        <v>2123</v>
      </c>
      <c r="K92" s="5" t="s">
        <v>2124</v>
      </c>
      <c r="L92" s="5" t="s">
        <v>2125</v>
      </c>
      <c r="M92" s="5" t="s">
        <v>59</v>
      </c>
      <c r="N92" s="5" t="s">
        <v>2126</v>
      </c>
      <c r="O92" s="5" t="s">
        <v>2127</v>
      </c>
      <c r="R92" s="57">
        <v>42.0</v>
      </c>
      <c r="S92" s="57">
        <v>2021.0</v>
      </c>
      <c r="T92" s="5" t="s">
        <v>2128</v>
      </c>
      <c r="U92" s="57">
        <v>7.33333333333333</v>
      </c>
      <c r="V92" s="57">
        <v>0.031047865459249677</v>
      </c>
      <c r="W92" s="57">
        <v>0.0</v>
      </c>
      <c r="X92" s="5" t="s">
        <v>4495</v>
      </c>
      <c r="Y92" s="5" t="s">
        <v>4495</v>
      </c>
      <c r="Z92" s="58">
        <v>0.4490080559640544</v>
      </c>
      <c r="AA92" s="58">
        <v>1.0</v>
      </c>
      <c r="AB92" s="58">
        <v>1.0</v>
      </c>
      <c r="AC92" s="58">
        <v>0.2595043515184367</v>
      </c>
      <c r="AD92" s="58">
        <v>0.48820244914285726</v>
      </c>
      <c r="AE92" s="52" t="s">
        <v>4498</v>
      </c>
    </row>
    <row r="93" ht="17.25" customHeight="1">
      <c r="A93" s="55" t="s">
        <v>21</v>
      </c>
      <c r="B93" s="55" t="s">
        <v>2145</v>
      </c>
      <c r="C93" s="55" t="s">
        <v>2146</v>
      </c>
      <c r="D93" s="56">
        <v>43525.0</v>
      </c>
      <c r="E93" s="57">
        <v>2019.0</v>
      </c>
      <c r="F93" s="5" t="s">
        <v>41</v>
      </c>
      <c r="G93" s="5" t="s">
        <v>42</v>
      </c>
      <c r="H93" s="57">
        <v>3.0</v>
      </c>
      <c r="I93" s="57">
        <v>105.0</v>
      </c>
      <c r="K93" s="5" t="s">
        <v>2148</v>
      </c>
      <c r="L93" s="5" t="s">
        <v>2149</v>
      </c>
      <c r="M93" s="5" t="s">
        <v>59</v>
      </c>
      <c r="N93" s="5" t="s">
        <v>2150</v>
      </c>
      <c r="O93" s="5" t="s">
        <v>2151</v>
      </c>
      <c r="P93" s="57">
        <v>24.0</v>
      </c>
      <c r="R93" s="57">
        <v>105.0</v>
      </c>
      <c r="T93" s="5" t="s">
        <v>2152</v>
      </c>
      <c r="U93" s="57">
        <v>15.0</v>
      </c>
      <c r="V93" s="57">
        <v>0.04369538077403246</v>
      </c>
      <c r="W93" s="5" t="s">
        <v>4495</v>
      </c>
      <c r="X93" s="5" t="s">
        <v>4495</v>
      </c>
      <c r="Y93" s="5" t="s">
        <v>4495</v>
      </c>
      <c r="Z93" s="58">
        <v>0.7653430864022164</v>
      </c>
      <c r="AA93" s="5" t="s">
        <v>4495</v>
      </c>
      <c r="AB93" s="58">
        <v>1.0</v>
      </c>
      <c r="AC93" s="58">
        <v>0.5342285193497109</v>
      </c>
      <c r="AD93" s="58">
        <v>0.39475862353552515</v>
      </c>
      <c r="AE93" s="52" t="s">
        <v>4498</v>
      </c>
    </row>
    <row r="94" ht="17.25" customHeight="1">
      <c r="A94" s="55" t="s">
        <v>21</v>
      </c>
      <c r="B94" s="55" t="s">
        <v>2183</v>
      </c>
      <c r="C94" s="55" t="s">
        <v>2184</v>
      </c>
      <c r="D94" s="56"/>
      <c r="F94" s="5" t="s">
        <v>26</v>
      </c>
      <c r="G94" s="5" t="s">
        <v>42</v>
      </c>
      <c r="H94" s="57">
        <v>3.0</v>
      </c>
      <c r="I94" s="57">
        <v>59.0</v>
      </c>
      <c r="J94" s="5" t="s">
        <v>2185</v>
      </c>
      <c r="K94" s="5" t="s">
        <v>2186</v>
      </c>
      <c r="L94" s="5" t="s">
        <v>2187</v>
      </c>
      <c r="M94" s="5" t="s">
        <v>59</v>
      </c>
      <c r="N94" s="5" t="s">
        <v>2188</v>
      </c>
      <c r="R94" s="57">
        <v>39.0</v>
      </c>
      <c r="S94" s="57">
        <v>2015.0</v>
      </c>
      <c r="T94" s="5" t="s">
        <v>2189</v>
      </c>
      <c r="U94" s="57">
        <v>21.0</v>
      </c>
      <c r="V94" s="5" t="s">
        <v>4495</v>
      </c>
      <c r="W94" s="5" t="s">
        <v>4495</v>
      </c>
      <c r="X94" s="5" t="s">
        <v>4495</v>
      </c>
      <c r="Y94" s="5" t="s">
        <v>4495</v>
      </c>
      <c r="Z94" s="58">
        <v>0.4236516268700686</v>
      </c>
      <c r="AA94" s="5" t="s">
        <v>4495</v>
      </c>
      <c r="AB94" s="5" t="s">
        <v>4495</v>
      </c>
      <c r="AC94" s="58">
        <v>0.6683440466152498</v>
      </c>
      <c r="AD94" s="58">
        <v>0.17274731137904215</v>
      </c>
      <c r="AE94" s="52" t="s">
        <v>4498</v>
      </c>
    </row>
    <row r="95" ht="17.25" customHeight="1">
      <c r="A95" s="55" t="s">
        <v>21</v>
      </c>
      <c r="B95" s="55" t="s">
        <v>2190</v>
      </c>
      <c r="C95" s="55" t="s">
        <v>2191</v>
      </c>
      <c r="D95" s="56">
        <v>43371.0</v>
      </c>
      <c r="E95" s="57">
        <v>2018.0</v>
      </c>
      <c r="F95" s="5" t="s">
        <v>41</v>
      </c>
      <c r="G95" s="5" t="s">
        <v>42</v>
      </c>
      <c r="H95" s="57">
        <v>3.0</v>
      </c>
      <c r="I95" s="57">
        <v>94.0</v>
      </c>
      <c r="J95" s="5" t="s">
        <v>2193</v>
      </c>
      <c r="K95" s="5" t="s">
        <v>2194</v>
      </c>
      <c r="L95" s="5" t="s">
        <v>2195</v>
      </c>
      <c r="M95" s="5" t="s">
        <v>59</v>
      </c>
      <c r="N95" s="5" t="s">
        <v>2196</v>
      </c>
      <c r="O95" s="5" t="s">
        <v>2197</v>
      </c>
      <c r="P95" s="57">
        <v>13.0</v>
      </c>
      <c r="R95" s="57">
        <v>108.0</v>
      </c>
      <c r="S95" s="57">
        <v>2018.0</v>
      </c>
      <c r="T95" s="5" t="s">
        <v>2198</v>
      </c>
      <c r="U95" s="57">
        <v>24.6</v>
      </c>
      <c r="V95" s="57">
        <v>0.03676183026984748</v>
      </c>
      <c r="W95" s="57">
        <v>0.0</v>
      </c>
      <c r="X95" s="5" t="s">
        <v>4495</v>
      </c>
      <c r="Y95" s="5" t="s">
        <v>4495</v>
      </c>
      <c r="Z95" s="58">
        <v>0.7751282182239236</v>
      </c>
      <c r="AA95" s="58">
        <v>1.0</v>
      </c>
      <c r="AB95" s="58">
        <v>1.0</v>
      </c>
      <c r="AC95" s="58">
        <v>0.732168685827289</v>
      </c>
      <c r="AD95" s="58">
        <v>0.6169989231387099</v>
      </c>
      <c r="AE95" s="52" t="s">
        <v>4498</v>
      </c>
    </row>
    <row r="96" ht="17.25" customHeight="1">
      <c r="A96" s="55" t="s">
        <v>21</v>
      </c>
      <c r="B96" s="55" t="s">
        <v>2211</v>
      </c>
      <c r="C96" s="55" t="s">
        <v>2212</v>
      </c>
      <c r="D96" s="56">
        <v>44755.0</v>
      </c>
      <c r="E96" s="57">
        <v>2022.0</v>
      </c>
      <c r="F96" s="5" t="s">
        <v>41</v>
      </c>
      <c r="G96" s="5" t="s">
        <v>42</v>
      </c>
      <c r="H96" s="57">
        <v>3.0</v>
      </c>
      <c r="I96" s="57">
        <v>86.0</v>
      </c>
      <c r="J96" s="5" t="s">
        <v>2214</v>
      </c>
      <c r="K96" s="5" t="s">
        <v>2215</v>
      </c>
      <c r="L96" s="5" t="s">
        <v>2216</v>
      </c>
      <c r="M96" s="5" t="s">
        <v>59</v>
      </c>
      <c r="N96" s="5" t="s">
        <v>2217</v>
      </c>
      <c r="O96" s="59" t="s">
        <v>2218</v>
      </c>
      <c r="P96" s="57">
        <v>24.0</v>
      </c>
      <c r="R96" s="57">
        <v>176.0</v>
      </c>
      <c r="S96" s="57">
        <v>2022.0</v>
      </c>
      <c r="T96" s="5" t="s">
        <v>2219</v>
      </c>
      <c r="U96" s="57">
        <v>11.4285714285714</v>
      </c>
      <c r="V96" s="57">
        <v>0.0733162830349531</v>
      </c>
      <c r="W96" s="57">
        <v>0.0</v>
      </c>
      <c r="X96" s="5" t="s">
        <v>4495</v>
      </c>
      <c r="Y96" s="5" t="s">
        <v>4495</v>
      </c>
      <c r="Z96" s="58">
        <v>0.945105144241996</v>
      </c>
      <c r="AA96" s="58">
        <v>1.0</v>
      </c>
      <c r="AB96" s="58">
        <v>1.0</v>
      </c>
      <c r="AC96" s="58">
        <v>0.42785092454560963</v>
      </c>
      <c r="AD96" s="58">
        <v>0.6290613785150599</v>
      </c>
      <c r="AE96" s="52" t="s">
        <v>4498</v>
      </c>
    </row>
    <row r="97" ht="17.25" customHeight="1">
      <c r="A97" s="55" t="s">
        <v>21</v>
      </c>
      <c r="B97" s="55" t="s">
        <v>2251</v>
      </c>
      <c r="C97" s="55" t="s">
        <v>2252</v>
      </c>
      <c r="D97" s="56"/>
      <c r="F97" s="5" t="s">
        <v>41</v>
      </c>
      <c r="G97" s="5" t="s">
        <v>42</v>
      </c>
      <c r="H97" s="57">
        <v>3.0</v>
      </c>
      <c r="I97" s="57">
        <v>26.0</v>
      </c>
      <c r="J97" s="5" t="s">
        <v>2253</v>
      </c>
      <c r="K97" s="5" t="s">
        <v>2254</v>
      </c>
      <c r="L97" s="5" t="s">
        <v>2255</v>
      </c>
      <c r="M97" s="5" t="s">
        <v>59</v>
      </c>
      <c r="N97" s="5" t="s">
        <v>2256</v>
      </c>
      <c r="O97" s="5" t="s">
        <v>2257</v>
      </c>
      <c r="P97" s="57">
        <v>41.0</v>
      </c>
      <c r="R97" s="57">
        <v>196.0</v>
      </c>
      <c r="S97" s="57">
        <v>2021.0</v>
      </c>
      <c r="T97" s="5" t="s">
        <v>2259</v>
      </c>
      <c r="U97" s="57">
        <v>13.0</v>
      </c>
      <c r="V97" s="5" t="s">
        <v>4495</v>
      </c>
      <c r="W97" s="5" t="s">
        <v>4495</v>
      </c>
      <c r="X97" s="5" t="s">
        <v>4495</v>
      </c>
      <c r="Y97" s="5" t="s">
        <v>4495</v>
      </c>
      <c r="Z97" s="58">
        <v>0.9826394671266896</v>
      </c>
      <c r="AA97" s="5" t="s">
        <v>4495</v>
      </c>
      <c r="AB97" s="5" t="s">
        <v>4495</v>
      </c>
      <c r="AC97" s="58">
        <v>0.4779923023475191</v>
      </c>
      <c r="AD97" s="58">
        <v>0.2934590970164243</v>
      </c>
      <c r="AE97" s="52" t="s">
        <v>4498</v>
      </c>
    </row>
    <row r="98" ht="17.25" customHeight="1">
      <c r="A98" s="55" t="s">
        <v>21</v>
      </c>
      <c r="B98" s="55" t="s">
        <v>2313</v>
      </c>
      <c r="C98" s="55" t="s">
        <v>2314</v>
      </c>
      <c r="D98" s="56">
        <v>44581.0</v>
      </c>
      <c r="E98" s="57">
        <v>2022.0</v>
      </c>
      <c r="F98" s="5" t="s">
        <v>41</v>
      </c>
      <c r="G98" s="5" t="s">
        <v>42</v>
      </c>
      <c r="H98" s="57">
        <v>3.0</v>
      </c>
      <c r="I98" s="57">
        <v>23.0</v>
      </c>
      <c r="K98" s="5" t="s">
        <v>2316</v>
      </c>
      <c r="L98" s="5" t="s">
        <v>2317</v>
      </c>
      <c r="M98" s="5" t="s">
        <v>59</v>
      </c>
      <c r="N98" s="5" t="s">
        <v>2318</v>
      </c>
      <c r="O98" s="5" t="s">
        <v>2319</v>
      </c>
      <c r="R98" s="57">
        <v>228.0</v>
      </c>
      <c r="S98" s="57">
        <v>2022.0</v>
      </c>
      <c r="T98" s="5" t="s">
        <v>2321</v>
      </c>
      <c r="U98" s="57">
        <v>21.0</v>
      </c>
      <c r="V98" s="57">
        <v>0.017074981440237565</v>
      </c>
      <c r="W98" s="57">
        <v>0.0</v>
      </c>
      <c r="X98" s="5" t="s">
        <v>4495</v>
      </c>
      <c r="Y98" s="5" t="s">
        <v>4495</v>
      </c>
      <c r="Z98" s="58">
        <v>1.0</v>
      </c>
      <c r="AA98" s="58">
        <v>1.0</v>
      </c>
      <c r="AB98" s="58">
        <v>1.0</v>
      </c>
      <c r="AC98" s="58">
        <v>0.6683440466152498</v>
      </c>
      <c r="AD98" s="58">
        <v>0.666834404661525</v>
      </c>
      <c r="AE98" s="52" t="s">
        <v>4498</v>
      </c>
    </row>
    <row r="99" ht="17.25" customHeight="1">
      <c r="A99" s="55" t="s">
        <v>21</v>
      </c>
      <c r="B99" s="55" t="s">
        <v>2346</v>
      </c>
      <c r="C99" s="55" t="s">
        <v>2347</v>
      </c>
      <c r="D99" s="56">
        <v>42155.0</v>
      </c>
      <c r="E99" s="57">
        <v>2015.0</v>
      </c>
      <c r="F99" s="5" t="s">
        <v>26</v>
      </c>
      <c r="G99" s="5" t="s">
        <v>27</v>
      </c>
      <c r="H99" s="57">
        <v>3.0</v>
      </c>
      <c r="I99" s="57">
        <v>33.0</v>
      </c>
      <c r="K99" s="5" t="s">
        <v>2349</v>
      </c>
      <c r="L99" s="5" t="s">
        <v>2350</v>
      </c>
      <c r="M99" s="5" t="s">
        <v>59</v>
      </c>
      <c r="N99" s="5" t="s">
        <v>2351</v>
      </c>
      <c r="O99" s="5" t="s">
        <v>2352</v>
      </c>
      <c r="P99" s="57">
        <v>8.0</v>
      </c>
      <c r="R99" s="57">
        <v>26.0</v>
      </c>
      <c r="T99" s="5" t="s">
        <v>2353</v>
      </c>
      <c r="U99" s="57">
        <v>3.5</v>
      </c>
      <c r="V99" s="57">
        <v>0.008746355685131196</v>
      </c>
      <c r="W99" s="5" t="s">
        <v>4495</v>
      </c>
      <c r="X99" s="5" t="s">
        <v>4495</v>
      </c>
      <c r="Y99" s="5" t="s">
        <v>4495</v>
      </c>
      <c r="Z99" s="58">
        <v>0.2858465197452526</v>
      </c>
      <c r="AA99" s="5" t="s">
        <v>4495</v>
      </c>
      <c r="AB99" s="58">
        <v>1.0</v>
      </c>
      <c r="AC99" s="58">
        <v>0.0</v>
      </c>
      <c r="AD99" s="58">
        <v>0.22146162993631313</v>
      </c>
      <c r="AE99" s="52" t="s">
        <v>4498</v>
      </c>
    </row>
    <row r="100" ht="17.25" customHeight="1">
      <c r="A100" s="55" t="s">
        <v>2383</v>
      </c>
      <c r="B100" s="55" t="s">
        <v>3505</v>
      </c>
      <c r="C100" s="55" t="s">
        <v>3506</v>
      </c>
      <c r="D100" s="56">
        <v>41295.0</v>
      </c>
      <c r="E100" s="57">
        <v>2013.0</v>
      </c>
      <c r="F100" s="5" t="s">
        <v>41</v>
      </c>
      <c r="G100" s="5" t="s">
        <v>42</v>
      </c>
      <c r="H100" s="57">
        <v>22.0</v>
      </c>
      <c r="I100" s="57">
        <v>552.0</v>
      </c>
      <c r="K100" s="5" t="s">
        <v>3507</v>
      </c>
      <c r="L100" s="5" t="s">
        <v>3508</v>
      </c>
      <c r="M100" s="5" t="s">
        <v>59</v>
      </c>
      <c r="N100" s="5" t="s">
        <v>3509</v>
      </c>
      <c r="O100" s="5" t="s">
        <v>3510</v>
      </c>
      <c r="P100" s="57">
        <v>26.0</v>
      </c>
      <c r="R100" s="57">
        <v>163.0</v>
      </c>
      <c r="T100" s="5" t="s">
        <v>3511</v>
      </c>
      <c r="U100" s="57">
        <v>23.3333333333333</v>
      </c>
      <c r="V100" s="57">
        <v>0.11914526224908267</v>
      </c>
      <c r="W100" s="5" t="s">
        <v>4495</v>
      </c>
      <c r="X100" s="5" t="s">
        <v>4495</v>
      </c>
      <c r="Y100" s="5" t="s">
        <v>4495</v>
      </c>
      <c r="Z100" s="58">
        <v>0.9183593683365966</v>
      </c>
      <c r="AA100" s="5" t="s">
        <v>4495</v>
      </c>
      <c r="AB100" s="58">
        <v>1.0</v>
      </c>
      <c r="AC100" s="58">
        <v>0.7107975462998052</v>
      </c>
      <c r="AD100" s="58">
        <v>0.45066959671412965</v>
      </c>
      <c r="AE100" s="52" t="s">
        <v>4498</v>
      </c>
    </row>
    <row r="101" ht="17.25" customHeight="1">
      <c r="A101" s="55" t="s">
        <v>2383</v>
      </c>
      <c r="B101" s="55" t="s">
        <v>4279</v>
      </c>
      <c r="C101" s="55" t="s">
        <v>4280</v>
      </c>
      <c r="D101" s="56">
        <v>43557.0</v>
      </c>
      <c r="E101" s="57">
        <v>2019.0</v>
      </c>
      <c r="F101" s="5" t="s">
        <v>41</v>
      </c>
      <c r="G101" s="5" t="s">
        <v>42</v>
      </c>
      <c r="H101" s="57">
        <v>15.0</v>
      </c>
      <c r="I101" s="57">
        <v>449.0</v>
      </c>
      <c r="J101" s="5" t="s">
        <v>4282</v>
      </c>
      <c r="K101" s="5" t="s">
        <v>4283</v>
      </c>
      <c r="L101" s="5" t="s">
        <v>4284</v>
      </c>
      <c r="M101" s="5" t="s">
        <v>59</v>
      </c>
      <c r="N101" s="5" t="s">
        <v>4285</v>
      </c>
      <c r="O101" s="5" t="s">
        <v>1078</v>
      </c>
      <c r="R101" s="57">
        <v>166.0</v>
      </c>
      <c r="S101" s="57">
        <v>2019.0</v>
      </c>
      <c r="T101" s="5" t="s">
        <v>4287</v>
      </c>
      <c r="U101" s="57">
        <v>10.75</v>
      </c>
      <c r="V101" s="57">
        <v>0.18937157317587516</v>
      </c>
      <c r="W101" s="57">
        <v>0.0</v>
      </c>
      <c r="X101" s="5" t="s">
        <v>4495</v>
      </c>
      <c r="Y101" s="5" t="s">
        <v>4495</v>
      </c>
      <c r="Z101" s="58">
        <v>0.9247150311864794</v>
      </c>
      <c r="AA101" s="58">
        <v>1.0</v>
      </c>
      <c r="AB101" s="58">
        <v>1.0</v>
      </c>
      <c r="AC101" s="58">
        <v>0.4042057943479249</v>
      </c>
      <c r="AD101" s="58">
        <v>0.6215993372314124</v>
      </c>
      <c r="AE101" s="52" t="s">
        <v>4498</v>
      </c>
    </row>
    <row r="102" ht="17.25" customHeight="1">
      <c r="A102" s="60"/>
      <c r="B102" s="60"/>
      <c r="C102" s="60"/>
      <c r="D102" s="61"/>
      <c r="E102" s="62"/>
      <c r="H102" s="62"/>
      <c r="I102" s="62"/>
      <c r="R102" s="62"/>
      <c r="S102" s="62"/>
      <c r="U102" s="62"/>
      <c r="V102" s="57"/>
      <c r="W102" s="57"/>
      <c r="Z102" s="58"/>
      <c r="AA102" s="58"/>
      <c r="AB102" s="58"/>
      <c r="AC102" s="58"/>
      <c r="AD102" s="58"/>
    </row>
    <row r="103" ht="17.25" customHeight="1">
      <c r="A103" s="60"/>
      <c r="B103" s="60"/>
      <c r="C103" s="60"/>
      <c r="D103" s="61"/>
      <c r="E103" s="62"/>
      <c r="H103" s="62"/>
      <c r="I103" s="62"/>
      <c r="P103" s="62"/>
      <c r="R103" s="62"/>
      <c r="U103" s="62"/>
      <c r="V103" s="57"/>
      <c r="Z103" s="58"/>
      <c r="AB103" s="58"/>
      <c r="AC103" s="58"/>
      <c r="AD103" s="58"/>
    </row>
    <row r="104" ht="17.25" customHeight="1">
      <c r="A104" s="60"/>
      <c r="B104" s="60"/>
      <c r="C104" s="60"/>
      <c r="D104" s="61"/>
      <c r="E104" s="62"/>
      <c r="H104" s="62"/>
      <c r="I104" s="62"/>
      <c r="R104" s="62"/>
      <c r="S104" s="62"/>
      <c r="U104" s="62"/>
      <c r="V104" s="57"/>
      <c r="W104" s="57"/>
      <c r="Z104" s="58"/>
      <c r="AA104" s="58"/>
      <c r="AB104" s="58"/>
      <c r="AC104" s="58"/>
      <c r="AD104" s="5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00.75"/>
  </cols>
  <sheetData>
    <row r="1">
      <c r="A1" s="52" t="s">
        <v>1</v>
      </c>
      <c r="B1" s="52" t="s">
        <v>4503</v>
      </c>
      <c r="C1" s="52" t="s">
        <v>4504</v>
      </c>
    </row>
    <row r="2">
      <c r="A2" s="52" t="s">
        <v>171</v>
      </c>
      <c r="B2" s="63" t="s">
        <v>179</v>
      </c>
      <c r="C2" s="52" t="s">
        <v>4505</v>
      </c>
    </row>
    <row r="3">
      <c r="A3" s="64" t="s">
        <v>606</v>
      </c>
      <c r="B3" s="63" t="s">
        <v>612</v>
      </c>
      <c r="C3" s="52" t="s">
        <v>4506</v>
      </c>
    </row>
    <row r="4">
      <c r="A4" s="52" t="s">
        <v>497</v>
      </c>
      <c r="B4" s="63" t="s">
        <v>504</v>
      </c>
      <c r="C4" s="52" t="s">
        <v>4507</v>
      </c>
    </row>
    <row r="5">
      <c r="A5" s="52" t="s">
        <v>262</v>
      </c>
      <c r="B5" s="63" t="s">
        <v>269</v>
      </c>
      <c r="C5" s="52" t="s">
        <v>4508</v>
      </c>
    </row>
    <row r="6">
      <c r="A6" s="52" t="s">
        <v>307</v>
      </c>
      <c r="B6" s="63" t="s">
        <v>314</v>
      </c>
      <c r="C6" s="52" t="s">
        <v>4509</v>
      </c>
    </row>
    <row r="7">
      <c r="A7" s="52" t="s">
        <v>274</v>
      </c>
      <c r="B7" s="63" t="s">
        <v>281</v>
      </c>
      <c r="C7" s="52" t="s">
        <v>4510</v>
      </c>
    </row>
    <row r="8">
      <c r="A8" s="52" t="s">
        <v>508</v>
      </c>
      <c r="B8" s="63" t="s">
        <v>515</v>
      </c>
      <c r="C8" s="52" t="s">
        <v>4511</v>
      </c>
    </row>
    <row r="9">
      <c r="A9" s="65" t="s">
        <v>629</v>
      </c>
      <c r="B9" s="63" t="s">
        <v>634</v>
      </c>
      <c r="C9" s="52" t="s">
        <v>4512</v>
      </c>
    </row>
    <row r="10">
      <c r="A10" s="52" t="s">
        <v>656</v>
      </c>
      <c r="B10" s="63" t="s">
        <v>662</v>
      </c>
      <c r="C10" s="52" t="s">
        <v>4513</v>
      </c>
    </row>
    <row r="11">
      <c r="A11" s="52" t="s">
        <v>665</v>
      </c>
      <c r="B11" s="63" t="s">
        <v>670</v>
      </c>
      <c r="C11" s="52" t="s">
        <v>4514</v>
      </c>
    </row>
    <row r="12">
      <c r="A12" s="52" t="s">
        <v>691</v>
      </c>
      <c r="B12" s="63" t="s">
        <v>697</v>
      </c>
      <c r="C12" s="52" t="s">
        <v>4515</v>
      </c>
    </row>
    <row r="13">
      <c r="A13" s="65" t="s">
        <v>711</v>
      </c>
      <c r="B13" s="63" t="s">
        <v>717</v>
      </c>
      <c r="C13" s="52" t="s">
        <v>4516</v>
      </c>
    </row>
    <row r="14">
      <c r="A14" s="65" t="s">
        <v>722</v>
      </c>
      <c r="B14" s="63" t="s">
        <v>729</v>
      </c>
      <c r="C14" s="52" t="s">
        <v>4517</v>
      </c>
    </row>
    <row r="15">
      <c r="A15" s="65" t="s">
        <v>767</v>
      </c>
      <c r="B15" s="63" t="s">
        <v>774</v>
      </c>
      <c r="C15" s="52" t="s">
        <v>4518</v>
      </c>
    </row>
    <row r="16">
      <c r="A16" s="52" t="s">
        <v>840</v>
      </c>
      <c r="B16" s="63" t="s">
        <v>847</v>
      </c>
      <c r="C16" s="52" t="s">
        <v>4519</v>
      </c>
    </row>
    <row r="17">
      <c r="A17" s="65" t="s">
        <v>1355</v>
      </c>
      <c r="B17" s="63" t="s">
        <v>1360</v>
      </c>
      <c r="C17" s="52" t="s">
        <v>4520</v>
      </c>
    </row>
    <row r="18">
      <c r="A18" s="52" t="s">
        <v>1424</v>
      </c>
      <c r="B18" s="63" t="s">
        <v>1430</v>
      </c>
      <c r="C18" s="52" t="s">
        <v>4521</v>
      </c>
    </row>
    <row r="19">
      <c r="A19" s="52" t="s">
        <v>1415</v>
      </c>
      <c r="B19" s="63" t="s">
        <v>1420</v>
      </c>
      <c r="C19" s="52" t="s">
        <v>4522</v>
      </c>
    </row>
    <row r="20">
      <c r="A20" s="65" t="s">
        <v>1527</v>
      </c>
      <c r="B20" s="63" t="s">
        <v>1533</v>
      </c>
      <c r="C20" s="52" t="s">
        <v>4523</v>
      </c>
    </row>
    <row r="21">
      <c r="A21" s="52" t="s">
        <v>1549</v>
      </c>
      <c r="B21" s="63" t="s">
        <v>1555</v>
      </c>
      <c r="C21" s="52" t="s">
        <v>4524</v>
      </c>
    </row>
    <row r="22">
      <c r="A22" s="52" t="s">
        <v>1458</v>
      </c>
      <c r="B22" s="63" t="s">
        <v>1464</v>
      </c>
      <c r="C22" s="52" t="s">
        <v>4525</v>
      </c>
    </row>
    <row r="23">
      <c r="A23" s="65" t="s">
        <v>1434</v>
      </c>
      <c r="B23" s="63" t="s">
        <v>1439</v>
      </c>
      <c r="C23" s="52" t="s">
        <v>4526</v>
      </c>
    </row>
    <row r="24">
      <c r="A24" s="65" t="s">
        <v>1562</v>
      </c>
      <c r="B24" s="63" t="s">
        <v>1567</v>
      </c>
      <c r="C24" s="52" t="s">
        <v>4527</v>
      </c>
    </row>
    <row r="25">
      <c r="A25" s="52" t="s">
        <v>1686</v>
      </c>
      <c r="B25" s="63" t="s">
        <v>1692</v>
      </c>
      <c r="C25" s="52" t="s">
        <v>4528</v>
      </c>
    </row>
    <row r="26">
      <c r="A26" s="65" t="s">
        <v>1708</v>
      </c>
      <c r="B26" s="63" t="s">
        <v>1714</v>
      </c>
      <c r="C26" s="52" t="s">
        <v>4529</v>
      </c>
    </row>
    <row r="27">
      <c r="A27" s="52" t="s">
        <v>1781</v>
      </c>
      <c r="B27" s="63" t="s">
        <v>1786</v>
      </c>
      <c r="C27" s="52" t="s">
        <v>4530</v>
      </c>
    </row>
    <row r="28">
      <c r="A28" s="52" t="s">
        <v>1846</v>
      </c>
      <c r="B28" s="63" t="s">
        <v>1852</v>
      </c>
      <c r="C28" s="52" t="s">
        <v>4531</v>
      </c>
    </row>
    <row r="29">
      <c r="A29" s="52" t="s">
        <v>1903</v>
      </c>
      <c r="B29" s="63" t="s">
        <v>1907</v>
      </c>
      <c r="C29" s="52" t="s">
        <v>4532</v>
      </c>
    </row>
    <row r="30">
      <c r="A30" s="52" t="s">
        <v>1921</v>
      </c>
      <c r="B30" s="63" t="s">
        <v>1928</v>
      </c>
      <c r="C30" s="52" t="s">
        <v>4533</v>
      </c>
    </row>
    <row r="31">
      <c r="A31" s="65" t="s">
        <v>1985</v>
      </c>
      <c r="B31" s="63" t="s">
        <v>1991</v>
      </c>
      <c r="C31" s="52" t="s">
        <v>4534</v>
      </c>
    </row>
    <row r="32">
      <c r="A32" s="52" t="s">
        <v>2063</v>
      </c>
      <c r="B32" s="63" t="s">
        <v>2069</v>
      </c>
      <c r="C32" s="52" t="s">
        <v>4535</v>
      </c>
    </row>
    <row r="33">
      <c r="A33" s="52" t="s">
        <v>2103</v>
      </c>
      <c r="B33" s="63" t="s">
        <v>2109</v>
      </c>
      <c r="C33" s="52" t="s">
        <v>4536</v>
      </c>
    </row>
    <row r="34">
      <c r="A34" s="52" t="s">
        <v>2120</v>
      </c>
      <c r="B34" s="63" t="s">
        <v>2126</v>
      </c>
      <c r="C34" s="52" t="s">
        <v>4537</v>
      </c>
    </row>
    <row r="35">
      <c r="A35" s="52" t="s">
        <v>2190</v>
      </c>
      <c r="B35" s="63" t="s">
        <v>2196</v>
      </c>
      <c r="C35" s="52" t="s">
        <v>4538</v>
      </c>
    </row>
    <row r="36">
      <c r="A36" s="65" t="s">
        <v>3505</v>
      </c>
      <c r="B36" s="63" t="s">
        <v>3509</v>
      </c>
      <c r="C36" s="52" t="s">
        <v>4539</v>
      </c>
    </row>
    <row r="37">
      <c r="A37" s="52" t="s">
        <v>2313</v>
      </c>
      <c r="B37" s="63" t="s">
        <v>2318</v>
      </c>
      <c r="C37" s="52" t="s">
        <v>4540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s>
  <drawing r:id="rId37"/>
</worksheet>
</file>